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mee2030.sharepoint.com/sites/TerDivStabskp3-Kdo/Shared Documents/Kommando/Planung/WAP &amp; TBf/"/>
    </mc:Choice>
  </mc:AlternateContent>
  <xr:revisionPtr revIDLastSave="4785" documentId="8_{D11F9A1A-F34D-4B59-A85C-BAD9860B52F8}" xr6:coauthVersionLast="47" xr6:coauthVersionMax="47" xr10:uidLastSave="{98970751-1318-4404-BCA7-727391D106D2}"/>
  <bookViews>
    <workbookView xWindow="-108" yWindow="-108" windowWidth="34776" windowHeight="21096" tabRatio="688" xr2:uid="{00000000-000D-0000-FFFF-FFFF00000000}"/>
  </bookViews>
  <sheets>
    <sheet name="Einstellungen" sheetId="47" r:id="rId1"/>
    <sheet name="WAP - KVK" sheetId="80" r:id="rId2"/>
    <sheet name="WAP - Wo 1" sheetId="81" r:id="rId3"/>
    <sheet name="WAP - Wo 2" sheetId="82" r:id="rId4"/>
    <sheet name="WAP - Wo 3" sheetId="83" r:id="rId5"/>
    <sheet name="1 - Mo" sheetId="15" state="hidden" r:id="rId6"/>
    <sheet name="2 - Di" sheetId="6" state="hidden" r:id="rId7"/>
    <sheet name="3 - Mi" sheetId="7" state="hidden" r:id="rId8"/>
    <sheet name="4 - Do" sheetId="8" state="hidden" r:id="rId9"/>
    <sheet name="5 - Fr" sheetId="12" state="hidden" r:id="rId10"/>
    <sheet name="6 - Sa" sheetId="14" state="hidden" r:id="rId11"/>
    <sheet name="7 - So" sheetId="13" r:id="rId12"/>
    <sheet name="8 - Mo" sheetId="46" r:id="rId13"/>
    <sheet name="9 - Di" sheetId="48" r:id="rId14"/>
    <sheet name="10 - Mi" sheetId="53" r:id="rId15"/>
    <sheet name="11 - Do" sheetId="58" r:id="rId16"/>
    <sheet name="12 - Fr" sheetId="57" r:id="rId17"/>
    <sheet name="13 - Sa" sheetId="54" r:id="rId18"/>
    <sheet name="14 - So" sheetId="55" r:id="rId19"/>
    <sheet name="15 - Mo" sheetId="56" r:id="rId20"/>
    <sheet name="16 - Di" sheetId="71" r:id="rId21"/>
    <sheet name="17 - Mi" sheetId="72" r:id="rId22"/>
    <sheet name="18 - Do" sheetId="73" r:id="rId23"/>
    <sheet name="19 - Fr" sheetId="74" r:id="rId24"/>
    <sheet name="20 - Sa" sheetId="60" r:id="rId25"/>
    <sheet name="21 - So" sheetId="65" r:id="rId26"/>
    <sheet name="22 - Mo" sheetId="75" r:id="rId27"/>
    <sheet name="23 - Di" sheetId="76" r:id="rId28"/>
    <sheet name="24 - Mi" sheetId="77" r:id="rId29"/>
    <sheet name="25 - Do" sheetId="78" r:id="rId30"/>
    <sheet name="26 - Fr" sheetId="79" r:id="rId31"/>
    <sheet name="0 - LEERE VORLAGE" sheetId="49" r:id="rId32"/>
  </sheets>
  <externalReferences>
    <externalReference r:id="rId33"/>
  </externalReferences>
  <definedNames>
    <definedName name="asdf" localSheetId="14">'10 - Mi'!$A$1:$D$64</definedName>
    <definedName name="asdf" localSheetId="19">'15 - Mo'!$A$1:$D$66</definedName>
    <definedName name="fdsa" localSheetId="15">'11 - Do'!$A$1:$D$64</definedName>
    <definedName name="fdsa" localSheetId="13">'9 - Di'!$A$1:$D$64</definedName>
    <definedName name="Montag" localSheetId="1">'WAP - KVK'!#REF!</definedName>
    <definedName name="Montag" localSheetId="2">'WAP - Wo 1'!#REF!</definedName>
    <definedName name="Montag" localSheetId="3">'WAP - Wo 2'!#REF!</definedName>
    <definedName name="Montag" localSheetId="4">'WAP - Wo 3'!#REF!</definedName>
    <definedName name="Of">#REF!</definedName>
    <definedName name="_xlnm.Print_Area" localSheetId="31">'0 - LEERE VORLAGE'!$A$1:$D$64</definedName>
    <definedName name="_xlnm.Print_Area" localSheetId="5">'1 - Mo'!$A$1:$D$81</definedName>
    <definedName name="_xlnm.Print_Area" localSheetId="14">'10 - Mi'!$A$1:$D$53</definedName>
    <definedName name="_xlnm.Print_Area" localSheetId="15">'11 - Do'!$A$1:$D$59</definedName>
    <definedName name="_xlnm.Print_Area" localSheetId="16">'12 - Fr'!$A$1:$D$66</definedName>
    <definedName name="_xlnm.Print_Area" localSheetId="17">'13 - Sa'!$A$1:$D$40</definedName>
    <definedName name="_xlnm.Print_Area" localSheetId="18">'14 - So'!$A$1:$D$37</definedName>
    <definedName name="_xlnm.Print_Area" localSheetId="19">'15 - Mo'!#REF!</definedName>
    <definedName name="_xlnm.Print_Area" localSheetId="20">'16 - Di'!$A$1:$D$64</definedName>
    <definedName name="_xlnm.Print_Area" localSheetId="21">'17 - Mi'!$A$1:$D$64</definedName>
    <definedName name="_xlnm.Print_Area" localSheetId="22">'18 - Do'!$A$1:$D$64</definedName>
    <definedName name="_xlnm.Print_Area" localSheetId="23">'19 - Fr'!$A$1:$D$64</definedName>
    <definedName name="_xlnm.Print_Area" localSheetId="6">'2 - Di'!$A$1:$D$87</definedName>
    <definedName name="_xlnm.Print_Area" localSheetId="24">'20 - Sa'!$A$1:$D$41</definedName>
    <definedName name="_xlnm.Print_Area" localSheetId="25">'21 - So'!$A$1:$D$39</definedName>
    <definedName name="_xlnm.Print_Area" localSheetId="26">'22 - Mo'!$A$1:$D$63</definedName>
    <definedName name="_xlnm.Print_Area" localSheetId="27">'23 - Di'!$A$1:$D$64</definedName>
    <definedName name="_xlnm.Print_Area" localSheetId="28">'24 - Mi'!$A$1:$D$64</definedName>
    <definedName name="_xlnm.Print_Area" localSheetId="29">'25 - Do'!$A$1:$D$63</definedName>
    <definedName name="_xlnm.Print_Area" localSheetId="30">'26 - Fr'!$A$1:$D$64</definedName>
    <definedName name="_xlnm.Print_Area" localSheetId="7">'3 - Mi'!$A$1:$D$70</definedName>
    <definedName name="_xlnm.Print_Area" localSheetId="8">'4 - Do'!$A$1:$D$88</definedName>
    <definedName name="_xlnm.Print_Area" localSheetId="9">'5 - Fr'!$A$1:$D$59</definedName>
    <definedName name="_xlnm.Print_Area" localSheetId="10">'6 - Sa'!$A$1:$D$35</definedName>
    <definedName name="_xlnm.Print_Area" localSheetId="11">'7 - So'!$A$1:$D$35</definedName>
    <definedName name="_xlnm.Print_Area" localSheetId="12">'8 - Mo'!$A$1:$D$39</definedName>
    <definedName name="_xlnm.Print_Area" localSheetId="13">'9 - Di'!$A$1:$D$50</definedName>
    <definedName name="_xlnm.Print_Area" localSheetId="1">'WAP - KVK'!$A$1:$BK$126</definedName>
    <definedName name="_xlnm.Print_Area" localSheetId="2">'WAP - Wo 1'!$A$1:$BD$126</definedName>
    <definedName name="_xlnm.Print_Area" localSheetId="3">'WAP - Wo 2'!$A$1:$BD$126</definedName>
    <definedName name="_xlnm.Print_Area" localSheetId="4">'WAP - Wo 3'!$A$1:$BD$126</definedName>
    <definedName name="Rapporte" localSheetId="5">#REF!</definedName>
    <definedName name="Rapporte">#REF!</definedName>
    <definedName name="Räumlichkeiten" localSheetId="5">#REF!</definedName>
    <definedName name="Räumlichkeiten">#REF!</definedName>
    <definedName name="Startdatum" localSheetId="1">'WAP - KVK'!$L$1</definedName>
    <definedName name="Startdatum" localSheetId="2">'WAP - Wo 1'!$K$1</definedName>
    <definedName name="Startdatum" localSheetId="3">'WAP - Wo 2'!$L$1</definedName>
    <definedName name="Startdatum" localSheetId="4">'WAP - Wo 3'!$M$1</definedName>
    <definedName name="Startdatum">[1]VORLAGE!$K$4</definedName>
    <definedName name="Status" localSheetId="5">#REF!</definedName>
    <definedName name="Status">#REF!</definedName>
    <definedName name="Tätigkeiten" localSheetId="5">#REF!</definedName>
    <definedName name="Tätigkeiten">#REF!</definedName>
    <definedName name="Verantwortung" localSheetId="5">#REF!</definedName>
    <definedName name="Verantwortung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3" l="1"/>
  <c r="L1" i="82"/>
  <c r="N1" i="81"/>
  <c r="C117" i="80"/>
  <c r="C126" i="80" s="1"/>
  <c r="C6" i="80"/>
  <c r="K6" i="80" s="1"/>
  <c r="S6" i="80" s="1"/>
  <c r="AA6" i="80" s="1"/>
  <c r="AI6" i="80" s="1"/>
  <c r="AQ6" i="80" s="1"/>
  <c r="AY6" i="80" s="1"/>
  <c r="M1" i="80"/>
  <c r="BB20" i="83"/>
  <c r="BB19" i="83"/>
  <c r="BB18" i="83"/>
  <c r="BB17" i="83"/>
  <c r="BB20" i="82"/>
  <c r="BB19" i="82"/>
  <c r="BB18" i="82"/>
  <c r="BB17" i="82"/>
  <c r="BB20" i="81"/>
  <c r="BB19" i="81"/>
  <c r="BB18" i="81"/>
  <c r="BB17" i="81"/>
  <c r="BI20" i="80"/>
  <c r="BI18" i="80"/>
  <c r="BI17" i="80"/>
  <c r="BI19" i="80"/>
  <c r="BC7" i="83"/>
  <c r="BC7" i="82"/>
  <c r="BC7" i="81"/>
  <c r="BJ7" i="80"/>
  <c r="N2" i="79" a="1"/>
  <c r="N2" i="79" s="1"/>
  <c r="C52" i="79"/>
  <c r="C53" i="79"/>
  <c r="C54" i="79"/>
  <c r="C6" i="79"/>
  <c r="D6" i="79"/>
  <c r="D2" i="79"/>
  <c r="N2" i="78" a="1"/>
  <c r="N2" i="78" s="1"/>
  <c r="C54" i="78" s="1"/>
  <c r="C51" i="78"/>
  <c r="C52" i="78"/>
  <c r="C53" i="78"/>
  <c r="C6" i="78"/>
  <c r="D6" i="78"/>
  <c r="D2" i="78"/>
  <c r="N2" i="77" a="1"/>
  <c r="N2" i="77" s="1"/>
  <c r="C55" i="77" s="1"/>
  <c r="C52" i="77"/>
  <c r="C53" i="77"/>
  <c r="C54" i="77"/>
  <c r="C6" i="77"/>
  <c r="D6" i="77"/>
  <c r="D2" i="77"/>
  <c r="N2" i="76" a="1"/>
  <c r="N2" i="76" s="1"/>
  <c r="C52" i="76"/>
  <c r="C53" i="76"/>
  <c r="C54" i="76"/>
  <c r="C6" i="76"/>
  <c r="D6" i="76"/>
  <c r="D2" i="76"/>
  <c r="N2" i="75" a="1"/>
  <c r="N2" i="75" s="1"/>
  <c r="A6" i="75" s="1"/>
  <c r="C51" i="75"/>
  <c r="C52" i="75"/>
  <c r="C53" i="75"/>
  <c r="C6" i="75"/>
  <c r="D6" i="75"/>
  <c r="D2" i="75"/>
  <c r="N2" i="74" a="1"/>
  <c r="N2" i="74" s="1"/>
  <c r="C55" i="74" s="1"/>
  <c r="C52" i="74"/>
  <c r="C53" i="74"/>
  <c r="C54" i="74"/>
  <c r="C6" i="74"/>
  <c r="D6" i="74"/>
  <c r="D2" i="74"/>
  <c r="N2" i="73" a="1"/>
  <c r="N2" i="73" s="1"/>
  <c r="C55" i="73" s="1"/>
  <c r="C52" i="73"/>
  <c r="C53" i="73"/>
  <c r="C54" i="73"/>
  <c r="C6" i="73"/>
  <c r="D6" i="73"/>
  <c r="D2" i="73"/>
  <c r="N2" i="72" a="1"/>
  <c r="N2" i="72" s="1"/>
  <c r="C52" i="72"/>
  <c r="C53" i="72"/>
  <c r="C54" i="72"/>
  <c r="C6" i="72"/>
  <c r="D6" i="72"/>
  <c r="D2" i="72"/>
  <c r="N2" i="71" a="1"/>
  <c r="N2" i="71" s="1"/>
  <c r="A6" i="71" s="1"/>
  <c r="C52" i="71"/>
  <c r="C53" i="71"/>
  <c r="C54" i="71"/>
  <c r="C6" i="71"/>
  <c r="D6" i="71"/>
  <c r="D2" i="71"/>
  <c r="N2" i="56" a="1"/>
  <c r="N2" i="56" s="1"/>
  <c r="A6" i="56" s="1"/>
  <c r="C52" i="56"/>
  <c r="C53" i="56"/>
  <c r="C54" i="56"/>
  <c r="C6" i="56"/>
  <c r="D6" i="56"/>
  <c r="D2" i="56"/>
  <c r="D2" i="57"/>
  <c r="A6" i="57"/>
  <c r="C6" i="57"/>
  <c r="D6" i="57"/>
  <c r="C56" i="57"/>
  <c r="C57" i="57"/>
  <c r="C52" i="58"/>
  <c r="C53" i="58"/>
  <c r="C54" i="58"/>
  <c r="C55" i="58"/>
  <c r="C52" i="53"/>
  <c r="C53" i="53"/>
  <c r="C54" i="53"/>
  <c r="C55" i="53"/>
  <c r="D2" i="53"/>
  <c r="A6" i="53"/>
  <c r="C6" i="53"/>
  <c r="D6" i="53"/>
  <c r="C52" i="48"/>
  <c r="C53" i="48"/>
  <c r="C54" i="48"/>
  <c r="C55" i="48"/>
  <c r="A6" i="48"/>
  <c r="D2" i="48"/>
  <c r="C6" i="48"/>
  <c r="D6" i="48"/>
  <c r="C53" i="49"/>
  <c r="C52" i="49"/>
  <c r="C40" i="12"/>
  <c r="C69" i="8"/>
  <c r="C51" i="7"/>
  <c r="C68" i="6"/>
  <c r="C61" i="15"/>
  <c r="D2" i="12"/>
  <c r="D2" i="8"/>
  <c r="D2" i="7"/>
  <c r="D2" i="6"/>
  <c r="D2" i="15"/>
  <c r="D2" i="14"/>
  <c r="D2" i="13"/>
  <c r="C30" i="65"/>
  <c r="C32" i="60"/>
  <c r="A6" i="65"/>
  <c r="C6" i="65"/>
  <c r="D6" i="65"/>
  <c r="A6" i="60"/>
  <c r="C6" i="60"/>
  <c r="D6" i="60"/>
  <c r="C6" i="58"/>
  <c r="D6" i="58"/>
  <c r="D2" i="58"/>
  <c r="C6" i="55"/>
  <c r="D6" i="55"/>
  <c r="D2" i="55"/>
  <c r="C6" i="54"/>
  <c r="D6" i="54"/>
  <c r="D2" i="54"/>
  <c r="N2" i="49" a="1"/>
  <c r="N2" i="49" s="1"/>
  <c r="A6" i="49" s="1"/>
  <c r="C26" i="14"/>
  <c r="C26" i="13"/>
  <c r="C29" i="46"/>
  <c r="C54" i="49"/>
  <c r="C70" i="8"/>
  <c r="A6" i="15"/>
  <c r="A6" i="6"/>
  <c r="A6" i="7"/>
  <c r="A6" i="12"/>
  <c r="A6" i="14"/>
  <c r="A6" i="13"/>
  <c r="C30" i="46"/>
  <c r="D6" i="49"/>
  <c r="C6" i="49"/>
  <c r="D2" i="49"/>
  <c r="D2" i="46"/>
  <c r="D6" i="46"/>
  <c r="C6" i="46"/>
  <c r="K117" i="80" l="1"/>
  <c r="K126" i="80" s="1"/>
  <c r="C55" i="71"/>
  <c r="C54" i="75"/>
  <c r="A6" i="79"/>
  <c r="C55" i="79"/>
  <c r="C6" i="81"/>
  <c r="J6" i="81" s="1"/>
  <c r="Q6" i="81" s="1"/>
  <c r="X6" i="81" s="1"/>
  <c r="AE6" i="81" s="1"/>
  <c r="AL6" i="81" s="1"/>
  <c r="AS6" i="81" s="1"/>
  <c r="C117" i="81"/>
  <c r="C126" i="81" s="1"/>
  <c r="A6" i="72"/>
  <c r="C55" i="72"/>
  <c r="A6" i="76"/>
  <c r="C55" i="76"/>
  <c r="A6" i="74"/>
  <c r="A6" i="78"/>
  <c r="C55" i="56"/>
  <c r="A6" i="73"/>
  <c r="A6" i="77"/>
  <c r="A6" i="58"/>
  <c r="A6" i="54"/>
  <c r="C31" i="54"/>
  <c r="A6" i="55"/>
  <c r="C28" i="55"/>
  <c r="C62" i="15"/>
  <c r="C69" i="6"/>
  <c r="C52" i="7"/>
  <c r="C41" i="12"/>
  <c r="C55" i="49"/>
  <c r="A6" i="46"/>
  <c r="D6" i="15"/>
  <c r="C6" i="15"/>
  <c r="S117" i="80" l="1"/>
  <c r="S126" i="80" s="1"/>
  <c r="J117" i="81"/>
  <c r="J126" i="81" s="1"/>
  <c r="C6" i="82"/>
  <c r="J6" i="82" s="1"/>
  <c r="Q6" i="82" s="1"/>
  <c r="X6" i="82" s="1"/>
  <c r="AE6" i="82" s="1"/>
  <c r="AL6" i="82" s="1"/>
  <c r="AS6" i="82" s="1"/>
  <c r="C117" i="82"/>
  <c r="C126" i="82" s="1"/>
  <c r="D6" i="14"/>
  <c r="C6" i="14"/>
  <c r="D6" i="13"/>
  <c r="C6" i="13"/>
  <c r="D6" i="12"/>
  <c r="C6" i="12"/>
  <c r="AA117" i="80" l="1"/>
  <c r="AA126" i="80" s="1"/>
  <c r="J117" i="82"/>
  <c r="J126" i="82" s="1"/>
  <c r="C6" i="83"/>
  <c r="J6" i="83" s="1"/>
  <c r="Q6" i="83" s="1"/>
  <c r="X6" i="83" s="1"/>
  <c r="AE6" i="83" s="1"/>
  <c r="AL6" i="83" s="1"/>
  <c r="AS6" i="83" s="1"/>
  <c r="C117" i="83"/>
  <c r="C126" i="83" s="1"/>
  <c r="Q117" i="81"/>
  <c r="Q126" i="81" s="1"/>
  <c r="D6" i="8"/>
  <c r="C6" i="8"/>
  <c r="D6" i="7"/>
  <c r="C6" i="7"/>
  <c r="D6" i="6"/>
  <c r="C6" i="6"/>
  <c r="AI117" i="80" l="1"/>
  <c r="AI126" i="80" s="1"/>
  <c r="X117" i="81"/>
  <c r="X126" i="81" s="1"/>
  <c r="J117" i="83"/>
  <c r="J126" i="83" s="1"/>
  <c r="Q117" i="82"/>
  <c r="Q126" i="82" s="1"/>
  <c r="A6" i="8"/>
  <c r="AQ117" i="80" l="1"/>
  <c r="AQ126" i="80" s="1"/>
  <c r="X117" i="82"/>
  <c r="X126" i="82" s="1"/>
  <c r="Q117" i="83"/>
  <c r="Q126" i="83" s="1"/>
  <c r="AE117" i="81"/>
  <c r="AE126" i="81" s="1"/>
  <c r="AY117" i="80" l="1"/>
  <c r="AY126" i="80" s="1"/>
  <c r="AL117" i="81"/>
  <c r="AL126" i="81" s="1"/>
  <c r="X117" i="83"/>
  <c r="X126" i="83" s="1"/>
  <c r="AE117" i="82"/>
  <c r="AE126" i="82" s="1"/>
  <c r="AL117" i="82" l="1"/>
  <c r="AL126" i="82" s="1"/>
  <c r="AE117" i="83"/>
  <c r="AE126" i="83" s="1"/>
  <c r="AS117" i="81"/>
  <c r="AS126" i="81" s="1"/>
  <c r="AL117" i="83" l="1"/>
  <c r="AS117" i="83" s="1"/>
  <c r="AS117" i="82"/>
  <c r="AS126" i="8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<sst xmlns="http://schemas.openxmlformats.org/spreadsheetml/2006/main" count="19235" uniqueCount="462">
  <si>
    <t>Allgemeine Einstellungen</t>
  </si>
  <si>
    <t>Allgemein</t>
  </si>
  <si>
    <t>Name Kp</t>
  </si>
  <si>
    <t>Ter Div Stabskp 3</t>
  </si>
  <si>
    <t>Start Dienstleistung</t>
  </si>
  <si>
    <t>Zeiten</t>
  </si>
  <si>
    <t>Tagwache</t>
  </si>
  <si>
    <t>0545</t>
  </si>
  <si>
    <t>Morgenessen</t>
  </si>
  <si>
    <t>0600-0700</t>
  </si>
  <si>
    <t>Mittagessen</t>
  </si>
  <si>
    <t>1200-1300</t>
  </si>
  <si>
    <t>Abendessen</t>
  </si>
  <si>
    <t>1800-1900</t>
  </si>
  <si>
    <t>AV Morgen</t>
  </si>
  <si>
    <t>0715</t>
  </si>
  <si>
    <t>HV gross</t>
  </si>
  <si>
    <t>1845</t>
  </si>
  <si>
    <t>HV klein</t>
  </si>
  <si>
    <t>1945</t>
  </si>
  <si>
    <t>HV Urlaub</t>
  </si>
  <si>
    <t>1800</t>
  </si>
  <si>
    <t xml:space="preserve">ABV </t>
  </si>
  <si>
    <t>2230</t>
  </si>
  <si>
    <t>PD/ID</t>
  </si>
  <si>
    <t>2130-2230</t>
  </si>
  <si>
    <t>Wochenstarts</t>
  </si>
  <si>
    <t>Woche</t>
  </si>
  <si>
    <t>Datum</t>
  </si>
  <si>
    <t>Nr</t>
  </si>
  <si>
    <t>WKW0</t>
  </si>
  <si>
    <t>WKW1</t>
  </si>
  <si>
    <t>WKW2</t>
  </si>
  <si>
    <t>WKW3</t>
  </si>
  <si>
    <t>Personell</t>
  </si>
  <si>
    <t>Kp Kdt:</t>
  </si>
  <si>
    <t>Höheres Kader</t>
  </si>
  <si>
    <t>Tagesof</t>
  </si>
  <si>
    <t>Wachtof</t>
  </si>
  <si>
    <t>Wachtof WoE</t>
  </si>
  <si>
    <t>Tel KP Stabskp</t>
  </si>
  <si>
    <t>Tel LVZ/MCC</t>
  </si>
  <si>
    <t>Hptm Isler, Rolf</t>
  </si>
  <si>
    <t>Hptm Isler</t>
  </si>
  <si>
    <t>Wer</t>
  </si>
  <si>
    <t>(noch nicht bekannt)</t>
  </si>
  <si>
    <t>Oblt Sieber</t>
  </si>
  <si>
    <t>Lt Koç</t>
  </si>
  <si>
    <t>Lt Lopez-Polo</t>
  </si>
  <si>
    <t>Kp Kdt Stv:</t>
  </si>
  <si>
    <t>Oblt Coduri</t>
  </si>
  <si>
    <t>Lt Gemeinder</t>
  </si>
  <si>
    <t>Lt Omura</t>
  </si>
  <si>
    <t>Tel Tagesof</t>
  </si>
  <si>
    <t>Tel Wacht Of</t>
  </si>
  <si>
    <t>Oblt Sieber, Dario</t>
  </si>
  <si>
    <t>Lt Köchli</t>
  </si>
  <si>
    <t>Lt Lehner</t>
  </si>
  <si>
    <t>-</t>
  </si>
  <si>
    <t>Zugliste</t>
  </si>
  <si>
    <t>Lt Christophe Lopez-Polo</t>
  </si>
  <si>
    <t>Kdo Zug</t>
  </si>
  <si>
    <t>Log Zug</t>
  </si>
  <si>
    <t>Stabsz Bat</t>
  </si>
  <si>
    <t>Stabsz Gs Vb</t>
  </si>
  <si>
    <t>Adj Uof Heusser</t>
  </si>
  <si>
    <t>Syst Z</t>
  </si>
  <si>
    <t>Fur Cattaneo</t>
  </si>
  <si>
    <t>Bat Kdt</t>
  </si>
  <si>
    <t>Maj i Gst Ciarulli, Giovanni</t>
  </si>
  <si>
    <t>Begriffe /Zellenvorlagen</t>
  </si>
  <si>
    <t>Tätigkeiten:</t>
  </si>
  <si>
    <t>Rapporte:</t>
  </si>
  <si>
    <t>Räumlichkeiten</t>
  </si>
  <si>
    <t>Verantwortung</t>
  </si>
  <si>
    <t>Bearbeitungsstatus</t>
  </si>
  <si>
    <t>Tagwache / diane</t>
  </si>
  <si>
    <t>Kompanierapport</t>
  </si>
  <si>
    <t>MZG Bonaduz</t>
  </si>
  <si>
    <t>Kp Kdt / cdt cp</t>
  </si>
  <si>
    <t>Entwurf</t>
  </si>
  <si>
    <t>Morgenessen / colazione</t>
  </si>
  <si>
    <t>Dienstrapport</t>
  </si>
  <si>
    <t>Ukft / cant</t>
  </si>
  <si>
    <t>Zfhr / caposez</t>
  </si>
  <si>
    <t>Bereit für Kdt</t>
  </si>
  <si>
    <t>AV / APE</t>
  </si>
  <si>
    <t>Bataillonsapport</t>
  </si>
  <si>
    <t>Wachtlokal</t>
  </si>
  <si>
    <t>Einh Fw / sgtm U</t>
  </si>
  <si>
    <t>Genehmigt durch Kdt</t>
  </si>
  <si>
    <t>gem beso Bf / secondo ordine speciale</t>
  </si>
  <si>
    <t>Esssaal / refettorio</t>
  </si>
  <si>
    <t>Einh Fur</t>
  </si>
  <si>
    <t>Verworfen</t>
  </si>
  <si>
    <t>Ausb gem Zfhr / instr selon c sect</t>
  </si>
  <si>
    <t>AV-Platz / place d'appel</t>
  </si>
  <si>
    <t>Extern</t>
  </si>
  <si>
    <t>Mittagessen / pranzo</t>
  </si>
  <si>
    <t>Gelände / Terrain</t>
  </si>
  <si>
    <t>Nachtessen / cena</t>
  </si>
  <si>
    <t>Pausensektor</t>
  </si>
  <si>
    <t>WEB / REPE</t>
  </si>
  <si>
    <t>Bat KP</t>
  </si>
  <si>
    <t>MCE Ausb Pl C</t>
  </si>
  <si>
    <t>HV / APP</t>
  </si>
  <si>
    <t>MCE Ausb Pl D</t>
  </si>
  <si>
    <t>Ausgang / sortie</t>
  </si>
  <si>
    <t>MCE KD 41 1/2</t>
  </si>
  <si>
    <t>Fak Ausgang / cena fak</t>
  </si>
  <si>
    <t>MCE KD 41 3</t>
  </si>
  <si>
    <t>Nacharbeit / ratrapage</t>
  </si>
  <si>
    <t>MCE KD 48a / 300m</t>
  </si>
  <si>
    <t>ABV / APS</t>
  </si>
  <si>
    <t>Mat Mag</t>
  </si>
  <si>
    <t>Mun Mag</t>
  </si>
  <si>
    <t>Waschplatz</t>
  </si>
  <si>
    <t>Wochenarbeitsplan KVK</t>
  </si>
  <si>
    <t>Einheit / unità: Ter Div Stabskp 3</t>
  </si>
  <si>
    <t>Zeit</t>
  </si>
  <si>
    <t>Montag / Lunedì</t>
  </si>
  <si>
    <t xml:space="preserve">  Dienstag / Martedì</t>
  </si>
  <si>
    <t xml:space="preserve">  Mittwoch / Mercoledì</t>
  </si>
  <si>
    <t xml:space="preserve">  Donnerstag / Giovedì</t>
  </si>
  <si>
    <t xml:space="preserve">  Freitag / Venerdì</t>
  </si>
  <si>
    <t>Samstag / Samedi</t>
  </si>
  <si>
    <t>Sonntag / Domenica</t>
  </si>
  <si>
    <t>Bemerkungen / Observations</t>
  </si>
  <si>
    <t>heure</t>
  </si>
  <si>
    <t>Kdo</t>
  </si>
  <si>
    <t>Log</t>
  </si>
  <si>
    <t>Wach Det</t>
  </si>
  <si>
    <t>Of</t>
  </si>
  <si>
    <t>Uof</t>
  </si>
  <si>
    <t>Rap</t>
  </si>
  <si>
    <t>Beso</t>
  </si>
  <si>
    <t>Kp</t>
  </si>
  <si>
    <t xml:space="preserve">Stand: </t>
  </si>
  <si>
    <t>0500</t>
  </si>
  <si>
    <t>BR: Bataillonsrapport;</t>
  </si>
  <si>
    <t>KR: Kompanierapport</t>
  </si>
  <si>
    <t>DR: Dienstrapport</t>
  </si>
  <si>
    <t>0600</t>
  </si>
  <si>
    <t>AR: Ausbildungsrapport</t>
  </si>
  <si>
    <t>Telefonnummern</t>
  </si>
  <si>
    <t>0700</t>
  </si>
  <si>
    <t>0800</t>
  </si>
  <si>
    <t>Wochenziele</t>
  </si>
  <si>
    <t>- Erfolgreiche Durchführung des zentralen KVK
- Kader sind vorbereitet für den ADF
- Ausbildungen und Vb Trainings sind geplant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</si>
  <si>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</si>
  <si>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</si>
  <si>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</si>
  <si>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</si>
  <si>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</si>
  <si>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</si>
  <si>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</si>
  <si>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</si>
  <si>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</si>
  <si>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1900</t>
  </si>
  <si>
    <t>2000</t>
  </si>
  <si>
    <t>2100</t>
  </si>
  <si>
    <t>2200</t>
  </si>
  <si>
    <t xml:space="preserve">Hptm Rolf Isler
Kdt </t>
  </si>
  <si>
    <t>2300</t>
  </si>
  <si>
    <t>Montag / lundi</t>
  </si>
  <si>
    <t xml:space="preserve">  Dienstag / Mardi</t>
  </si>
  <si>
    <t xml:space="preserve">  Mittwoch / Mercredi</t>
  </si>
  <si>
    <t xml:space="preserve">  Donnerstag / Jeudi</t>
  </si>
  <si>
    <t xml:space="preserve">  Freitag / Vendredi</t>
  </si>
  <si>
    <t>Termine / Info</t>
  </si>
  <si>
    <t>10</t>
  </si>
  <si>
    <t>Synchro LVZ mit Zfhr Stabsz Bat, Bat KP (S1)</t>
  </si>
  <si>
    <t>Erkundung Spl CHUR (S2, UL ADF 2026)</t>
  </si>
  <si>
    <t>LVZ zG Bat Stab einsatzbereit (Stabsz Bat)</t>
  </si>
  <si>
    <t>Fsg Kp Apotheke, MZR CHUR (Az)</t>
  </si>
  <si>
    <t>11</t>
  </si>
  <si>
    <t>AR 1 für KU Mi &amp; Do, Bat KP (Kdt Stv)</t>
  </si>
  <si>
    <t>Start Betrieb Bat Kanzlei (Stabsz Bat)</t>
  </si>
  <si>
    <t>AR 2 für KU (GS), gem Bf</t>
  </si>
  <si>
    <t>Ausb FU Planer Uem Stao Wahl (S6)</t>
  </si>
  <si>
    <t>Ktrl Funktion SMARTCARD AdA LVZ (Stabsz Bat)</t>
  </si>
  <si>
    <t>Slot RA-Stelle für AWB-Karten</t>
  </si>
  <si>
    <t>MCC "EOS 26" zG Ter Div 3 BBZ (S6)</t>
  </si>
  <si>
    <t>Einrücken FU Planer (S6)</t>
  </si>
  <si>
    <t>Einführung Ansprechspersonen BERCO, Bat KP</t>
  </si>
  <si>
    <t>FUBEKO Geräte KU erledigt (Kdt Stabskp)</t>
  </si>
  <si>
    <t>Wochenarbeitsplan Woche 1</t>
  </si>
  <si>
    <t>CAPO DUE</t>
  </si>
  <si>
    <t>Shuttle Rivera</t>
  </si>
  <si>
    <t>Shuttle &amp; Tirage 
Chur</t>
  </si>
  <si>
    <t>Rest Trp</t>
  </si>
  <si>
    <t>Kdo Z</t>
  </si>
  <si>
    <t>Log &amp; VT</t>
  </si>
  <si>
    <t>BBZ MCC an LVZ Bat</t>
  </si>
  <si>
    <t>TBZ inkl WachtD Stufe 4 HQ BRIGELS</t>
  </si>
  <si>
    <t>Wochenarbeitsplan Woche 2</t>
  </si>
  <si>
    <t xml:space="preserve"> </t>
  </si>
  <si>
    <t>Zwischenrevision (Four/Qm)</t>
  </si>
  <si>
    <t>Meldung erfolgte Kü Insp an Qm</t>
  </si>
  <si>
    <t>Wochenarbeitsplan Woche 3</t>
  </si>
  <si>
    <t>Stabsbat Challenge</t>
  </si>
  <si>
    <t>Schlussrevision (Four/Qm)</t>
  </si>
  <si>
    <t>Abbau Zaunelemente</t>
  </si>
  <si>
    <t>Abgabe Zaunelemente, VOL Chur</t>
  </si>
  <si>
    <t>Ei Ende LVZ Bat</t>
  </si>
  <si>
    <t>Status:</t>
  </si>
  <si>
    <t>Index</t>
  </si>
  <si>
    <t>Ter Div Stabsbat 3 - zentraler KVK</t>
  </si>
  <si>
    <r>
      <t xml:space="preserve">Tagesbefehl / </t>
    </r>
    <r>
      <rPr>
        <b/>
        <i/>
        <sz val="11"/>
        <color indexed="9"/>
        <rFont val="Arial"/>
        <family val="2"/>
      </rPr>
      <t>Ordine del giorno</t>
    </r>
  </si>
  <si>
    <t>Revision:</t>
  </si>
  <si>
    <t>Ersetzt version:</t>
  </si>
  <si>
    <t>Aktivität</t>
  </si>
  <si>
    <t>Standort</t>
  </si>
  <si>
    <r>
      <t>1 Dienstbetrieb / Ausbildung</t>
    </r>
    <r>
      <rPr>
        <b/>
        <i/>
        <sz val="9"/>
        <rFont val="Arial"/>
        <family val="2"/>
      </rPr>
      <t xml:space="preserve">   - </t>
    </r>
    <r>
      <rPr>
        <b/>
        <sz val="9"/>
        <rFont val="Arial"/>
        <family val="2"/>
      </rPr>
      <t xml:space="preserve">  </t>
    </r>
    <r>
      <rPr>
        <i/>
        <sz val="9"/>
        <rFont val="Arial"/>
        <family val="2"/>
      </rPr>
      <t>Operazioni di servizio / formazione</t>
    </r>
  </si>
  <si>
    <t>Alle</t>
  </si>
  <si>
    <t>Mittagessen / pranzo (SESO)</t>
  </si>
  <si>
    <t>Einh Fur Stabskp</t>
  </si>
  <si>
    <t>1800-1845</t>
  </si>
  <si>
    <t>1900-2000</t>
  </si>
  <si>
    <t xml:space="preserve">Regieanweisungen KVK </t>
  </si>
  <si>
    <t>Einh Kdt Stabskp</t>
  </si>
  <si>
    <t>ThS Bonaduz</t>
  </si>
  <si>
    <t>2200-2300</t>
  </si>
  <si>
    <t>Ukft / acc</t>
  </si>
  <si>
    <t>Stab</t>
  </si>
  <si>
    <t>0930-1030</t>
  </si>
  <si>
    <t>Einrücken</t>
  </si>
  <si>
    <t>Bat Kdt Stv / SC</t>
  </si>
  <si>
    <t>1030-1200</t>
  </si>
  <si>
    <t>Eintrittstheorie Kdt</t>
  </si>
  <si>
    <t>1300-1615</t>
  </si>
  <si>
    <t>Erstellen Fhr Fähigkeit</t>
  </si>
  <si>
    <t xml:space="preserve">Bat KP </t>
  </si>
  <si>
    <t>1630-1800</t>
  </si>
  <si>
    <t>Ausb DPSA</t>
  </si>
  <si>
    <t>2000-2200</t>
  </si>
  <si>
    <t>Stabsarbeit</t>
  </si>
  <si>
    <t>Einh Kdt</t>
  </si>
  <si>
    <t>1300-1400</t>
  </si>
  <si>
    <t>Rapportraum</t>
  </si>
  <si>
    <t>1400-1630</t>
  </si>
  <si>
    <t>AVOR</t>
  </si>
  <si>
    <t>Zfhr</t>
  </si>
  <si>
    <t>1400-1800</t>
  </si>
  <si>
    <t>Truppe Stabskp</t>
  </si>
  <si>
    <t>gem MBK</t>
  </si>
  <si>
    <t>Einrücken Det-weise</t>
  </si>
  <si>
    <t>Det C</t>
  </si>
  <si>
    <t>gem Befehl</t>
  </si>
  <si>
    <t>gz Tag</t>
  </si>
  <si>
    <t>gem Bf Det C</t>
  </si>
  <si>
    <t>1500-1600</t>
  </si>
  <si>
    <t>Regierungserklärung (alle höh Kader)</t>
  </si>
  <si>
    <t>1600-1700</t>
  </si>
  <si>
    <t>AR 0 (alle höh Kader)</t>
  </si>
  <si>
    <r>
      <t xml:space="preserve">2 Besonderes  </t>
    </r>
    <r>
      <rPr>
        <b/>
        <i/>
        <sz val="9"/>
        <rFont val="Arial"/>
        <family val="2"/>
      </rPr>
      <t xml:space="preserve"> -</t>
    </r>
    <r>
      <rPr>
        <sz val="9"/>
        <rFont val="Arial"/>
        <family val="2"/>
      </rPr>
      <t xml:space="preserve">   </t>
    </r>
    <r>
      <rPr>
        <i/>
        <sz val="9"/>
        <rFont val="Arial"/>
        <family val="2"/>
      </rPr>
      <t>Caratteristiche speciali</t>
    </r>
  </si>
  <si>
    <t>ab 0930</t>
  </si>
  <si>
    <t>WAT Stufe 2</t>
  </si>
  <si>
    <t>Wacht Of</t>
  </si>
  <si>
    <t>MZG Bonaduz &amp; Bat KP</t>
  </si>
  <si>
    <t>Abfahrt Bus Rivera - ALC-M</t>
  </si>
  <si>
    <t>Bhf Rivera</t>
  </si>
  <si>
    <t>Fassung Lunch Vpf Zen MCE</t>
  </si>
  <si>
    <t>MCE</t>
  </si>
  <si>
    <t>1300-1330</t>
  </si>
  <si>
    <t>Mun Fsg für Wache (Stabskp)</t>
  </si>
  <si>
    <t>ALC-M</t>
  </si>
  <si>
    <t>1730-1800</t>
  </si>
  <si>
    <t>Synchro LVZ mit Zfhr Stabsz Bat</t>
  </si>
  <si>
    <t>S1</t>
  </si>
  <si>
    <r>
      <t xml:space="preserve">3 Rapporte  </t>
    </r>
    <r>
      <rPr>
        <b/>
        <i/>
        <sz val="9"/>
        <rFont val="Arial"/>
        <family val="2"/>
      </rPr>
      <t xml:space="preserve"> -</t>
    </r>
    <r>
      <rPr>
        <b/>
        <sz val="9"/>
        <rFont val="Arial"/>
        <family val="2"/>
      </rPr>
      <t xml:space="preserve">  </t>
    </r>
    <r>
      <rPr>
        <i/>
        <sz val="9"/>
        <rFont val="Arial"/>
        <family val="2"/>
      </rPr>
      <t>Rapporti</t>
    </r>
  </si>
  <si>
    <t>2000-2030</t>
  </si>
  <si>
    <t>SRK (nur Stab)</t>
  </si>
  <si>
    <r>
      <t xml:space="preserve">4 Kommandierungen &amp; Kontakte  </t>
    </r>
    <r>
      <rPr>
        <i/>
        <sz val="9"/>
        <rFont val="Arial"/>
        <family val="2"/>
      </rPr>
      <t xml:space="preserve"> </t>
    </r>
    <r>
      <rPr>
        <b/>
        <i/>
        <sz val="9"/>
        <rFont val="Arial"/>
        <family val="2"/>
      </rPr>
      <t>-</t>
    </r>
    <r>
      <rPr>
        <i/>
        <sz val="9"/>
        <rFont val="Arial"/>
        <family val="2"/>
      </rPr>
      <t xml:space="preserve">  Comandi e Contatti</t>
    </r>
  </si>
  <si>
    <t>ständig</t>
  </si>
  <si>
    <t>KP Stabskp</t>
  </si>
  <si>
    <t>Tel: (noch nicht bekannt)</t>
  </si>
  <si>
    <t>gz Woche</t>
  </si>
  <si>
    <t>Tagesof Stabskp</t>
  </si>
  <si>
    <t xml:space="preserve">MCC </t>
  </si>
  <si>
    <t xml:space="preserve">Eingesehen von </t>
  </si>
  <si>
    <t>Ter Div Stabsbat 3</t>
  </si>
  <si>
    <t>Oberstlt i Gst Ciarulli, Giovanni</t>
  </si>
  <si>
    <t>Geht an</t>
  </si>
  <si>
    <t>Kader Stabsbataillon</t>
  </si>
  <si>
    <t>Truppe (via Anschlagsbrett)</t>
  </si>
  <si>
    <t>z K an</t>
  </si>
  <si>
    <t>Bat Kanzlei</t>
  </si>
  <si>
    <t>0600-0645</t>
  </si>
  <si>
    <t>0645</t>
  </si>
  <si>
    <t xml:space="preserve">AV / APE </t>
  </si>
  <si>
    <t>AV-Platz / piazza d'appello</t>
  </si>
  <si>
    <t>1300-1415</t>
  </si>
  <si>
    <t>Korpsvisite, Kdt TD3. Tn: Of + höh Uof</t>
  </si>
  <si>
    <t>1530-1630</t>
  </si>
  <si>
    <t>KU Cyber</t>
  </si>
  <si>
    <t>S2</t>
  </si>
  <si>
    <t>Ausb MND</t>
  </si>
  <si>
    <t>1800-2000</t>
  </si>
  <si>
    <t>0900-1200</t>
  </si>
  <si>
    <t>1430-1515</t>
  </si>
  <si>
    <t xml:space="preserve">Sync Rap KVK </t>
  </si>
  <si>
    <t>0700-1200</t>
  </si>
  <si>
    <t>höh Uof</t>
  </si>
  <si>
    <t>z Vf Kp Kdt</t>
  </si>
  <si>
    <t>Grfhr</t>
  </si>
  <si>
    <t>1700-1800</t>
  </si>
  <si>
    <t>0800-1200</t>
  </si>
  <si>
    <t>0730</t>
  </si>
  <si>
    <t>Erkundung Spl CHUR</t>
  </si>
  <si>
    <t>Spl CHUR</t>
  </si>
  <si>
    <t>ab 0800</t>
  </si>
  <si>
    <t>Betrieb Bat Kanzlei</t>
  </si>
  <si>
    <t>0830</t>
  </si>
  <si>
    <t>0900-0930</t>
  </si>
  <si>
    <t>S6</t>
  </si>
  <si>
    <t>Prüfen &amp; Anpassen</t>
  </si>
  <si>
    <t>1030-1130</t>
  </si>
  <si>
    <t>Einf Kp Ber Of BERCO</t>
  </si>
  <si>
    <t>Ber Of</t>
  </si>
  <si>
    <t>bis 1200</t>
  </si>
  <si>
    <t>Kdt Stabskp</t>
  </si>
  <si>
    <t>0700-0900</t>
  </si>
  <si>
    <t>SRG (nur Stab)</t>
  </si>
  <si>
    <t>2030-2200</t>
  </si>
  <si>
    <t>BR 0</t>
  </si>
  <si>
    <t>0600-0630</t>
  </si>
  <si>
    <t>Dienstrapport Stabskp</t>
  </si>
  <si>
    <t>Büro Kdt</t>
  </si>
  <si>
    <t>0530-0615</t>
  </si>
  <si>
    <t>0615</t>
  </si>
  <si>
    <t>WEB / PD / ID</t>
  </si>
  <si>
    <t>Kaderabend</t>
  </si>
  <si>
    <t>Stabsarbeit &amp; Ustü KU gem Kdt Stv</t>
  </si>
  <si>
    <t>Bat KP, Gelände</t>
  </si>
  <si>
    <t>0730-1200</t>
  </si>
  <si>
    <t>Takt Dialog</t>
  </si>
  <si>
    <t>TL Brigels</t>
  </si>
  <si>
    <t>1300-1800</t>
  </si>
  <si>
    <t>Ustü KU gem Kdt Stv</t>
  </si>
  <si>
    <t>Zfhr &amp; Grfhr</t>
  </si>
  <si>
    <t>0630-0730</t>
  </si>
  <si>
    <t>Vs BONADUZ - THUSIS</t>
  </si>
  <si>
    <t>VT Stabskp</t>
  </si>
  <si>
    <t xml:space="preserve">KU Fhr und Ei der Gruppe </t>
  </si>
  <si>
    <t>Altes Zgh THUSIS</t>
  </si>
  <si>
    <t>Mittagessen Feld</t>
  </si>
  <si>
    <t>KU Fhr und Ei der Gruppe (GS)</t>
  </si>
  <si>
    <t>Vs THUSIS - BONADUZ</t>
  </si>
  <si>
    <t>TK höh Uof</t>
  </si>
  <si>
    <t>Stabsuof</t>
  </si>
  <si>
    <t>ThS Wpl CHUR</t>
  </si>
  <si>
    <t>S Ausb</t>
  </si>
  <si>
    <t>Wpl CHUR</t>
  </si>
  <si>
    <t>ab 0700</t>
  </si>
  <si>
    <t>LVZ zG Bat Stab einsatzbereit</t>
  </si>
  <si>
    <t>0630-0700</t>
  </si>
  <si>
    <t>SRK</t>
  </si>
  <si>
    <t>Kp Kader: z Vf Kp Kdt (AR/KU)</t>
  </si>
  <si>
    <t>1900-2200</t>
  </si>
  <si>
    <t>2230-2300</t>
  </si>
  <si>
    <t>PD / ID</t>
  </si>
  <si>
    <t>0730-1500</t>
  </si>
  <si>
    <t>Stabsarbeit / Ltg KU</t>
  </si>
  <si>
    <t>1500-1800</t>
  </si>
  <si>
    <t>Training FIS HE</t>
  </si>
  <si>
    <t xml:space="preserve">Stabsarbeit </t>
  </si>
  <si>
    <t>Ustü KU gem C FGG</t>
  </si>
  <si>
    <t>0630-1200</t>
  </si>
  <si>
    <t>KU Log (MZG Bonaduz oder Altes Zgh?)</t>
  </si>
  <si>
    <t>FGG4</t>
  </si>
  <si>
    <t xml:space="preserve">Altes Zgh THUSIS </t>
  </si>
  <si>
    <t>Kader FU</t>
  </si>
  <si>
    <t>KU FU (inkl Vs)</t>
  </si>
  <si>
    <t>FGG6</t>
  </si>
  <si>
    <t>Kader Inf</t>
  </si>
  <si>
    <t>KU Inf (inkl Vs)</t>
  </si>
  <si>
    <t>Kdt Si Kp</t>
  </si>
  <si>
    <t>Kader Aufkl</t>
  </si>
  <si>
    <t>KU Aufkl (inkl Vs)</t>
  </si>
  <si>
    <t>FGG2</t>
  </si>
  <si>
    <t>Kader Log</t>
  </si>
  <si>
    <t>Kader gem Bedarf Einh Kdt</t>
  </si>
  <si>
    <t>KU ABC (inkl Vs)</t>
  </si>
  <si>
    <t>FGG3</t>
  </si>
  <si>
    <t>KU MCC (inkl Vs)</t>
  </si>
  <si>
    <t>Vs MZG Bonaduz - Altes Zgh Thusis</t>
  </si>
  <si>
    <t>0730-0830</t>
  </si>
  <si>
    <t>Einführung in ESPLORATIONE GRANDE für Aufkl Kdt+Zfhr</t>
  </si>
  <si>
    <t>?</t>
  </si>
  <si>
    <t>0800-0900</t>
  </si>
  <si>
    <t>Fsg Kp Apotheke</t>
  </si>
  <si>
    <t>Az</t>
  </si>
  <si>
    <t>MZR Chur</t>
  </si>
  <si>
    <t>1130-1200</t>
  </si>
  <si>
    <t>Vs Altes Zgh Thusis - MZG Bonaduz</t>
  </si>
  <si>
    <t>Ausb FU Planer Uem Stao Wahl</t>
  </si>
  <si>
    <t>gem beso Bf</t>
  </si>
  <si>
    <t>0700-0730</t>
  </si>
  <si>
    <t>Bat Kdt Stv</t>
  </si>
  <si>
    <t>AR 1 (Zfhr Stabskp)</t>
  </si>
  <si>
    <t>Zfhr Stabskp</t>
  </si>
  <si>
    <t>1800-1830</t>
  </si>
  <si>
    <t>Lunch</t>
  </si>
  <si>
    <t>ab 1830</t>
  </si>
  <si>
    <t>Reserve, anschl Abtreten gem Bat Kdt</t>
  </si>
  <si>
    <t>Kp Stao</t>
  </si>
  <si>
    <t>Bat Stab</t>
  </si>
  <si>
    <t>ET Stab "VALIA &amp; Eigenschutz"</t>
  </si>
  <si>
    <t>Kp Kader</t>
  </si>
  <si>
    <t>0530-0600</t>
  </si>
  <si>
    <t xml:space="preserve">Sicherstellung Einrücken AdA MCC "EOS 26" </t>
  </si>
  <si>
    <t>Qm</t>
  </si>
  <si>
    <t>absichtlich leer</t>
  </si>
  <si>
    <t>Tel: 041 835 10 68</t>
  </si>
  <si>
    <t>Wochenende</t>
  </si>
  <si>
    <t>Kader Stabskp</t>
  </si>
  <si>
    <t xml:space="preserve">Einrücken </t>
  </si>
  <si>
    <t xml:space="preserve">gz Tag </t>
  </si>
  <si>
    <t>Mob U "COMINCIA 25"</t>
  </si>
  <si>
    <t>Wpl Monte Ceneri</t>
  </si>
  <si>
    <t xml:space="preserve">LVZ / MCC </t>
  </si>
  <si>
    <t>Tel: 041 835 10 35</t>
  </si>
  <si>
    <t xml:space="preserve">Tagesof </t>
  </si>
  <si>
    <t>Fur</t>
  </si>
  <si>
    <t>AV</t>
  </si>
  <si>
    <t>Einh Fw / sgtm u</t>
  </si>
  <si>
    <t>Zfhr / c sect</t>
  </si>
  <si>
    <t>0715-1200</t>
  </si>
  <si>
    <t xml:space="preserve">Dienstbetrieb </t>
  </si>
  <si>
    <t>Log Z</t>
  </si>
  <si>
    <t>VT Zug</t>
  </si>
  <si>
    <t>0730-0800</t>
  </si>
  <si>
    <t>1130-1215</t>
  </si>
  <si>
    <t>Dienstbetrieb</t>
  </si>
  <si>
    <t>ZSA Sattel</t>
  </si>
  <si>
    <t>Log Dienstleistung</t>
  </si>
  <si>
    <t>Log Uof</t>
  </si>
  <si>
    <t>Betrieb VT</t>
  </si>
  <si>
    <t>VT Of</t>
  </si>
  <si>
    <t>Betrieb Bat KP</t>
  </si>
  <si>
    <t>Bat KP Kaltbach</t>
  </si>
  <si>
    <t>ZAP HQ Tech</t>
  </si>
  <si>
    <t>Vb Training Gruppe</t>
  </si>
  <si>
    <t>Spl Altmatt</t>
  </si>
  <si>
    <t>1900-1945</t>
  </si>
  <si>
    <t>Dienstbesprechung mit Uof</t>
  </si>
  <si>
    <t>1900-2100</t>
  </si>
  <si>
    <t>Fassung Schutzweste Zugsweise</t>
  </si>
  <si>
    <t>0500-0600</t>
  </si>
  <si>
    <t>Dienstbesprechung Mannschaft</t>
  </si>
  <si>
    <t>WoE Of</t>
  </si>
  <si>
    <t>Kader</t>
  </si>
  <si>
    <t>0500-0530</t>
  </si>
  <si>
    <t>0530-0545</t>
  </si>
  <si>
    <t>Zimmerkontrolle mit Zimmerchef</t>
  </si>
  <si>
    <t>bis 1800</t>
  </si>
  <si>
    <t>Einsatzvorbereitung</t>
  </si>
  <si>
    <t>Übugnseinführung U PRONTO</t>
  </si>
  <si>
    <t>Berrm gem Bf</t>
  </si>
  <si>
    <t>Bf Ausgabe 1. Phase U "PRONTO"</t>
  </si>
  <si>
    <t>ganzer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</si>
</sst>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CHF&quot;\ * #,##0.00_ ;_ &quot;CHF&quot;\ * \-#,##0.00_ ;_ &quot;CHF&quot;\ * &quot;-&quot;??_ ;_ @_ "/>
    <numFmt numFmtId="164" formatCode="dd\.mm\.yyyy;@"/>
    <numFmt numFmtId="165" formatCode="dd/mm/yy;@"/>
    <numFmt numFmtId="166" formatCode="0.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9"/>
      <color theme="1"/>
      <name val="Arial"/>
      <family val="2"/>
    </font>
    <font>
      <sz val="30"/>
      <name val="Arial"/>
      <family val="2"/>
    </font>
    <font>
      <b/>
      <sz val="30"/>
      <name val="Arial"/>
      <family val="2"/>
    </font>
    <font>
      <sz val="10"/>
      <color theme="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6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b/>
      <sz val="7"/>
      <color rgb="FFFF0000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b/>
      <i/>
      <sz val="14"/>
      <name val="Arial"/>
      <family val="2"/>
    </font>
    <font>
      <b/>
      <sz val="16"/>
      <color theme="1"/>
      <name val="Arial"/>
      <family val="2"/>
    </font>
    <font>
      <sz val="12"/>
      <color indexed="8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9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4" fontId="20" fillId="0" borderId="0" applyFont="0" applyFill="0" applyBorder="0" applyAlignment="0" applyProtection="0"/>
    <xf numFmtId="0" fontId="2" fillId="0" borderId="0"/>
    <xf numFmtId="0" fontId="1" fillId="0" borderId="0"/>
  </cellStyleXfs>
  <cellXfs count="27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0" borderId="0" xfId="0" applyFont="1"/>
    <xf numFmtId="0" fontId="8" fillId="2" borderId="0" xfId="0" applyFont="1" applyFill="1" applyAlignment="1" applyProtection="1">
      <alignment horizontal="right"/>
      <protection locked="0"/>
    </xf>
    <xf numFmtId="0" fontId="10" fillId="2" borderId="1" xfId="0" applyFont="1" applyFill="1" applyBorder="1" applyAlignment="1">
      <alignment vertical="top"/>
    </xf>
    <xf numFmtId="49" fontId="10" fillId="2" borderId="0" xfId="0" applyNumberFormat="1" applyFont="1" applyFill="1" applyAlignment="1">
      <alignment vertical="top"/>
    </xf>
    <xf numFmtId="49" fontId="10" fillId="0" borderId="0" xfId="0" applyNumberFormat="1" applyFont="1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10" fillId="2" borderId="1" xfId="0" applyFont="1" applyFill="1" applyBorder="1" applyAlignment="1">
      <alignment vertical="top" wrapText="1"/>
    </xf>
    <xf numFmtId="49" fontId="10" fillId="2" borderId="0" xfId="0" applyNumberFormat="1" applyFont="1" applyFill="1" applyAlignment="1">
      <alignment vertical="top" wrapText="1"/>
    </xf>
    <xf numFmtId="49" fontId="10" fillId="2" borderId="0" xfId="0" applyNumberFormat="1" applyFont="1" applyFill="1"/>
    <xf numFmtId="0" fontId="10" fillId="2" borderId="0" xfId="0" applyFont="1" applyFill="1" applyAlignment="1">
      <alignment vertical="top"/>
    </xf>
    <xf numFmtId="49" fontId="10" fillId="0" borderId="0" xfId="0" applyNumberFormat="1" applyFont="1" applyAlignment="1">
      <alignment wrapText="1"/>
    </xf>
    <xf numFmtId="49" fontId="10" fillId="0" borderId="0" xfId="0" applyNumberFormat="1" applyFont="1"/>
    <xf numFmtId="49" fontId="14" fillId="0" borderId="0" xfId="0" applyNumberFormat="1" applyFont="1" applyAlignment="1" applyProtection="1">
      <alignment wrapText="1"/>
      <protection locked="0"/>
    </xf>
    <xf numFmtId="0" fontId="10" fillId="2" borderId="0" xfId="0" applyFont="1" applyFill="1"/>
    <xf numFmtId="0" fontId="10" fillId="0" borderId="0" xfId="0" applyFont="1"/>
    <xf numFmtId="0" fontId="15" fillId="0" borderId="0" xfId="0" applyFont="1" applyProtection="1">
      <protection locked="0"/>
    </xf>
    <xf numFmtId="0" fontId="15" fillId="2" borderId="0" xfId="0" applyFont="1" applyFill="1"/>
    <xf numFmtId="0" fontId="11" fillId="2" borderId="0" xfId="0" applyFont="1" applyFill="1" applyAlignment="1">
      <alignment horizontal="right"/>
    </xf>
    <xf numFmtId="0" fontId="7" fillId="2" borderId="0" xfId="0" applyFont="1" applyFill="1" applyAlignment="1" applyProtection="1">
      <alignment horizontal="left"/>
      <protection locked="0"/>
    </xf>
    <xf numFmtId="0" fontId="10" fillId="2" borderId="0" xfId="0" applyFont="1" applyFill="1" applyAlignment="1">
      <alignment horizontal="left" vertical="top" wrapText="1"/>
    </xf>
    <xf numFmtId="0" fontId="15" fillId="0" borderId="0" xfId="0" applyFont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49" fontId="11" fillId="2" borderId="1" xfId="0" applyNumberFormat="1" applyFont="1" applyFill="1" applyBorder="1" applyAlignment="1">
      <alignment vertical="top"/>
    </xf>
    <xf numFmtId="49" fontId="11" fillId="0" borderId="0" xfId="0" applyNumberFormat="1" applyFont="1" applyAlignment="1">
      <alignment wrapText="1"/>
    </xf>
    <xf numFmtId="49" fontId="11" fillId="2" borderId="0" xfId="0" applyNumberFormat="1" applyFont="1" applyFill="1"/>
    <xf numFmtId="49" fontId="10" fillId="2" borderId="0" xfId="0" applyNumberFormat="1" applyFont="1" applyFill="1" applyProtection="1">
      <protection locked="0"/>
    </xf>
    <xf numFmtId="49" fontId="11" fillId="0" borderId="0" xfId="0" applyNumberFormat="1" applyFon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2" fillId="2" borderId="0" xfId="0" applyFont="1" applyFill="1" applyAlignment="1" applyProtection="1">
      <alignment horizontal="left"/>
      <protection locked="0"/>
    </xf>
    <xf numFmtId="0" fontId="11" fillId="2" borderId="1" xfId="0" applyFont="1" applyFill="1" applyBorder="1" applyAlignment="1">
      <alignment horizontal="left" vertical="top"/>
    </xf>
    <xf numFmtId="0" fontId="10" fillId="0" borderId="0" xfId="0" applyFont="1" applyAlignment="1" applyProtection="1">
      <alignment horizontal="left" wrapText="1"/>
      <protection locked="0"/>
    </xf>
    <xf numFmtId="0" fontId="11" fillId="0" borderId="0" xfId="0" applyFont="1" applyAlignment="1" applyProtection="1">
      <alignment horizontal="left" wrapText="1"/>
      <protection locked="0"/>
    </xf>
    <xf numFmtId="0" fontId="10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2" fillId="0" borderId="0" xfId="0" applyFont="1" applyAlignment="1" applyProtection="1">
      <alignment horizontal="left"/>
      <protection locked="0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" fillId="4" borderId="0" xfId="0" applyFont="1" applyFill="1" applyProtection="1">
      <protection locked="0"/>
    </xf>
    <xf numFmtId="0" fontId="18" fillId="4" borderId="0" xfId="0" applyFont="1" applyFill="1" applyProtection="1">
      <protection locked="0"/>
    </xf>
    <xf numFmtId="0" fontId="18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19" fillId="2" borderId="0" xfId="0" applyFont="1" applyFill="1" applyAlignment="1">
      <alignment horizontal="right"/>
    </xf>
    <xf numFmtId="49" fontId="10" fillId="0" borderId="0" xfId="0" applyNumberFormat="1" applyFont="1" applyAlignment="1">
      <alignment vertical="top"/>
    </xf>
    <xf numFmtId="49" fontId="10" fillId="0" borderId="0" xfId="2" applyNumberFormat="1" applyFont="1" applyAlignment="1" applyProtection="1">
      <alignment wrapText="1"/>
      <protection locked="0"/>
    </xf>
    <xf numFmtId="0" fontId="10" fillId="0" borderId="0" xfId="1" applyNumberFormat="1" applyFont="1" applyAlignment="1">
      <alignment wrapText="1"/>
    </xf>
    <xf numFmtId="0" fontId="10" fillId="0" borderId="0" xfId="0" applyFont="1" applyProtection="1">
      <protection locked="0"/>
    </xf>
    <xf numFmtId="0" fontId="10" fillId="0" borderId="0" xfId="0" quotePrefix="1" applyFont="1"/>
    <xf numFmtId="0" fontId="11" fillId="2" borderId="2" xfId="0" applyFont="1" applyFill="1" applyBorder="1"/>
    <xf numFmtId="0" fontId="11" fillId="2" borderId="2" xfId="0" applyFont="1" applyFill="1" applyBorder="1" applyProtection="1">
      <protection locked="0"/>
    </xf>
    <xf numFmtId="164" fontId="7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10" fillId="0" borderId="0" xfId="0" applyFont="1" applyAlignment="1">
      <alignment wrapText="1"/>
    </xf>
    <xf numFmtId="0" fontId="10" fillId="5" borderId="0" xfId="0" applyFont="1" applyFill="1" applyAlignment="1">
      <alignment vertical="top"/>
    </xf>
    <xf numFmtId="0" fontId="10" fillId="5" borderId="0" xfId="0" applyFont="1" applyFill="1"/>
    <xf numFmtId="0" fontId="10" fillId="0" borderId="0" xfId="0" quotePrefix="1" applyFont="1" applyAlignment="1">
      <alignment horizontal="left" wrapText="1"/>
    </xf>
    <xf numFmtId="0" fontId="10" fillId="5" borderId="0" xfId="0" applyFont="1" applyFill="1" applyAlignment="1">
      <alignment horizontal="left" vertical="top"/>
    </xf>
    <xf numFmtId="0" fontId="2" fillId="6" borderId="0" xfId="0" applyFont="1" applyFill="1" applyProtection="1">
      <protection locked="0"/>
    </xf>
    <xf numFmtId="49" fontId="10" fillId="0" borderId="0" xfId="0" quotePrefix="1" applyNumberFormat="1" applyFont="1" applyAlignment="1">
      <alignment wrapText="1"/>
    </xf>
    <xf numFmtId="49" fontId="11" fillId="2" borderId="0" xfId="0" applyNumberFormat="1" applyFont="1" applyFill="1" applyAlignment="1">
      <alignment vertical="top"/>
    </xf>
    <xf numFmtId="0" fontId="10" fillId="2" borderId="0" xfId="0" applyFont="1" applyFill="1" applyAlignment="1">
      <alignment vertical="top" wrapText="1"/>
    </xf>
    <xf numFmtId="49" fontId="10" fillId="0" borderId="0" xfId="0" applyNumberFormat="1" applyFont="1" applyAlignment="1" applyProtection="1">
      <alignment vertical="top" wrapText="1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10" fillId="0" borderId="0" xfId="0" quotePrefix="1" applyFont="1" applyAlignment="1" applyProtection="1">
      <alignment horizontal="left" wrapText="1"/>
      <protection locked="0"/>
    </xf>
    <xf numFmtId="49" fontId="10" fillId="0" borderId="0" xfId="0" applyNumberFormat="1" applyFont="1" applyAlignment="1" applyProtection="1">
      <alignment horizontal="left" wrapText="1"/>
      <protection locked="0"/>
    </xf>
    <xf numFmtId="0" fontId="0" fillId="8" borderId="0" xfId="0" applyFill="1"/>
    <xf numFmtId="0" fontId="21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0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2" fillId="8" borderId="0" xfId="0" applyFont="1" applyFill="1"/>
    <xf numFmtId="0" fontId="7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/>
    <xf numFmtId="0" fontId="21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7" fillId="9" borderId="0" xfId="0" applyFont="1" applyFill="1"/>
    <xf numFmtId="0" fontId="2" fillId="9" borderId="0" xfId="0" applyFont="1" applyFill="1" applyAlignment="1" applyProtection="1">
      <alignment horizontal="right"/>
      <protection locked="0"/>
    </xf>
    <xf numFmtId="0" fontId="10" fillId="9" borderId="0" xfId="0" applyFont="1" applyFill="1" applyProtection="1">
      <protection locked="0"/>
    </xf>
    <xf numFmtId="0" fontId="10" fillId="9" borderId="0" xfId="0" applyFont="1" applyFill="1" applyAlignment="1">
      <alignment vertical="center"/>
    </xf>
    <xf numFmtId="0" fontId="22" fillId="9" borderId="3" xfId="0" applyFont="1" applyFill="1" applyBorder="1" applyAlignment="1">
      <alignment vertical="center"/>
    </xf>
    <xf numFmtId="0" fontId="10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10" fillId="9" borderId="0" xfId="0" applyFont="1" applyFill="1"/>
    <xf numFmtId="0" fontId="2" fillId="9" borderId="0" xfId="0" applyFont="1" applyFill="1"/>
    <xf numFmtId="49" fontId="2" fillId="9" borderId="0" xfId="0" applyNumberFormat="1" applyFont="1" applyFill="1" applyAlignment="1">
      <alignment vertical="center"/>
    </xf>
    <xf numFmtId="14" fontId="2" fillId="9" borderId="0" xfId="0" applyNumberFormat="1" applyFont="1" applyFill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10" borderId="0" xfId="0" applyFill="1"/>
    <xf numFmtId="0" fontId="21" fillId="10" borderId="0" xfId="0" applyFont="1" applyFill="1" applyAlignment="1">
      <alignment vertical="center"/>
    </xf>
    <xf numFmtId="14" fontId="23" fillId="11" borderId="0" xfId="0" applyNumberFormat="1" applyFont="1" applyFill="1" applyAlignment="1">
      <alignment horizontal="left" vertical="center"/>
    </xf>
    <xf numFmtId="49" fontId="23" fillId="11" borderId="0" xfId="0" applyNumberFormat="1" applyFont="1" applyFill="1" applyAlignment="1">
      <alignment horizontal="left" vertical="center"/>
    </xf>
    <xf numFmtId="14" fontId="10" fillId="7" borderId="0" xfId="0" applyNumberFormat="1" applyFont="1" applyFill="1" applyAlignment="1">
      <alignment horizontal="left" vertical="center"/>
    </xf>
    <xf numFmtId="49" fontId="10" fillId="7" borderId="0" xfId="0" applyNumberFormat="1" applyFont="1" applyFill="1" applyAlignment="1">
      <alignment horizontal="left" vertical="center"/>
    </xf>
    <xf numFmtId="0" fontId="10" fillId="7" borderId="0" xfId="0" applyFont="1" applyFill="1" applyProtection="1">
      <protection locked="0"/>
    </xf>
    <xf numFmtId="0" fontId="10" fillId="7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49" fontId="2" fillId="7" borderId="0" xfId="0" applyNumberFormat="1" applyFont="1" applyFill="1" applyAlignment="1">
      <alignment vertical="center"/>
    </xf>
    <xf numFmtId="14" fontId="0" fillId="7" borderId="0" xfId="0" applyNumberFormat="1" applyFill="1" applyAlignment="1">
      <alignment horizontal="left" vertical="center"/>
    </xf>
    <xf numFmtId="0" fontId="23" fillId="4" borderId="0" xfId="0" applyFont="1" applyFill="1" applyProtection="1">
      <protection locked="0"/>
    </xf>
    <xf numFmtId="0" fontId="10" fillId="4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4" borderId="0" xfId="0" applyFill="1" applyProtection="1">
      <protection locked="0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49" fontId="10" fillId="0" borderId="0" xfId="0" applyNumberFormat="1" applyFont="1" applyAlignment="1" applyProtection="1">
      <alignment vertical="center"/>
      <protection locked="0"/>
    </xf>
    <xf numFmtId="49" fontId="10" fillId="0" borderId="0" xfId="0" quotePrefix="1" applyNumberFormat="1" applyFont="1" applyAlignment="1" applyProtection="1">
      <alignment wrapText="1"/>
      <protection locked="0"/>
    </xf>
    <xf numFmtId="49" fontId="10" fillId="6" borderId="0" xfId="0" applyNumberFormat="1" applyFont="1" applyFill="1" applyAlignment="1" applyProtection="1">
      <alignment wrapText="1"/>
      <protection locked="0"/>
    </xf>
    <xf numFmtId="49" fontId="10" fillId="6" borderId="0" xfId="0" applyNumberFormat="1" applyFont="1" applyFill="1" applyAlignment="1">
      <alignment vertical="top"/>
    </xf>
    <xf numFmtId="0" fontId="24" fillId="0" borderId="0" xfId="3" applyFont="1"/>
    <xf numFmtId="0" fontId="24" fillId="0" borderId="0" xfId="3" applyFont="1" applyAlignment="1">
      <alignment vertical="center"/>
    </xf>
    <xf numFmtId="0" fontId="26" fillId="0" borderId="4" xfId="3" applyFont="1" applyBorder="1" applyAlignment="1">
      <alignment horizontal="center" vertical="center"/>
    </xf>
    <xf numFmtId="0" fontId="27" fillId="0" borderId="0" xfId="3" applyFont="1" applyAlignment="1">
      <alignment horizontal="left"/>
    </xf>
    <xf numFmtId="0" fontId="27" fillId="0" borderId="0" xfId="3" applyFont="1" applyAlignment="1">
      <alignment horizontal="left" vertical="center"/>
    </xf>
    <xf numFmtId="0" fontId="28" fillId="0" borderId="0" xfId="3" applyFont="1"/>
    <xf numFmtId="0" fontId="24" fillId="0" borderId="11" xfId="3" applyFont="1" applyBorder="1"/>
    <xf numFmtId="0" fontId="31" fillId="2" borderId="0" xfId="3" applyFont="1" applyFill="1" applyAlignment="1">
      <alignment horizontal="left" vertical="top" wrapText="1"/>
    </xf>
    <xf numFmtId="0" fontId="10" fillId="0" borderId="8" xfId="3" applyFont="1" applyBorder="1" applyAlignment="1">
      <alignment vertical="center" wrapText="1"/>
    </xf>
    <xf numFmtId="0" fontId="10" fillId="0" borderId="1" xfId="3" applyFont="1" applyBorder="1" applyAlignment="1">
      <alignment vertical="center" wrapText="1"/>
    </xf>
    <xf numFmtId="0" fontId="10" fillId="0" borderId="9" xfId="3" applyFont="1" applyBorder="1" applyAlignment="1">
      <alignment vertical="center" wrapText="1"/>
    </xf>
    <xf numFmtId="0" fontId="10" fillId="0" borderId="13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10" fillId="0" borderId="14" xfId="3" applyFont="1" applyBorder="1" applyAlignment="1">
      <alignment vertical="center" wrapText="1"/>
    </xf>
    <xf numFmtId="0" fontId="24" fillId="0" borderId="8" xfId="3" applyFont="1" applyBorder="1" applyAlignment="1">
      <alignment vertical="center"/>
    </xf>
    <xf numFmtId="0" fontId="24" fillId="12" borderId="15" xfId="3" applyFont="1" applyFill="1" applyBorder="1"/>
    <xf numFmtId="0" fontId="24" fillId="12" borderId="16" xfId="3" applyFont="1" applyFill="1" applyBorder="1"/>
    <xf numFmtId="0" fontId="24" fillId="0" borderId="17" xfId="3" applyFont="1" applyBorder="1"/>
    <xf numFmtId="0" fontId="24" fillId="0" borderId="1" xfId="3" applyFont="1" applyBorder="1"/>
    <xf numFmtId="0" fontId="24" fillId="0" borderId="9" xfId="3" applyFont="1" applyBorder="1"/>
    <xf numFmtId="49" fontId="24" fillId="0" borderId="18" xfId="3" applyNumberFormat="1" applyFont="1" applyBorder="1" applyAlignment="1">
      <alignment vertical="center"/>
    </xf>
    <xf numFmtId="0" fontId="24" fillId="12" borderId="20" xfId="3" applyFont="1" applyFill="1" applyBorder="1"/>
    <xf numFmtId="0" fontId="24" fillId="12" borderId="21" xfId="3" applyFont="1" applyFill="1" applyBorder="1"/>
    <xf numFmtId="0" fontId="24" fillId="0" borderId="22" xfId="3" applyFont="1" applyBorder="1"/>
    <xf numFmtId="0" fontId="24" fillId="0" borderId="23" xfId="3" applyFont="1" applyBorder="1"/>
    <xf numFmtId="0" fontId="24" fillId="0" borderId="24" xfId="3" applyFont="1" applyBorder="1"/>
    <xf numFmtId="0" fontId="24" fillId="12" borderId="25" xfId="3" applyFont="1" applyFill="1" applyBorder="1"/>
    <xf numFmtId="0" fontId="24" fillId="12" borderId="26" xfId="3" applyFont="1" applyFill="1" applyBorder="1"/>
    <xf numFmtId="0" fontId="24" fillId="0" borderId="27" xfId="3" applyFont="1" applyBorder="1"/>
    <xf numFmtId="0" fontId="24" fillId="0" borderId="14" xfId="3" applyFont="1" applyBorder="1"/>
    <xf numFmtId="0" fontId="30" fillId="0" borderId="0" xfId="3" applyFont="1" applyAlignment="1">
      <alignment vertical="top" wrapText="1"/>
    </xf>
    <xf numFmtId="0" fontId="25" fillId="0" borderId="0" xfId="3" applyFont="1"/>
    <xf numFmtId="0" fontId="27" fillId="0" borderId="0" xfId="3" applyFont="1"/>
    <xf numFmtId="0" fontId="24" fillId="12" borderId="28" xfId="3" applyFont="1" applyFill="1" applyBorder="1"/>
    <xf numFmtId="0" fontId="24" fillId="0" borderId="29" xfId="3" applyFont="1" applyBorder="1"/>
    <xf numFmtId="0" fontId="24" fillId="0" borderId="13" xfId="3" applyFont="1" applyBorder="1" applyAlignment="1">
      <alignment vertical="center"/>
    </xf>
    <xf numFmtId="49" fontId="24" fillId="0" borderId="14" xfId="3" applyNumberFormat="1" applyFont="1" applyBorder="1" applyAlignment="1">
      <alignment vertical="center"/>
    </xf>
    <xf numFmtId="0" fontId="24" fillId="0" borderId="0" xfId="3" applyFont="1" applyAlignment="1">
      <alignment horizontal="center"/>
    </xf>
    <xf numFmtId="0" fontId="25" fillId="0" borderId="5" xfId="3" applyFont="1" applyBorder="1" applyAlignment="1">
      <alignment vertical="center"/>
    </xf>
    <xf numFmtId="164" fontId="25" fillId="0" borderId="6" xfId="3" applyNumberFormat="1" applyFont="1" applyBorder="1" applyAlignment="1">
      <alignment horizontal="left" vertical="center"/>
    </xf>
    <xf numFmtId="0" fontId="25" fillId="0" borderId="6" xfId="3" applyFont="1" applyBorder="1" applyAlignment="1">
      <alignment horizontal="right" vertical="center"/>
    </xf>
    <xf numFmtId="0" fontId="24" fillId="0" borderId="5" xfId="3" applyFont="1" applyBorder="1" applyAlignment="1">
      <alignment horizontal="center" vertical="center"/>
    </xf>
    <xf numFmtId="0" fontId="33" fillId="12" borderId="4" xfId="3" applyFont="1" applyFill="1" applyBorder="1" applyAlignment="1">
      <alignment horizontal="center" textRotation="90"/>
    </xf>
    <xf numFmtId="0" fontId="26" fillId="12" borderId="4" xfId="3" applyFont="1" applyFill="1" applyBorder="1" applyAlignment="1">
      <alignment horizontal="center" textRotation="90"/>
    </xf>
    <xf numFmtId="0" fontId="33" fillId="2" borderId="4" xfId="3" applyFont="1" applyFill="1" applyBorder="1" applyAlignment="1">
      <alignment horizontal="center" textRotation="90"/>
    </xf>
    <xf numFmtId="0" fontId="33" fillId="12" borderId="7" xfId="3" applyFont="1" applyFill="1" applyBorder="1" applyAlignment="1">
      <alignment horizontal="center" textRotation="90"/>
    </xf>
    <xf numFmtId="0" fontId="24" fillId="0" borderId="4" xfId="3" applyFont="1" applyBorder="1" applyAlignment="1">
      <alignment horizontal="center" vertical="center"/>
    </xf>
    <xf numFmtId="0" fontId="26" fillId="0" borderId="18" xfId="3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34" fillId="0" borderId="0" xfId="3" applyFont="1" applyAlignment="1">
      <alignment vertical="center"/>
    </xf>
    <xf numFmtId="0" fontId="11" fillId="0" borderId="0" xfId="3" applyFont="1" applyAlignment="1">
      <alignment horizontal="right"/>
    </xf>
    <xf numFmtId="0" fontId="7" fillId="0" borderId="0" xfId="3" applyFont="1" applyAlignment="1">
      <alignment horizontal="right" vertical="center"/>
    </xf>
    <xf numFmtId="0" fontId="11" fillId="0" borderId="0" xfId="3" applyFont="1"/>
    <xf numFmtId="0" fontId="11" fillId="0" borderId="0" xfId="3" applyFont="1" applyAlignment="1">
      <alignment horizontal="right" vertical="center"/>
    </xf>
    <xf numFmtId="0" fontId="3" fillId="0" borderId="1" xfId="3" applyFont="1" applyBorder="1" applyAlignment="1">
      <alignment horizontal="center"/>
    </xf>
    <xf numFmtId="165" fontId="3" fillId="0" borderId="1" xfId="3" applyNumberFormat="1" applyFont="1" applyBorder="1" applyAlignment="1">
      <alignment horizontal="center"/>
    </xf>
    <xf numFmtId="164" fontId="21" fillId="0" borderId="1" xfId="3" applyNumberFormat="1" applyFont="1" applyBorder="1"/>
    <xf numFmtId="166" fontId="35" fillId="0" borderId="1" xfId="3" applyNumberFormat="1" applyFont="1" applyBorder="1" applyAlignment="1">
      <alignment vertical="center"/>
    </xf>
    <xf numFmtId="0" fontId="24" fillId="0" borderId="0" xfId="3" applyFont="1" applyAlignment="1">
      <alignment vertical="top"/>
    </xf>
    <xf numFmtId="0" fontId="10" fillId="0" borderId="0" xfId="3" applyFont="1" applyAlignment="1">
      <alignment vertical="center"/>
    </xf>
    <xf numFmtId="0" fontId="27" fillId="0" borderId="0" xfId="3" applyFont="1" applyAlignment="1">
      <alignment vertical="top"/>
    </xf>
    <xf numFmtId="0" fontId="30" fillId="0" borderId="0" xfId="3" applyFont="1" applyAlignment="1">
      <alignment horizontal="right" vertical="top"/>
    </xf>
    <xf numFmtId="0" fontId="36" fillId="0" borderId="0" xfId="3" applyFont="1" applyAlignment="1">
      <alignment vertical="center"/>
    </xf>
    <xf numFmtId="0" fontId="36" fillId="0" borderId="0" xfId="3" applyFont="1" applyAlignment="1">
      <alignment vertical="top"/>
    </xf>
    <xf numFmtId="0" fontId="37" fillId="0" borderId="0" xfId="3" applyFont="1"/>
    <xf numFmtId="164" fontId="38" fillId="0" borderId="0" xfId="3" applyNumberFormat="1" applyFont="1"/>
    <xf numFmtId="0" fontId="38" fillId="0" borderId="0" xfId="3" applyFont="1"/>
    <xf numFmtId="0" fontId="24" fillId="0" borderId="32" xfId="3" applyFont="1" applyBorder="1"/>
    <xf numFmtId="0" fontId="24" fillId="0" borderId="33" xfId="3" applyFont="1" applyBorder="1"/>
    <xf numFmtId="0" fontId="33" fillId="2" borderId="4" xfId="3" applyFont="1" applyFill="1" applyBorder="1" applyAlignment="1">
      <alignment horizontal="center" textRotation="90" wrapText="1"/>
    </xf>
    <xf numFmtId="164" fontId="37" fillId="0" borderId="0" xfId="3" applyNumberFormat="1" applyFont="1"/>
    <xf numFmtId="0" fontId="30" fillId="0" borderId="14" xfId="3" applyFont="1" applyBorder="1" applyAlignment="1">
      <alignment vertical="top" wrapText="1"/>
    </xf>
    <xf numFmtId="0" fontId="30" fillId="0" borderId="13" xfId="3" applyFont="1" applyBorder="1" applyAlignment="1">
      <alignment vertical="top" wrapText="1"/>
    </xf>
    <xf numFmtId="0" fontId="30" fillId="0" borderId="9" xfId="3" applyFont="1" applyBorder="1" applyAlignment="1">
      <alignment vertical="top" wrapText="1"/>
    </xf>
    <xf numFmtId="0" fontId="30" fillId="0" borderId="1" xfId="3" applyFont="1" applyBorder="1" applyAlignment="1">
      <alignment vertical="top" wrapText="1"/>
    </xf>
    <xf numFmtId="0" fontId="30" fillId="0" borderId="8" xfId="3" applyFont="1" applyBorder="1" applyAlignment="1">
      <alignment vertical="top" wrapText="1"/>
    </xf>
    <xf numFmtId="0" fontId="30" fillId="0" borderId="0" xfId="3" applyFont="1" applyAlignment="1">
      <alignment vertical="top"/>
    </xf>
    <xf numFmtId="0" fontId="32" fillId="0" borderId="0" xfId="3" applyFont="1" applyAlignment="1">
      <alignment vertical="top"/>
    </xf>
    <xf numFmtId="49" fontId="32" fillId="0" borderId="0" xfId="3" applyNumberFormat="1" applyFont="1" applyAlignment="1">
      <alignment horizontal="left" vertical="center" wrapText="1"/>
    </xf>
    <xf numFmtId="49" fontId="32" fillId="0" borderId="12" xfId="3" applyNumberFormat="1" applyFont="1" applyBorder="1" applyAlignment="1">
      <alignment horizontal="left" vertical="center" wrapText="1"/>
    </xf>
    <xf numFmtId="49" fontId="32" fillId="0" borderId="14" xfId="3" applyNumberFormat="1" applyFont="1" applyBorder="1" applyAlignment="1">
      <alignment horizontal="left" vertical="center" wrapText="1"/>
    </xf>
    <xf numFmtId="49" fontId="32" fillId="0" borderId="9" xfId="3" applyNumberFormat="1" applyFont="1" applyBorder="1" applyAlignment="1">
      <alignment horizontal="left" vertical="center" wrapText="1"/>
    </xf>
    <xf numFmtId="49" fontId="32" fillId="0" borderId="11" xfId="3" applyNumberFormat="1" applyFont="1" applyBorder="1" applyAlignment="1">
      <alignment horizontal="left" vertical="center" wrapText="1"/>
    </xf>
    <xf numFmtId="49" fontId="32" fillId="0" borderId="1" xfId="3" applyNumberFormat="1" applyFont="1" applyBorder="1" applyAlignment="1">
      <alignment horizontal="left" vertical="center" wrapText="1"/>
    </xf>
    <xf numFmtId="1" fontId="32" fillId="0" borderId="12" xfId="3" applyNumberFormat="1" applyFont="1" applyBorder="1" applyAlignment="1">
      <alignment horizontal="center" vertical="center" wrapText="1"/>
    </xf>
    <xf numFmtId="1" fontId="32" fillId="0" borderId="14" xfId="3" applyNumberFormat="1" applyFont="1" applyBorder="1" applyAlignment="1">
      <alignment horizontal="center" vertical="center" wrapText="1"/>
    </xf>
    <xf numFmtId="1" fontId="32" fillId="0" borderId="9" xfId="3" applyNumberFormat="1" applyFont="1" applyBorder="1" applyAlignment="1">
      <alignment horizontal="center" vertical="center" wrapText="1"/>
    </xf>
    <xf numFmtId="0" fontId="39" fillId="7" borderId="0" xfId="0" applyFont="1" applyFill="1" applyAlignment="1">
      <alignment vertical="center"/>
    </xf>
    <xf numFmtId="49" fontId="32" fillId="0" borderId="0" xfId="3" applyNumberFormat="1" applyFont="1" applyAlignment="1">
      <alignment horizontal="left" vertical="center"/>
    </xf>
    <xf numFmtId="49" fontId="32" fillId="0" borderId="13" xfId="3" applyNumberFormat="1" applyFont="1" applyBorder="1" applyAlignment="1">
      <alignment horizontal="left" vertical="center"/>
    </xf>
    <xf numFmtId="49" fontId="32" fillId="0" borderId="1" xfId="3" applyNumberFormat="1" applyFont="1" applyBorder="1" applyAlignment="1">
      <alignment horizontal="left" vertical="center"/>
    </xf>
    <xf numFmtId="49" fontId="32" fillId="0" borderId="8" xfId="3" applyNumberFormat="1" applyFont="1" applyBorder="1" applyAlignment="1">
      <alignment horizontal="left" vertical="center"/>
    </xf>
    <xf numFmtId="49" fontId="32" fillId="0" borderId="11" xfId="3" applyNumberFormat="1" applyFont="1" applyBorder="1" applyAlignment="1">
      <alignment horizontal="left" vertical="center"/>
    </xf>
    <xf numFmtId="49" fontId="32" fillId="0" borderId="10" xfId="3" applyNumberFormat="1" applyFont="1" applyBorder="1" applyAlignment="1">
      <alignment horizontal="left" vertical="center"/>
    </xf>
    <xf numFmtId="0" fontId="26" fillId="0" borderId="12" xfId="3" applyFont="1" applyBorder="1" applyAlignment="1">
      <alignment horizontal="center" vertical="center" textRotation="90"/>
    </xf>
    <xf numFmtId="0" fontId="26" fillId="0" borderId="14" xfId="3" applyFont="1" applyBorder="1" applyAlignment="1">
      <alignment horizontal="center" vertical="center" textRotation="90"/>
    </xf>
    <xf numFmtId="0" fontId="26" fillId="0" borderId="9" xfId="3" applyFont="1" applyBorder="1" applyAlignment="1">
      <alignment horizontal="center" vertical="center" textRotation="90"/>
    </xf>
    <xf numFmtId="0" fontId="26" fillId="0" borderId="12" xfId="3" applyFont="1" applyBorder="1" applyAlignment="1">
      <alignment horizontal="center" vertical="center"/>
    </xf>
    <xf numFmtId="0" fontId="26" fillId="0" borderId="11" xfId="3" applyFont="1" applyBorder="1" applyAlignment="1">
      <alignment horizontal="center" vertical="center"/>
    </xf>
    <xf numFmtId="0" fontId="26" fillId="0" borderId="10" xfId="3" applyFont="1" applyBorder="1" applyAlignment="1">
      <alignment horizontal="center" vertical="center"/>
    </xf>
    <xf numFmtId="0" fontId="26" fillId="0" borderId="9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6" fillId="0" borderId="8" xfId="3" applyFont="1" applyBorder="1" applyAlignment="1">
      <alignment horizontal="center" vertical="center"/>
    </xf>
    <xf numFmtId="164" fontId="26" fillId="0" borderId="9" xfId="3" applyNumberFormat="1" applyFont="1" applyBorder="1" applyAlignment="1">
      <alignment horizontal="center" vertical="center"/>
    </xf>
    <xf numFmtId="164" fontId="26" fillId="0" borderId="1" xfId="3" applyNumberFormat="1" applyFont="1" applyBorder="1" applyAlignment="1">
      <alignment horizontal="center" vertical="center"/>
    </xf>
    <xf numFmtId="164" fontId="26" fillId="0" borderId="8" xfId="3" applyNumberFormat="1" applyFont="1" applyBorder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49" fontId="22" fillId="0" borderId="19" xfId="3" quotePrefix="1" applyNumberFormat="1" applyFont="1" applyBorder="1" applyAlignment="1">
      <alignment horizontal="center" vertical="center"/>
    </xf>
    <xf numFmtId="49" fontId="22" fillId="0" borderId="19" xfId="3" applyNumberFormat="1" applyFont="1" applyBorder="1" applyAlignment="1">
      <alignment horizontal="center" vertical="center"/>
    </xf>
    <xf numFmtId="0" fontId="32" fillId="0" borderId="0" xfId="3" quotePrefix="1" applyFont="1" applyAlignment="1">
      <alignment horizontal="left" vertical="top" wrapText="1"/>
    </xf>
    <xf numFmtId="0" fontId="32" fillId="0" borderId="0" xfId="3" applyFont="1" applyAlignment="1">
      <alignment horizontal="left" vertical="top" wrapText="1"/>
    </xf>
    <xf numFmtId="0" fontId="38" fillId="0" borderId="0" xfId="3" applyFont="1" applyAlignment="1">
      <alignment horizontal="left"/>
    </xf>
    <xf numFmtId="0" fontId="26" fillId="0" borderId="12" xfId="3" applyFont="1" applyBorder="1" applyAlignment="1">
      <alignment horizontal="center" vertical="center" wrapText="1"/>
    </xf>
    <xf numFmtId="0" fontId="26" fillId="0" borderId="11" xfId="3" applyFont="1" applyBorder="1" applyAlignment="1">
      <alignment horizontal="center" vertical="center" wrapText="1"/>
    </xf>
    <xf numFmtId="0" fontId="26" fillId="0" borderId="10" xfId="3" applyFont="1" applyBorder="1" applyAlignment="1">
      <alignment horizontal="center" vertical="center" wrapText="1"/>
    </xf>
    <xf numFmtId="0" fontId="33" fillId="2" borderId="7" xfId="3" applyFont="1" applyFill="1" applyBorder="1" applyAlignment="1">
      <alignment horizontal="center" textRotation="90" wrapText="1"/>
    </xf>
    <xf numFmtId="0" fontId="33" fillId="2" borderId="6" xfId="3" applyFont="1" applyFill="1" applyBorder="1" applyAlignment="1">
      <alignment horizontal="center" textRotation="90" wrapText="1"/>
    </xf>
    <xf numFmtId="0" fontId="33" fillId="2" borderId="5" xfId="3" applyFont="1" applyFill="1" applyBorder="1" applyAlignment="1">
      <alignment horizontal="center" textRotation="90" wrapText="1"/>
    </xf>
    <xf numFmtId="0" fontId="28" fillId="0" borderId="0" xfId="3" applyFont="1" applyAlignment="1">
      <alignment horizontal="center"/>
    </xf>
    <xf numFmtId="0" fontId="31" fillId="2" borderId="12" xfId="3" applyFont="1" applyFill="1" applyBorder="1" applyAlignment="1">
      <alignment horizontal="left" vertical="top" wrapText="1"/>
    </xf>
    <xf numFmtId="0" fontId="31" fillId="2" borderId="11" xfId="3" applyFont="1" applyFill="1" applyBorder="1" applyAlignment="1">
      <alignment horizontal="left" vertical="top" wrapText="1"/>
    </xf>
    <xf numFmtId="0" fontId="31" fillId="2" borderId="14" xfId="3" applyFont="1" applyFill="1" applyBorder="1" applyAlignment="1">
      <alignment horizontal="left" vertical="top" wrapText="1"/>
    </xf>
    <xf numFmtId="0" fontId="31" fillId="2" borderId="0" xfId="3" applyFont="1" applyFill="1" applyAlignment="1">
      <alignment horizontal="left" vertical="top" wrapText="1"/>
    </xf>
    <xf numFmtId="0" fontId="31" fillId="2" borderId="9" xfId="3" applyFont="1" applyFill="1" applyBorder="1" applyAlignment="1">
      <alignment horizontal="left" vertical="top" wrapText="1"/>
    </xf>
    <xf numFmtId="0" fontId="31" fillId="2" borderId="1" xfId="3" applyFont="1" applyFill="1" applyBorder="1" applyAlignment="1">
      <alignment horizontal="left" vertical="top" wrapText="1"/>
    </xf>
    <xf numFmtId="0" fontId="29" fillId="0" borderId="0" xfId="3" applyFont="1" applyAlignment="1">
      <alignment horizontal="center" vertical="center"/>
    </xf>
    <xf numFmtId="0" fontId="29" fillId="0" borderId="13" xfId="3" applyFont="1" applyBorder="1" applyAlignment="1">
      <alignment horizontal="center" vertical="center"/>
    </xf>
    <xf numFmtId="0" fontId="29" fillId="0" borderId="8" xfId="3" applyFont="1" applyBorder="1" applyAlignment="1">
      <alignment horizontal="center" vertical="center"/>
    </xf>
    <xf numFmtId="0" fontId="30" fillId="0" borderId="12" xfId="3" applyFont="1" applyBorder="1" applyAlignment="1">
      <alignment horizontal="center" vertical="center" wrapText="1"/>
    </xf>
    <xf numFmtId="0" fontId="30" fillId="0" borderId="11" xfId="3" applyFont="1" applyBorder="1" applyAlignment="1">
      <alignment horizontal="center" vertical="center" wrapText="1"/>
    </xf>
    <xf numFmtId="0" fontId="30" fillId="0" borderId="10" xfId="3" applyFont="1" applyBorder="1" applyAlignment="1">
      <alignment horizontal="center" vertical="center" wrapText="1"/>
    </xf>
    <xf numFmtId="0" fontId="30" fillId="0" borderId="14" xfId="3" applyFont="1" applyBorder="1" applyAlignment="1">
      <alignment horizontal="left" vertical="top" wrapText="1"/>
    </xf>
    <xf numFmtId="0" fontId="30" fillId="0" borderId="0" xfId="3" applyFont="1" applyAlignment="1">
      <alignment horizontal="left" vertical="top" wrapText="1"/>
    </xf>
    <xf numFmtId="0" fontId="30" fillId="0" borderId="13" xfId="3" applyFont="1" applyBorder="1" applyAlignment="1">
      <alignment horizontal="left" vertical="top" wrapText="1"/>
    </xf>
    <xf numFmtId="0" fontId="30" fillId="0" borderId="9" xfId="3" applyFont="1" applyBorder="1" applyAlignment="1">
      <alignment horizontal="left" vertical="top" wrapText="1"/>
    </xf>
    <xf numFmtId="0" fontId="30" fillId="0" borderId="1" xfId="3" applyFont="1" applyBorder="1" applyAlignment="1">
      <alignment horizontal="left" vertical="top" wrapText="1"/>
    </xf>
    <xf numFmtId="0" fontId="30" fillId="0" borderId="8" xfId="3" applyFont="1" applyBorder="1" applyAlignment="1">
      <alignment horizontal="left" vertical="top" wrapText="1"/>
    </xf>
    <xf numFmtId="0" fontId="25" fillId="0" borderId="18" xfId="3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/>
    </xf>
    <xf numFmtId="0" fontId="10" fillId="0" borderId="0" xfId="3" applyFont="1" applyAlignment="1">
      <alignment horizontal="left" vertical="center" wrapText="1"/>
    </xf>
    <xf numFmtId="0" fontId="10" fillId="0" borderId="0" xfId="3" applyFont="1" applyAlignment="1">
      <alignment horizontal="left" vertical="center"/>
    </xf>
    <xf numFmtId="49" fontId="32" fillId="0" borderId="0" xfId="3" applyNumberFormat="1" applyFont="1" applyAlignment="1">
      <alignment horizontal="center" vertical="center"/>
    </xf>
    <xf numFmtId="49" fontId="32" fillId="0" borderId="13" xfId="3" applyNumberFormat="1" applyFont="1" applyBorder="1" applyAlignment="1">
      <alignment horizontal="center" vertical="center"/>
    </xf>
    <xf numFmtId="49" fontId="32" fillId="0" borderId="11" xfId="3" applyNumberFormat="1" applyFont="1" applyBorder="1" applyAlignment="1">
      <alignment horizontal="center" vertical="center"/>
    </xf>
    <xf numFmtId="49" fontId="32" fillId="0" borderId="10" xfId="3" applyNumberFormat="1" applyFont="1" applyBorder="1" applyAlignment="1">
      <alignment horizontal="center" vertical="center"/>
    </xf>
    <xf numFmtId="49" fontId="32" fillId="0" borderId="11" xfId="3" applyNumberFormat="1" applyFont="1" applyBorder="1" applyAlignment="1">
      <alignment horizontal="center" vertical="center" wrapText="1"/>
    </xf>
    <xf numFmtId="49" fontId="32" fillId="0" borderId="10" xfId="3" applyNumberFormat="1" applyFont="1" applyBorder="1" applyAlignment="1">
      <alignment horizontal="center" vertical="center" wrapText="1"/>
    </xf>
    <xf numFmtId="0" fontId="5" fillId="3" borderId="0" xfId="0" applyFont="1" applyFill="1" applyAlignment="1">
      <alignment horizontal="right" shrinkToFit="1"/>
    </xf>
    <xf numFmtId="0" fontId="3" fillId="3" borderId="0" xfId="0" applyFont="1" applyFill="1" applyAlignment="1">
      <alignment horizontal="right" shrinkToFit="1"/>
    </xf>
    <xf numFmtId="0" fontId="9" fillId="2" borderId="0" xfId="0" applyFont="1" applyFill="1" applyAlignment="1">
      <alignment horizontal="left"/>
    </xf>
  </cellXfs>
  <cellStyles count="4">
    <cellStyle name="Currency" xfId="1" builtinId="4"/>
    <cellStyle name="Normal" xfId="0" builtinId="0"/>
    <cellStyle name="Normal 2" xfId="2" xr:uid="{474319E1-F62E-46AA-9EC0-D393711BF18A}"/>
    <cellStyle name="Normal 3" xfId="3" xr:uid="{DCFBD281-A087-4EAC-A083-F23D1F284386}"/>
  </cellStyles>
  <dxfs count="132"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ill>
        <patternFill>
          <fgColor indexed="64"/>
          <bgColor theme="8" tint="0.59999389629810485"/>
        </patternFill>
      </fill>
    </dxf>
    <dxf>
      <fill>
        <patternFill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19" formatCode="dd/mm/yyyy"/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2" tint="-9.9978637043366805E-2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" Target="richData/rdrichvalue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microsoft.com/office/2017/06/relationships/rdRichValueStructure" Target="richData/rdrichvaluestructure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microsoft.com/office/2022/10/relationships/richValueRel" Target="richData/richValueRel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microsoft.com/office/2017/06/relationships/rdRichValueTypes" Target="richData/rdRichValueTypes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3</xdr:col>
      <xdr:colOff>0</xdr:colOff>
      <xdr:row>25</xdr:row>
      <xdr:rowOff>1</xdr:rowOff>
    </xdr:to>
    <xdr:sp macro="" textlink="">
      <xdr:nvSpPr>
        <xdr:cNvPr id="2" name="Textfeld 107">
          <a:extLst>
            <a:ext uri="{FF2B5EF4-FFF2-40B4-BE49-F238E27FC236}">
              <a16:creationId xmlns:a16="http://schemas.microsoft.com/office/drawing/2014/main" id="{EFFA2367-D3A2-4141-BCD4-9C7D7990BB22}"/>
            </a:ext>
          </a:extLst>
        </xdr:cNvPr>
        <xdr:cNvSpPr txBox="1"/>
      </xdr:nvSpPr>
      <xdr:spPr>
        <a:xfrm rot="5400000">
          <a:off x="633248" y="3429001"/>
          <a:ext cx="399394" cy="341586"/>
        </a:xfrm>
        <a:prstGeom prst="rect">
          <a:avLst/>
        </a:prstGeom>
        <a:solidFill>
          <a:sysClr val="window" lastClr="FFFFFF"/>
        </a:solidFill>
        <a:ln w="6350" cmpd="sng">
          <a:solidFill>
            <a:sysClr val="windowText" lastClr="000000"/>
          </a:solidFill>
          <a:prstDash val="solid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Einrücken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344556</xdr:colOff>
      <xdr:row>21</xdr:row>
      <xdr:rowOff>0</xdr:rowOff>
    </xdr:from>
    <xdr:to>
      <xdr:col>5</xdr:col>
      <xdr:colOff>344556</xdr:colOff>
      <xdr:row>25</xdr:row>
      <xdr:rowOff>1</xdr:rowOff>
    </xdr:to>
    <xdr:sp macro="" textlink="">
      <xdr:nvSpPr>
        <xdr:cNvPr id="3" name="Textfeld 107">
          <a:extLst>
            <a:ext uri="{FF2B5EF4-FFF2-40B4-BE49-F238E27FC236}">
              <a16:creationId xmlns:a16="http://schemas.microsoft.com/office/drawing/2014/main" id="{881223D4-6435-4C30-80A8-57377B56A556}"/>
            </a:ext>
          </a:extLst>
        </xdr:cNvPr>
        <xdr:cNvSpPr txBox="1"/>
      </xdr:nvSpPr>
      <xdr:spPr>
        <a:xfrm rot="5400000">
          <a:off x="4093595" y="2834641"/>
          <a:ext cx="670561" cy="204216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Einrücken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40</xdr:row>
      <xdr:rowOff>99391</xdr:rowOff>
    </xdr:from>
    <xdr:to>
      <xdr:col>7</xdr:col>
      <xdr:colOff>0</xdr:colOff>
      <xdr:row>45</xdr:row>
      <xdr:rowOff>0</xdr:rowOff>
    </xdr:to>
    <xdr:sp macro="" textlink="">
      <xdr:nvSpPr>
        <xdr:cNvPr id="4" name="Textfeld 107">
          <a:extLst>
            <a:ext uri="{FF2B5EF4-FFF2-40B4-BE49-F238E27FC236}">
              <a16:creationId xmlns:a16="http://schemas.microsoft.com/office/drawing/2014/main" id="{6737DE49-4EA5-4035-B420-E496F08A9473}"/>
            </a:ext>
          </a:extLst>
        </xdr:cNvPr>
        <xdr:cNvSpPr txBox="1"/>
      </xdr:nvSpPr>
      <xdr:spPr>
        <a:xfrm rot="5400000">
          <a:off x="6267615" y="6663856"/>
          <a:ext cx="738809" cy="1021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Einrücken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56</xdr:row>
      <xdr:rowOff>99391</xdr:rowOff>
    </xdr:from>
    <xdr:to>
      <xdr:col>16</xdr:col>
      <xdr:colOff>0</xdr:colOff>
      <xdr:row>61</xdr:row>
      <xdr:rowOff>0</xdr:rowOff>
    </xdr:to>
    <xdr:sp macro="" textlink="">
      <xdr:nvSpPr>
        <xdr:cNvPr id="5" name="Textfeld 107">
          <a:extLst>
            <a:ext uri="{FF2B5EF4-FFF2-40B4-BE49-F238E27FC236}">
              <a16:creationId xmlns:a16="http://schemas.microsoft.com/office/drawing/2014/main" id="{28287E0D-1FF1-491A-8DF5-7671E1E74123}"/>
            </a:ext>
          </a:extLst>
        </xdr:cNvPr>
        <xdr:cNvSpPr txBox="1"/>
      </xdr:nvSpPr>
      <xdr:spPr>
        <a:xfrm rot="5400000">
          <a:off x="14436255" y="9346096"/>
          <a:ext cx="738809" cy="1021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Einrücken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</xdr:colOff>
      <xdr:row>36</xdr:row>
      <xdr:rowOff>99391</xdr:rowOff>
    </xdr:from>
    <xdr:to>
      <xdr:col>15</xdr:col>
      <xdr:colOff>0</xdr:colOff>
      <xdr:row>41</xdr:row>
      <xdr:rowOff>0</xdr:rowOff>
    </xdr:to>
    <xdr:sp macro="" textlink="">
      <xdr:nvSpPr>
        <xdr:cNvPr id="6" name="Textfeld 319">
          <a:extLst>
            <a:ext uri="{FF2B5EF4-FFF2-40B4-BE49-F238E27FC236}">
              <a16:creationId xmlns:a16="http://schemas.microsoft.com/office/drawing/2014/main" id="{D38E8473-3867-4623-8732-74186EF1CD22}"/>
            </a:ext>
          </a:extLst>
        </xdr:cNvPr>
        <xdr:cNvSpPr txBox="1"/>
      </xdr:nvSpPr>
      <xdr:spPr>
        <a:xfrm>
          <a:off x="9189721" y="6134431"/>
          <a:ext cx="5105399" cy="73880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10</xdr:col>
      <xdr:colOff>1</xdr:colOff>
      <xdr:row>13</xdr:row>
      <xdr:rowOff>0</xdr:rowOff>
    </xdr:from>
    <xdr:to>
      <xdr:col>15</xdr:col>
      <xdr:colOff>1</xdr:colOff>
      <xdr:row>16</xdr:row>
      <xdr:rowOff>0</xdr:rowOff>
    </xdr:to>
    <xdr:sp macro="" textlink="">
      <xdr:nvSpPr>
        <xdr:cNvPr id="7" name="Textfeld 340">
          <a:extLst>
            <a:ext uri="{FF2B5EF4-FFF2-40B4-BE49-F238E27FC236}">
              <a16:creationId xmlns:a16="http://schemas.microsoft.com/office/drawing/2014/main" id="{6FBA9FC1-751F-4BE8-86C2-88AD1FDA8B30}"/>
            </a:ext>
          </a:extLst>
        </xdr:cNvPr>
        <xdr:cNvSpPr txBox="1"/>
      </xdr:nvSpPr>
      <xdr:spPr>
        <a:xfrm>
          <a:off x="9189721" y="2179320"/>
          <a:ext cx="5105400" cy="50292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10</xdr:col>
      <xdr:colOff>1</xdr:colOff>
      <xdr:row>16</xdr:row>
      <xdr:rowOff>0</xdr:rowOff>
    </xdr:from>
    <xdr:to>
      <xdr:col>12</xdr:col>
      <xdr:colOff>0</xdr:colOff>
      <xdr:row>16</xdr:row>
      <xdr:rowOff>99644</xdr:rowOff>
    </xdr:to>
    <xdr:sp macro="" textlink="">
      <xdr:nvSpPr>
        <xdr:cNvPr id="8" name="Textfeld 52">
          <a:extLst>
            <a:ext uri="{FF2B5EF4-FFF2-40B4-BE49-F238E27FC236}">
              <a16:creationId xmlns:a16="http://schemas.microsoft.com/office/drawing/2014/main" id="{CAB19590-7B15-4EEC-B746-E13AC63E71BF}"/>
            </a:ext>
          </a:extLst>
        </xdr:cNvPr>
        <xdr:cNvSpPr txBox="1"/>
      </xdr:nvSpPr>
      <xdr:spPr bwMode="auto">
        <a:xfrm>
          <a:off x="9189721" y="2682240"/>
          <a:ext cx="2042159" cy="9964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0</xdr:colOff>
      <xdr:row>65</xdr:row>
      <xdr:rowOff>0</xdr:rowOff>
    </xdr:to>
    <xdr:sp macro="" textlink="">
      <xdr:nvSpPr>
        <xdr:cNvPr id="9" name="Textfeld 319">
          <a:extLst>
            <a:ext uri="{FF2B5EF4-FFF2-40B4-BE49-F238E27FC236}">
              <a16:creationId xmlns:a16="http://schemas.microsoft.com/office/drawing/2014/main" id="{6512FE21-82E4-4922-9E2D-1B82D15128BB}"/>
            </a:ext>
          </a:extLst>
        </xdr:cNvPr>
        <xdr:cNvSpPr txBox="1"/>
      </xdr:nvSpPr>
      <xdr:spPr>
        <a:xfrm>
          <a:off x="9189720" y="10226040"/>
          <a:ext cx="612648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18</xdr:col>
      <xdr:colOff>1</xdr:colOff>
      <xdr:row>36</xdr:row>
      <xdr:rowOff>99391</xdr:rowOff>
    </xdr:from>
    <xdr:to>
      <xdr:col>24</xdr:col>
      <xdr:colOff>1</xdr:colOff>
      <xdr:row>41</xdr:row>
      <xdr:rowOff>0</xdr:rowOff>
    </xdr:to>
    <xdr:sp macro="" textlink="">
      <xdr:nvSpPr>
        <xdr:cNvPr id="10" name="Textfeld 319">
          <a:extLst>
            <a:ext uri="{FF2B5EF4-FFF2-40B4-BE49-F238E27FC236}">
              <a16:creationId xmlns:a16="http://schemas.microsoft.com/office/drawing/2014/main" id="{E2E59F58-2784-41F6-B702-BF380ECFA333}"/>
            </a:ext>
          </a:extLst>
        </xdr:cNvPr>
        <xdr:cNvSpPr txBox="1"/>
      </xdr:nvSpPr>
      <xdr:spPr>
        <a:xfrm>
          <a:off x="17358361" y="6134431"/>
          <a:ext cx="6126480" cy="73880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18</xdr:col>
      <xdr:colOff>1</xdr:colOff>
      <xdr:row>11</xdr:row>
      <xdr:rowOff>0</xdr:rowOff>
    </xdr:from>
    <xdr:to>
      <xdr:col>24</xdr:col>
      <xdr:colOff>1</xdr:colOff>
      <xdr:row>14</xdr:row>
      <xdr:rowOff>1</xdr:rowOff>
    </xdr:to>
    <xdr:sp macro="" textlink="">
      <xdr:nvSpPr>
        <xdr:cNvPr id="11" name="Textfeld 340">
          <a:extLst>
            <a:ext uri="{FF2B5EF4-FFF2-40B4-BE49-F238E27FC236}">
              <a16:creationId xmlns:a16="http://schemas.microsoft.com/office/drawing/2014/main" id="{2C8BD3D0-6BC3-41A8-A80D-CAF9CF85AEF6}"/>
            </a:ext>
          </a:extLst>
        </xdr:cNvPr>
        <xdr:cNvSpPr txBox="1"/>
      </xdr:nvSpPr>
      <xdr:spPr>
        <a:xfrm>
          <a:off x="17358361" y="1844040"/>
          <a:ext cx="6126480" cy="502921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21</xdr:col>
      <xdr:colOff>0</xdr:colOff>
      <xdr:row>14</xdr:row>
      <xdr:rowOff>1</xdr:rowOff>
    </xdr:from>
    <xdr:to>
      <xdr:col>24</xdr:col>
      <xdr:colOff>0</xdr:colOff>
      <xdr:row>15</xdr:row>
      <xdr:rowOff>0</xdr:rowOff>
    </xdr:to>
    <xdr:sp macro="" textlink="">
      <xdr:nvSpPr>
        <xdr:cNvPr id="12" name="Textfeld 52">
          <a:extLst>
            <a:ext uri="{FF2B5EF4-FFF2-40B4-BE49-F238E27FC236}">
              <a16:creationId xmlns:a16="http://schemas.microsoft.com/office/drawing/2014/main" id="{D78CACE6-D60F-4AE0-9613-C358E39D88E2}"/>
            </a:ext>
          </a:extLst>
        </xdr:cNvPr>
        <xdr:cNvSpPr txBox="1"/>
      </xdr:nvSpPr>
      <xdr:spPr bwMode="auto">
        <a:xfrm>
          <a:off x="20421600" y="2346961"/>
          <a:ext cx="3063240" cy="1676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26</xdr:col>
      <xdr:colOff>0</xdr:colOff>
      <xdr:row>36</xdr:row>
      <xdr:rowOff>99391</xdr:rowOff>
    </xdr:from>
    <xdr:to>
      <xdr:col>32</xdr:col>
      <xdr:colOff>0</xdr:colOff>
      <xdr:row>41</xdr:row>
      <xdr:rowOff>0</xdr:rowOff>
    </xdr:to>
    <xdr:sp macro="" textlink="">
      <xdr:nvSpPr>
        <xdr:cNvPr id="13" name="Textfeld 319">
          <a:extLst>
            <a:ext uri="{FF2B5EF4-FFF2-40B4-BE49-F238E27FC236}">
              <a16:creationId xmlns:a16="http://schemas.microsoft.com/office/drawing/2014/main" id="{8C5E4BAB-2664-49CA-B7F1-F6CB687EAACF}"/>
            </a:ext>
          </a:extLst>
        </xdr:cNvPr>
        <xdr:cNvSpPr txBox="1"/>
      </xdr:nvSpPr>
      <xdr:spPr>
        <a:xfrm>
          <a:off x="25527000" y="6134431"/>
          <a:ext cx="6126480" cy="73880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26</xdr:col>
      <xdr:colOff>0</xdr:colOff>
      <xdr:row>11</xdr:row>
      <xdr:rowOff>0</xdr:rowOff>
    </xdr:from>
    <xdr:to>
      <xdr:col>32</xdr:col>
      <xdr:colOff>0</xdr:colOff>
      <xdr:row>14</xdr:row>
      <xdr:rowOff>1</xdr:rowOff>
    </xdr:to>
    <xdr:sp macro="" textlink="">
      <xdr:nvSpPr>
        <xdr:cNvPr id="14" name="Textfeld 340">
          <a:extLst>
            <a:ext uri="{FF2B5EF4-FFF2-40B4-BE49-F238E27FC236}">
              <a16:creationId xmlns:a16="http://schemas.microsoft.com/office/drawing/2014/main" id="{D8BA3CD3-58AD-48EA-99D1-4135845AB84A}"/>
            </a:ext>
          </a:extLst>
        </xdr:cNvPr>
        <xdr:cNvSpPr txBox="1"/>
      </xdr:nvSpPr>
      <xdr:spPr>
        <a:xfrm>
          <a:off x="25527000" y="1844040"/>
          <a:ext cx="6126480" cy="502921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25</xdr:col>
      <xdr:colOff>284921</xdr:colOff>
      <xdr:row>61</xdr:row>
      <xdr:rowOff>0</xdr:rowOff>
    </xdr:from>
    <xdr:to>
      <xdr:col>31</xdr:col>
      <xdr:colOff>344556</xdr:colOff>
      <xdr:row>65</xdr:row>
      <xdr:rowOff>0</xdr:rowOff>
    </xdr:to>
    <xdr:sp macro="" textlink="">
      <xdr:nvSpPr>
        <xdr:cNvPr id="15" name="Textfeld 319">
          <a:extLst>
            <a:ext uri="{FF2B5EF4-FFF2-40B4-BE49-F238E27FC236}">
              <a16:creationId xmlns:a16="http://schemas.microsoft.com/office/drawing/2014/main" id="{A444B980-37B8-40E8-B286-3A63593358A5}"/>
            </a:ext>
          </a:extLst>
        </xdr:cNvPr>
        <xdr:cNvSpPr txBox="1"/>
      </xdr:nvSpPr>
      <xdr:spPr>
        <a:xfrm>
          <a:off x="24790841" y="10226040"/>
          <a:ext cx="6186115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34</xdr:col>
      <xdr:colOff>0</xdr:colOff>
      <xdr:row>36</xdr:row>
      <xdr:rowOff>99391</xdr:rowOff>
    </xdr:from>
    <xdr:to>
      <xdr:col>40</xdr:col>
      <xdr:colOff>0</xdr:colOff>
      <xdr:row>41</xdr:row>
      <xdr:rowOff>0</xdr:rowOff>
    </xdr:to>
    <xdr:sp macro="" textlink="">
      <xdr:nvSpPr>
        <xdr:cNvPr id="16" name="Textfeld 319">
          <a:extLst>
            <a:ext uri="{FF2B5EF4-FFF2-40B4-BE49-F238E27FC236}">
              <a16:creationId xmlns:a16="http://schemas.microsoft.com/office/drawing/2014/main" id="{C9637B47-3068-4727-B9E5-5F9DDD7859F0}"/>
            </a:ext>
          </a:extLst>
        </xdr:cNvPr>
        <xdr:cNvSpPr txBox="1"/>
      </xdr:nvSpPr>
      <xdr:spPr>
        <a:xfrm>
          <a:off x="33695640" y="6134431"/>
          <a:ext cx="6126480" cy="73880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40</xdr:col>
      <xdr:colOff>0</xdr:colOff>
      <xdr:row>14</xdr:row>
      <xdr:rowOff>1</xdr:rowOff>
    </xdr:to>
    <xdr:sp macro="" textlink="">
      <xdr:nvSpPr>
        <xdr:cNvPr id="17" name="Textfeld 340">
          <a:extLst>
            <a:ext uri="{FF2B5EF4-FFF2-40B4-BE49-F238E27FC236}">
              <a16:creationId xmlns:a16="http://schemas.microsoft.com/office/drawing/2014/main" id="{7A0446F5-CA49-416B-A1F2-105560AB896C}"/>
            </a:ext>
          </a:extLst>
        </xdr:cNvPr>
        <xdr:cNvSpPr txBox="1"/>
      </xdr:nvSpPr>
      <xdr:spPr>
        <a:xfrm>
          <a:off x="33695640" y="1844040"/>
          <a:ext cx="6126480" cy="502921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2</xdr:col>
      <xdr:colOff>0</xdr:colOff>
      <xdr:row>60</xdr:row>
      <xdr:rowOff>99646</xdr:rowOff>
    </xdr:from>
    <xdr:to>
      <xdr:col>5</xdr:col>
      <xdr:colOff>0</xdr:colOff>
      <xdr:row>65</xdr:row>
      <xdr:rowOff>0</xdr:rowOff>
    </xdr:to>
    <xdr:sp macro="" textlink="">
      <xdr:nvSpPr>
        <xdr:cNvPr id="18" name="Textfeld 319">
          <a:extLst>
            <a:ext uri="{FF2B5EF4-FFF2-40B4-BE49-F238E27FC236}">
              <a16:creationId xmlns:a16="http://schemas.microsoft.com/office/drawing/2014/main" id="{ADD26137-B86D-4794-BD94-F2965E3D058E}"/>
            </a:ext>
          </a:extLst>
        </xdr:cNvPr>
        <xdr:cNvSpPr txBox="1"/>
      </xdr:nvSpPr>
      <xdr:spPr>
        <a:xfrm>
          <a:off x="2042160" y="10158046"/>
          <a:ext cx="3063240" cy="738554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0</xdr:colOff>
      <xdr:row>60</xdr:row>
      <xdr:rowOff>99645</xdr:rowOff>
    </xdr:to>
    <xdr:sp macro="" textlink="">
      <xdr:nvSpPr>
        <xdr:cNvPr id="19" name="Textfeld 107">
          <a:extLst>
            <a:ext uri="{FF2B5EF4-FFF2-40B4-BE49-F238E27FC236}">
              <a16:creationId xmlns:a16="http://schemas.microsoft.com/office/drawing/2014/main" id="{8D4325A8-E177-42D7-9980-35D45CF58B4A}"/>
            </a:ext>
          </a:extLst>
        </xdr:cNvPr>
        <xdr:cNvSpPr txBox="1"/>
      </xdr:nvSpPr>
      <xdr:spPr>
        <a:xfrm>
          <a:off x="3063240" y="5196840"/>
          <a:ext cx="1021080" cy="496120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Fz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,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Mat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&amp; Mun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Fassung (inkl</a:t>
          </a:r>
          <a:r>
            <a:rPr lang="de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Repetitorium)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ALC-M</a:t>
          </a:r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, STAZIONE LAVORGO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1274</xdr:colOff>
      <xdr:row>29</xdr:row>
      <xdr:rowOff>0</xdr:rowOff>
    </xdr:from>
    <xdr:to>
      <xdr:col>4</xdr:col>
      <xdr:colOff>0</xdr:colOff>
      <xdr:row>31</xdr:row>
      <xdr:rowOff>1</xdr:rowOff>
    </xdr:to>
    <xdr:sp macro="" textlink="">
      <xdr:nvSpPr>
        <xdr:cNvPr id="20" name="Textfeld 107">
          <a:extLst>
            <a:ext uri="{FF2B5EF4-FFF2-40B4-BE49-F238E27FC236}">
              <a16:creationId xmlns:a16="http://schemas.microsoft.com/office/drawing/2014/main" id="{85AEF0EF-720C-48CD-B44F-26B21BF5C7C9}"/>
            </a:ext>
          </a:extLst>
        </xdr:cNvPr>
        <xdr:cNvSpPr txBox="1"/>
      </xdr:nvSpPr>
      <xdr:spPr>
        <a:xfrm rot="5400000">
          <a:off x="3406776" y="4519298"/>
          <a:ext cx="335281" cy="1019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6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Bus</a:t>
          </a:r>
          <a:r>
            <a:rPr lang="de-CH" sz="6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Rivera</a:t>
          </a:r>
          <a:endParaRPr lang="de-CH" sz="6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345829</xdr:colOff>
      <xdr:row>25</xdr:row>
      <xdr:rowOff>0</xdr:rowOff>
    </xdr:from>
    <xdr:to>
      <xdr:col>3</xdr:col>
      <xdr:colOff>345829</xdr:colOff>
      <xdr:row>29</xdr:row>
      <xdr:rowOff>1</xdr:rowOff>
    </xdr:to>
    <xdr:sp macro="" textlink="">
      <xdr:nvSpPr>
        <xdr:cNvPr id="21" name="Textfeld 107">
          <a:extLst>
            <a:ext uri="{FF2B5EF4-FFF2-40B4-BE49-F238E27FC236}">
              <a16:creationId xmlns:a16="http://schemas.microsoft.com/office/drawing/2014/main" id="{1A1CAEEB-C11D-4A7C-8742-48FF1CBB3BD0}"/>
            </a:ext>
          </a:extLst>
        </xdr:cNvPr>
        <xdr:cNvSpPr txBox="1"/>
      </xdr:nvSpPr>
      <xdr:spPr>
        <a:xfrm rot="5400000">
          <a:off x="2563248" y="4015741"/>
          <a:ext cx="670561" cy="1021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Einrücken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2</xdr:col>
      <xdr:colOff>344556</xdr:colOff>
      <xdr:row>67</xdr:row>
      <xdr:rowOff>98882</xdr:rowOff>
    </xdr:to>
    <xdr:sp macro="" textlink="">
      <xdr:nvSpPr>
        <xdr:cNvPr id="22" name="Textfeld 107">
          <a:extLst>
            <a:ext uri="{FF2B5EF4-FFF2-40B4-BE49-F238E27FC236}">
              <a16:creationId xmlns:a16="http://schemas.microsoft.com/office/drawing/2014/main" id="{CF4A97D7-3A0E-42AE-BA01-5ABA0199FF31}"/>
            </a:ext>
          </a:extLst>
        </xdr:cNvPr>
        <xdr:cNvSpPr txBox="1"/>
      </xdr:nvSpPr>
      <xdr:spPr>
        <a:xfrm>
          <a:off x="2042160" y="10896600"/>
          <a:ext cx="344556" cy="434162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72000" tIns="0" rIns="0" bIns="0" rtlCol="0" anchor="ctr"/>
        <a:lstStyle/>
        <a:p>
          <a:pPr marL="0" indent="0" algn="l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Regie KVK</a:t>
          </a:r>
        </a:p>
      </xdr:txBody>
    </xdr:sp>
    <xdr:clientData/>
  </xdr:twoCellAnchor>
  <xdr:twoCellAnchor>
    <xdr:from>
      <xdr:col>3</xdr:col>
      <xdr:colOff>343282</xdr:colOff>
      <xdr:row>65</xdr:row>
      <xdr:rowOff>0</xdr:rowOff>
    </xdr:from>
    <xdr:to>
      <xdr:col>4</xdr:col>
      <xdr:colOff>342008</xdr:colOff>
      <xdr:row>76</xdr:row>
      <xdr:rowOff>96589</xdr:rowOff>
    </xdr:to>
    <xdr:sp macro="" textlink="">
      <xdr:nvSpPr>
        <xdr:cNvPr id="23" name="Textfeld 107">
          <a:extLst>
            <a:ext uri="{FF2B5EF4-FFF2-40B4-BE49-F238E27FC236}">
              <a16:creationId xmlns:a16="http://schemas.microsoft.com/office/drawing/2014/main" id="{D3853BFF-1FFC-4591-9076-F532270AD9DE}"/>
            </a:ext>
          </a:extLst>
        </xdr:cNvPr>
        <xdr:cNvSpPr txBox="1"/>
      </xdr:nvSpPr>
      <xdr:spPr>
        <a:xfrm>
          <a:off x="3406522" y="10896600"/>
          <a:ext cx="1019806" cy="194062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344556</xdr:colOff>
      <xdr:row>65</xdr:row>
      <xdr:rowOff>0</xdr:rowOff>
    </xdr:from>
    <xdr:to>
      <xdr:col>3</xdr:col>
      <xdr:colOff>343282</xdr:colOff>
      <xdr:row>76</xdr:row>
      <xdr:rowOff>96588</xdr:rowOff>
    </xdr:to>
    <xdr:sp macro="" textlink="">
      <xdr:nvSpPr>
        <xdr:cNvPr id="24" name="Textfeld 107">
          <a:extLst>
            <a:ext uri="{FF2B5EF4-FFF2-40B4-BE49-F238E27FC236}">
              <a16:creationId xmlns:a16="http://schemas.microsoft.com/office/drawing/2014/main" id="{A24182CB-AE9E-45BF-A792-B61C4B326A30}"/>
            </a:ext>
          </a:extLst>
        </xdr:cNvPr>
        <xdr:cNvSpPr txBox="1"/>
      </xdr:nvSpPr>
      <xdr:spPr>
        <a:xfrm>
          <a:off x="2386716" y="10896600"/>
          <a:ext cx="1019806" cy="1940628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r>
            <a:rPr lang="de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Log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67</xdr:row>
      <xdr:rowOff>98882</xdr:rowOff>
    </xdr:from>
    <xdr:to>
      <xdr:col>2</xdr:col>
      <xdr:colOff>344556</xdr:colOff>
      <xdr:row>76</xdr:row>
      <xdr:rowOff>96588</xdr:rowOff>
    </xdr:to>
    <xdr:sp macro="" textlink="">
      <xdr:nvSpPr>
        <xdr:cNvPr id="25" name="Textfeld 107">
          <a:extLst>
            <a:ext uri="{FF2B5EF4-FFF2-40B4-BE49-F238E27FC236}">
              <a16:creationId xmlns:a16="http://schemas.microsoft.com/office/drawing/2014/main" id="{9B385418-7740-4901-8D22-0F0B838670B1}"/>
            </a:ext>
          </a:extLst>
        </xdr:cNvPr>
        <xdr:cNvSpPr txBox="1"/>
      </xdr:nvSpPr>
      <xdr:spPr>
        <a:xfrm>
          <a:off x="2042160" y="11330762"/>
          <a:ext cx="344556" cy="150646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7</xdr:col>
      <xdr:colOff>0</xdr:colOff>
      <xdr:row>80</xdr:row>
      <xdr:rowOff>98627</xdr:rowOff>
    </xdr:to>
    <xdr:sp macro="" textlink="">
      <xdr:nvSpPr>
        <xdr:cNvPr id="26" name="Textfeld 433">
          <a:extLst>
            <a:ext uri="{FF2B5EF4-FFF2-40B4-BE49-F238E27FC236}">
              <a16:creationId xmlns:a16="http://schemas.microsoft.com/office/drawing/2014/main" id="{043E8989-15B1-42DF-9BE1-DBB00647CD3F}"/>
            </a:ext>
          </a:extLst>
        </xdr:cNvPr>
        <xdr:cNvSpPr txBox="1"/>
      </xdr:nvSpPr>
      <xdr:spPr>
        <a:xfrm>
          <a:off x="2042160" y="12908280"/>
          <a:ext cx="5105400" cy="601547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80</xdr:row>
      <xdr:rowOff>98627</xdr:rowOff>
    </xdr:from>
    <xdr:to>
      <xdr:col>7</xdr:col>
      <xdr:colOff>0</xdr:colOff>
      <xdr:row>82</xdr:row>
      <xdr:rowOff>2038</xdr:rowOff>
    </xdr:to>
    <xdr:sp macro="" textlink="">
      <xdr:nvSpPr>
        <xdr:cNvPr id="27" name="Textfeld 421">
          <a:extLst>
            <a:ext uri="{FF2B5EF4-FFF2-40B4-BE49-F238E27FC236}">
              <a16:creationId xmlns:a16="http://schemas.microsoft.com/office/drawing/2014/main" id="{B0DE6CD0-4706-470C-90A9-CF6F1508A098}"/>
            </a:ext>
          </a:extLst>
        </xdr:cNvPr>
        <xdr:cNvSpPr txBox="1"/>
      </xdr:nvSpPr>
      <xdr:spPr bwMode="auto">
        <a:xfrm>
          <a:off x="2042160" y="13509827"/>
          <a:ext cx="5105400" cy="238691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10</xdr:col>
      <xdr:colOff>0</xdr:colOff>
      <xdr:row>77</xdr:row>
      <xdr:rowOff>0</xdr:rowOff>
    </xdr:from>
    <xdr:to>
      <xdr:col>16</xdr:col>
      <xdr:colOff>0</xdr:colOff>
      <xdr:row>80</xdr:row>
      <xdr:rowOff>98627</xdr:rowOff>
    </xdr:to>
    <xdr:sp macro="" textlink="">
      <xdr:nvSpPr>
        <xdr:cNvPr id="28" name="Textfeld 433">
          <a:extLst>
            <a:ext uri="{FF2B5EF4-FFF2-40B4-BE49-F238E27FC236}">
              <a16:creationId xmlns:a16="http://schemas.microsoft.com/office/drawing/2014/main" id="{962B9168-4F5F-482E-84EC-F19849261971}"/>
            </a:ext>
          </a:extLst>
        </xdr:cNvPr>
        <xdr:cNvSpPr txBox="1"/>
      </xdr:nvSpPr>
      <xdr:spPr>
        <a:xfrm>
          <a:off x="9189720" y="12908280"/>
          <a:ext cx="6126480" cy="601547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80</xdr:row>
      <xdr:rowOff>98627</xdr:rowOff>
    </xdr:from>
    <xdr:to>
      <xdr:col>16</xdr:col>
      <xdr:colOff>0</xdr:colOff>
      <xdr:row>82</xdr:row>
      <xdr:rowOff>2038</xdr:rowOff>
    </xdr:to>
    <xdr:sp macro="" textlink="">
      <xdr:nvSpPr>
        <xdr:cNvPr id="29" name="Textfeld 421">
          <a:extLst>
            <a:ext uri="{FF2B5EF4-FFF2-40B4-BE49-F238E27FC236}">
              <a16:creationId xmlns:a16="http://schemas.microsoft.com/office/drawing/2014/main" id="{82D655EB-42D3-4F99-BD4B-696B830001C0}"/>
            </a:ext>
          </a:extLst>
        </xdr:cNvPr>
        <xdr:cNvSpPr txBox="1"/>
      </xdr:nvSpPr>
      <xdr:spPr bwMode="auto">
        <a:xfrm>
          <a:off x="9189720" y="13509827"/>
          <a:ext cx="6126480" cy="238691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25</xdr:col>
      <xdr:colOff>281353</xdr:colOff>
      <xdr:row>77</xdr:row>
      <xdr:rowOff>1020</xdr:rowOff>
    </xdr:from>
    <xdr:to>
      <xdr:col>32</xdr:col>
      <xdr:colOff>0</xdr:colOff>
      <xdr:row>81</xdr:row>
      <xdr:rowOff>0</xdr:rowOff>
    </xdr:to>
    <xdr:sp macro="" textlink="">
      <xdr:nvSpPr>
        <xdr:cNvPr id="30" name="Textfeld 433">
          <a:extLst>
            <a:ext uri="{FF2B5EF4-FFF2-40B4-BE49-F238E27FC236}">
              <a16:creationId xmlns:a16="http://schemas.microsoft.com/office/drawing/2014/main" id="{E7A705AB-C851-46E3-8FC4-4F0A703DCBB5}"/>
            </a:ext>
          </a:extLst>
        </xdr:cNvPr>
        <xdr:cNvSpPr txBox="1"/>
      </xdr:nvSpPr>
      <xdr:spPr>
        <a:xfrm>
          <a:off x="24787273" y="12909300"/>
          <a:ext cx="6866207" cy="66954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281353</xdr:colOff>
      <xdr:row>81</xdr:row>
      <xdr:rowOff>0</xdr:rowOff>
    </xdr:from>
    <xdr:to>
      <xdr:col>32</xdr:col>
      <xdr:colOff>0</xdr:colOff>
      <xdr:row>82</xdr:row>
      <xdr:rowOff>3058</xdr:rowOff>
    </xdr:to>
    <xdr:sp macro="" textlink="">
      <xdr:nvSpPr>
        <xdr:cNvPr id="31" name="Textfeld 421">
          <a:extLst>
            <a:ext uri="{FF2B5EF4-FFF2-40B4-BE49-F238E27FC236}">
              <a16:creationId xmlns:a16="http://schemas.microsoft.com/office/drawing/2014/main" id="{A77ADA6E-05A4-47C1-AA44-15E00ED88B3B}"/>
            </a:ext>
          </a:extLst>
        </xdr:cNvPr>
        <xdr:cNvSpPr txBox="1"/>
      </xdr:nvSpPr>
      <xdr:spPr bwMode="auto">
        <a:xfrm>
          <a:off x="24787273" y="13578840"/>
          <a:ext cx="6866207" cy="17069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33</xdr:col>
      <xdr:colOff>281353</xdr:colOff>
      <xdr:row>60</xdr:row>
      <xdr:rowOff>99646</xdr:rowOff>
    </xdr:from>
    <xdr:to>
      <xdr:col>39</xdr:col>
      <xdr:colOff>345830</xdr:colOff>
      <xdr:row>64</xdr:row>
      <xdr:rowOff>98626</xdr:rowOff>
    </xdr:to>
    <xdr:sp macro="" textlink="">
      <xdr:nvSpPr>
        <xdr:cNvPr id="32" name="Textfeld 319">
          <a:extLst>
            <a:ext uri="{FF2B5EF4-FFF2-40B4-BE49-F238E27FC236}">
              <a16:creationId xmlns:a16="http://schemas.microsoft.com/office/drawing/2014/main" id="{A61F25B7-9953-4509-95B0-94CFF873215C}"/>
            </a:ext>
          </a:extLst>
        </xdr:cNvPr>
        <xdr:cNvSpPr txBox="1"/>
      </xdr:nvSpPr>
      <xdr:spPr>
        <a:xfrm>
          <a:off x="32955913" y="10158046"/>
          <a:ext cx="6190957" cy="66954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 (Lunch)</a:t>
          </a:r>
        </a:p>
      </xdr:txBody>
    </xdr:sp>
    <xdr:clientData/>
  </xdr:twoCellAnchor>
  <xdr:twoCellAnchor>
    <xdr:from>
      <xdr:col>33</xdr:col>
      <xdr:colOff>281353</xdr:colOff>
      <xdr:row>64</xdr:row>
      <xdr:rowOff>98626</xdr:rowOff>
    </xdr:from>
    <xdr:to>
      <xdr:col>39</xdr:col>
      <xdr:colOff>345830</xdr:colOff>
      <xdr:row>79</xdr:row>
      <xdr:rowOff>94804</xdr:rowOff>
    </xdr:to>
    <xdr:sp macro="" textlink="">
      <xdr:nvSpPr>
        <xdr:cNvPr id="33" name="Textfeld 51">
          <a:extLst>
            <a:ext uri="{FF2B5EF4-FFF2-40B4-BE49-F238E27FC236}">
              <a16:creationId xmlns:a16="http://schemas.microsoft.com/office/drawing/2014/main" id="{D3342FDA-9A7B-474C-B9C6-20AFCD8E9FED}"/>
            </a:ext>
          </a:extLst>
        </xdr:cNvPr>
        <xdr:cNvSpPr txBox="1"/>
      </xdr:nvSpPr>
      <xdr:spPr>
        <a:xfrm>
          <a:off x="32955913" y="10827586"/>
          <a:ext cx="6190957" cy="2510778"/>
        </a:xfrm>
        <a:prstGeom prst="flowChartDocumen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+mn-cs"/>
            </a:rPr>
            <a:t>Reserve / Abtreten gem Bat Kdt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67</xdr:row>
      <xdr:rowOff>99645</xdr:rowOff>
    </xdr:from>
    <xdr:to>
      <xdr:col>7</xdr:col>
      <xdr:colOff>0</xdr:colOff>
      <xdr:row>77</xdr:row>
      <xdr:rowOff>0</xdr:rowOff>
    </xdr:to>
    <xdr:sp macro="" textlink="">
      <xdr:nvSpPr>
        <xdr:cNvPr id="34" name="Textfeld 107">
          <a:extLst>
            <a:ext uri="{FF2B5EF4-FFF2-40B4-BE49-F238E27FC236}">
              <a16:creationId xmlns:a16="http://schemas.microsoft.com/office/drawing/2014/main" id="{185E415A-0EC7-4279-8557-3C54C2B1407E}"/>
            </a:ext>
          </a:extLst>
        </xdr:cNvPr>
        <xdr:cNvSpPr txBox="1"/>
      </xdr:nvSpPr>
      <xdr:spPr>
        <a:xfrm>
          <a:off x="2028497" y="8092762"/>
          <a:ext cx="341586" cy="898838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</xdr:colOff>
      <xdr:row>25</xdr:row>
      <xdr:rowOff>0</xdr:rowOff>
    </xdr:from>
    <xdr:to>
      <xdr:col>5</xdr:col>
      <xdr:colOff>0</xdr:colOff>
      <xdr:row>60</xdr:row>
      <xdr:rowOff>99646</xdr:rowOff>
    </xdr:to>
    <xdr:sp macro="" textlink="">
      <xdr:nvSpPr>
        <xdr:cNvPr id="36" name="Textfeld 107">
          <a:extLst>
            <a:ext uri="{FF2B5EF4-FFF2-40B4-BE49-F238E27FC236}">
              <a16:creationId xmlns:a16="http://schemas.microsoft.com/office/drawing/2014/main" id="{46B7A58F-C548-45E4-B7A0-8719BAC24547}"/>
            </a:ext>
          </a:extLst>
        </xdr:cNvPr>
        <xdr:cNvSpPr txBox="1"/>
      </xdr:nvSpPr>
      <xdr:spPr>
        <a:xfrm>
          <a:off x="4084321" y="4191000"/>
          <a:ext cx="1021079" cy="596704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Aufbau Bat KP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6</xdr:col>
      <xdr:colOff>0</xdr:colOff>
      <xdr:row>83</xdr:row>
      <xdr:rowOff>0</xdr:rowOff>
    </xdr:to>
    <xdr:sp macro="" textlink="">
      <xdr:nvSpPr>
        <xdr:cNvPr id="37" name="Textfeld 107">
          <a:extLst>
            <a:ext uri="{FF2B5EF4-FFF2-40B4-BE49-F238E27FC236}">
              <a16:creationId xmlns:a16="http://schemas.microsoft.com/office/drawing/2014/main" id="{AB2ECD76-3EE5-4ADD-81AD-A489296DDE0C}"/>
            </a:ext>
          </a:extLst>
        </xdr:cNvPr>
        <xdr:cNvSpPr txBox="1"/>
      </xdr:nvSpPr>
      <xdr:spPr>
        <a:xfrm>
          <a:off x="5105400" y="4191000"/>
          <a:ext cx="1021080" cy="97231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2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60</xdr:row>
      <xdr:rowOff>99646</xdr:rowOff>
    </xdr:from>
    <xdr:to>
      <xdr:col>7</xdr:col>
      <xdr:colOff>0</xdr:colOff>
      <xdr:row>65</xdr:row>
      <xdr:rowOff>0</xdr:rowOff>
    </xdr:to>
    <xdr:sp macro="" textlink="">
      <xdr:nvSpPr>
        <xdr:cNvPr id="38" name="Textfeld 319">
          <a:extLst>
            <a:ext uri="{FF2B5EF4-FFF2-40B4-BE49-F238E27FC236}">
              <a16:creationId xmlns:a16="http://schemas.microsoft.com/office/drawing/2014/main" id="{37C1580A-CC11-4F62-A447-90F1A267C60C}"/>
            </a:ext>
          </a:extLst>
        </xdr:cNvPr>
        <xdr:cNvSpPr txBox="1"/>
      </xdr:nvSpPr>
      <xdr:spPr>
        <a:xfrm>
          <a:off x="6126480" y="10158046"/>
          <a:ext cx="1021080" cy="738554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6</xdr:col>
      <xdr:colOff>1275</xdr:colOff>
      <xdr:row>53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39" name="Textfeld 107">
          <a:extLst>
            <a:ext uri="{FF2B5EF4-FFF2-40B4-BE49-F238E27FC236}">
              <a16:creationId xmlns:a16="http://schemas.microsoft.com/office/drawing/2014/main" id="{245BC692-00EF-4C85-894C-9DAE87913363}"/>
            </a:ext>
          </a:extLst>
        </xdr:cNvPr>
        <xdr:cNvSpPr txBox="1"/>
      </xdr:nvSpPr>
      <xdr:spPr>
        <a:xfrm>
          <a:off x="6127755" y="8884920"/>
          <a:ext cx="1019805" cy="67056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Eintritts Th Kdt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56</xdr:row>
      <xdr:rowOff>99645</xdr:rowOff>
    </xdr:from>
    <xdr:to>
      <xdr:col>6</xdr:col>
      <xdr:colOff>344556</xdr:colOff>
      <xdr:row>60</xdr:row>
      <xdr:rowOff>99646</xdr:rowOff>
    </xdr:to>
    <xdr:sp macro="" textlink="">
      <xdr:nvSpPr>
        <xdr:cNvPr id="40" name="Textfeld 107">
          <a:extLst>
            <a:ext uri="{FF2B5EF4-FFF2-40B4-BE49-F238E27FC236}">
              <a16:creationId xmlns:a16="http://schemas.microsoft.com/office/drawing/2014/main" id="{644D73BA-03A3-4EA3-B4F8-AEAA926A10C5}"/>
            </a:ext>
          </a:extLst>
        </xdr:cNvPr>
        <xdr:cNvSpPr txBox="1"/>
      </xdr:nvSpPr>
      <xdr:spPr>
        <a:xfrm>
          <a:off x="6126480" y="9487485"/>
          <a:ext cx="344556" cy="670561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AR 0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</xdr:colOff>
      <xdr:row>25</xdr:row>
      <xdr:rowOff>1</xdr:rowOff>
    </xdr:from>
    <xdr:to>
      <xdr:col>3</xdr:col>
      <xdr:colOff>0</xdr:colOff>
      <xdr:row>60</xdr:row>
      <xdr:rowOff>99646</xdr:rowOff>
    </xdr:to>
    <xdr:sp macro="" textlink="">
      <xdr:nvSpPr>
        <xdr:cNvPr id="41" name="Textfeld 107">
          <a:extLst>
            <a:ext uri="{FF2B5EF4-FFF2-40B4-BE49-F238E27FC236}">
              <a16:creationId xmlns:a16="http://schemas.microsoft.com/office/drawing/2014/main" id="{2386AE72-D920-4E4D-8D96-AB4EFE565CF9}"/>
            </a:ext>
          </a:extLst>
        </xdr:cNvPr>
        <xdr:cNvSpPr txBox="1"/>
      </xdr:nvSpPr>
      <xdr:spPr>
        <a:xfrm>
          <a:off x="2042161" y="4191001"/>
          <a:ext cx="1021079" cy="596704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Einrichtung zentraler</a:t>
          </a:r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KVK &amp; 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1275</xdr:colOff>
      <xdr:row>45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42" name="Textfeld 107">
          <a:extLst>
            <a:ext uri="{FF2B5EF4-FFF2-40B4-BE49-F238E27FC236}">
              <a16:creationId xmlns:a16="http://schemas.microsoft.com/office/drawing/2014/main" id="{4B30ED10-BDBB-4C55-83E8-27333E767CD8}"/>
            </a:ext>
          </a:extLst>
        </xdr:cNvPr>
        <xdr:cNvSpPr txBox="1"/>
      </xdr:nvSpPr>
      <xdr:spPr>
        <a:xfrm>
          <a:off x="6127755" y="7543800"/>
          <a:ext cx="1019805" cy="13411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16</xdr:row>
      <xdr:rowOff>99848</xdr:rowOff>
    </xdr:from>
    <xdr:to>
      <xdr:col>13</xdr:col>
      <xdr:colOff>173421</xdr:colOff>
      <xdr:row>27</xdr:row>
      <xdr:rowOff>0</xdr:rowOff>
    </xdr:to>
    <xdr:sp macro="" textlink="">
      <xdr:nvSpPr>
        <xdr:cNvPr id="43" name="Textfeld 107">
          <a:extLst>
            <a:ext uri="{FF2B5EF4-FFF2-40B4-BE49-F238E27FC236}">
              <a16:creationId xmlns:a16="http://schemas.microsoft.com/office/drawing/2014/main" id="{D5715618-3469-48BF-A7A0-B7123FA8B4F8}"/>
            </a:ext>
          </a:extLst>
        </xdr:cNvPr>
        <xdr:cNvSpPr txBox="1"/>
      </xdr:nvSpPr>
      <xdr:spPr>
        <a:xfrm>
          <a:off x="12252960" y="2782088"/>
          <a:ext cx="173421" cy="174419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2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173935</xdr:colOff>
      <xdr:row>41</xdr:row>
      <xdr:rowOff>0</xdr:rowOff>
    </xdr:from>
    <xdr:to>
      <xdr:col>14</xdr:col>
      <xdr:colOff>0</xdr:colOff>
      <xdr:row>60</xdr:row>
      <xdr:rowOff>92026</xdr:rowOff>
    </xdr:to>
    <xdr:sp macro="" textlink="">
      <xdr:nvSpPr>
        <xdr:cNvPr id="44" name="Textfeld 107">
          <a:extLst>
            <a:ext uri="{FF2B5EF4-FFF2-40B4-BE49-F238E27FC236}">
              <a16:creationId xmlns:a16="http://schemas.microsoft.com/office/drawing/2014/main" id="{9B433C0C-157B-41E1-9DBC-2E3AE6ACB1A2}"/>
            </a:ext>
          </a:extLst>
        </xdr:cNvPr>
        <xdr:cNvSpPr txBox="1"/>
      </xdr:nvSpPr>
      <xdr:spPr>
        <a:xfrm>
          <a:off x="12426895" y="6873240"/>
          <a:ext cx="847145" cy="327718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2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0</xdr:colOff>
      <xdr:row>41</xdr:row>
      <xdr:rowOff>0</xdr:rowOff>
    </xdr:from>
    <xdr:to>
      <xdr:col>22</xdr:col>
      <xdr:colOff>0</xdr:colOff>
      <xdr:row>60</xdr:row>
      <xdr:rowOff>99646</xdr:rowOff>
    </xdr:to>
    <xdr:sp macro="" textlink="">
      <xdr:nvSpPr>
        <xdr:cNvPr id="45" name="Textfeld 107">
          <a:extLst>
            <a:ext uri="{FF2B5EF4-FFF2-40B4-BE49-F238E27FC236}">
              <a16:creationId xmlns:a16="http://schemas.microsoft.com/office/drawing/2014/main" id="{3CFD524B-4AD8-43BC-84DA-C018EDB79773}"/>
            </a:ext>
          </a:extLst>
        </xdr:cNvPr>
        <xdr:cNvSpPr txBox="1"/>
      </xdr:nvSpPr>
      <xdr:spPr>
        <a:xfrm>
          <a:off x="20421600" y="6873240"/>
          <a:ext cx="1021080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0</xdr:colOff>
      <xdr:row>41</xdr:row>
      <xdr:rowOff>0</xdr:rowOff>
    </xdr:from>
    <xdr:to>
      <xdr:col>30</xdr:col>
      <xdr:colOff>0</xdr:colOff>
      <xdr:row>60</xdr:row>
      <xdr:rowOff>99646</xdr:rowOff>
    </xdr:to>
    <xdr:sp macro="" textlink="">
      <xdr:nvSpPr>
        <xdr:cNvPr id="46" name="Textfeld 107">
          <a:extLst>
            <a:ext uri="{FF2B5EF4-FFF2-40B4-BE49-F238E27FC236}">
              <a16:creationId xmlns:a16="http://schemas.microsoft.com/office/drawing/2014/main" id="{30823486-792B-4C4F-8BE2-E710D5F7D9EB}"/>
            </a:ext>
          </a:extLst>
        </xdr:cNvPr>
        <xdr:cNvSpPr txBox="1"/>
      </xdr:nvSpPr>
      <xdr:spPr>
        <a:xfrm>
          <a:off x="28590240" y="6873240"/>
          <a:ext cx="1021080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0</xdr:colOff>
      <xdr:row>15</xdr:row>
      <xdr:rowOff>1</xdr:rowOff>
    </xdr:from>
    <xdr:to>
      <xdr:col>30</xdr:col>
      <xdr:colOff>0</xdr:colOff>
      <xdr:row>37</xdr:row>
      <xdr:rowOff>1</xdr:rowOff>
    </xdr:to>
    <xdr:sp macro="" textlink="">
      <xdr:nvSpPr>
        <xdr:cNvPr id="47" name="Textfeld 107">
          <a:extLst>
            <a:ext uri="{FF2B5EF4-FFF2-40B4-BE49-F238E27FC236}">
              <a16:creationId xmlns:a16="http://schemas.microsoft.com/office/drawing/2014/main" id="{5B23F155-B7AC-4A00-A741-7A7153AA8EA1}"/>
            </a:ext>
          </a:extLst>
        </xdr:cNvPr>
        <xdr:cNvSpPr txBox="1"/>
      </xdr:nvSpPr>
      <xdr:spPr>
        <a:xfrm>
          <a:off x="28590240" y="2514601"/>
          <a:ext cx="1021080" cy="3688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0</xdr:colOff>
      <xdr:row>15</xdr:row>
      <xdr:rowOff>1</xdr:rowOff>
    </xdr:from>
    <xdr:to>
      <xdr:col>38</xdr:col>
      <xdr:colOff>0</xdr:colOff>
      <xdr:row>37</xdr:row>
      <xdr:rowOff>1</xdr:rowOff>
    </xdr:to>
    <xdr:sp macro="" textlink="">
      <xdr:nvSpPr>
        <xdr:cNvPr id="48" name="Textfeld 107">
          <a:extLst>
            <a:ext uri="{FF2B5EF4-FFF2-40B4-BE49-F238E27FC236}">
              <a16:creationId xmlns:a16="http://schemas.microsoft.com/office/drawing/2014/main" id="{961CA21B-19F5-41A2-95B6-BBEE6D14EA84}"/>
            </a:ext>
          </a:extLst>
        </xdr:cNvPr>
        <xdr:cNvSpPr txBox="1"/>
      </xdr:nvSpPr>
      <xdr:spPr>
        <a:xfrm>
          <a:off x="36758880" y="2514601"/>
          <a:ext cx="1021080" cy="3688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0</xdr:colOff>
      <xdr:row>41</xdr:row>
      <xdr:rowOff>0</xdr:rowOff>
    </xdr:from>
    <xdr:to>
      <xdr:col>38</xdr:col>
      <xdr:colOff>0</xdr:colOff>
      <xdr:row>60</xdr:row>
      <xdr:rowOff>99646</xdr:rowOff>
    </xdr:to>
    <xdr:sp macro="" textlink="">
      <xdr:nvSpPr>
        <xdr:cNvPr id="49" name="Textfeld 107">
          <a:extLst>
            <a:ext uri="{FF2B5EF4-FFF2-40B4-BE49-F238E27FC236}">
              <a16:creationId xmlns:a16="http://schemas.microsoft.com/office/drawing/2014/main" id="{24E6962E-B458-401F-96DA-CB111491FCCF}"/>
            </a:ext>
          </a:extLst>
        </xdr:cNvPr>
        <xdr:cNvSpPr txBox="1"/>
      </xdr:nvSpPr>
      <xdr:spPr>
        <a:xfrm>
          <a:off x="36758880" y="6873240"/>
          <a:ext cx="1021080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0</xdr:colOff>
      <xdr:row>15</xdr:row>
      <xdr:rowOff>1</xdr:rowOff>
    </xdr:from>
    <xdr:to>
      <xdr:col>22</xdr:col>
      <xdr:colOff>0</xdr:colOff>
      <xdr:row>37</xdr:row>
      <xdr:rowOff>1</xdr:rowOff>
    </xdr:to>
    <xdr:sp macro="" textlink="">
      <xdr:nvSpPr>
        <xdr:cNvPr id="50" name="Textfeld 107">
          <a:extLst>
            <a:ext uri="{FF2B5EF4-FFF2-40B4-BE49-F238E27FC236}">
              <a16:creationId xmlns:a16="http://schemas.microsoft.com/office/drawing/2014/main" id="{1EF38B63-CE93-463D-89DE-E4F29CB793EC}"/>
            </a:ext>
          </a:extLst>
        </xdr:cNvPr>
        <xdr:cNvSpPr txBox="1"/>
      </xdr:nvSpPr>
      <xdr:spPr>
        <a:xfrm>
          <a:off x="20421600" y="2514601"/>
          <a:ext cx="1021080" cy="3688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2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0</xdr:colOff>
      <xdr:row>65</xdr:row>
      <xdr:rowOff>1</xdr:rowOff>
    </xdr:from>
    <xdr:to>
      <xdr:col>30</xdr:col>
      <xdr:colOff>0</xdr:colOff>
      <xdr:row>78</xdr:row>
      <xdr:rowOff>1</xdr:rowOff>
    </xdr:to>
    <xdr:sp macro="" textlink="">
      <xdr:nvSpPr>
        <xdr:cNvPr id="51" name="Textfeld 107">
          <a:extLst>
            <a:ext uri="{FF2B5EF4-FFF2-40B4-BE49-F238E27FC236}">
              <a16:creationId xmlns:a16="http://schemas.microsoft.com/office/drawing/2014/main" id="{E7293518-6B59-4E24-99F9-D3DCAC6FECAE}"/>
            </a:ext>
          </a:extLst>
        </xdr:cNvPr>
        <xdr:cNvSpPr txBox="1"/>
      </xdr:nvSpPr>
      <xdr:spPr>
        <a:xfrm>
          <a:off x="28590240" y="10896601"/>
          <a:ext cx="1021080" cy="21793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0</xdr:colOff>
      <xdr:row>69</xdr:row>
      <xdr:rowOff>0</xdr:rowOff>
    </xdr:from>
    <xdr:to>
      <xdr:col>24</xdr:col>
      <xdr:colOff>0</xdr:colOff>
      <xdr:row>81</xdr:row>
      <xdr:rowOff>0</xdr:rowOff>
    </xdr:to>
    <xdr:sp macro="" textlink="">
      <xdr:nvSpPr>
        <xdr:cNvPr id="52" name="Textfeld 51">
          <a:extLst>
            <a:ext uri="{FF2B5EF4-FFF2-40B4-BE49-F238E27FC236}">
              <a16:creationId xmlns:a16="http://schemas.microsoft.com/office/drawing/2014/main" id="{8AA1050C-AAE4-4FAD-A25E-8DFA1D8F3BD4}"/>
            </a:ext>
          </a:extLst>
        </xdr:cNvPr>
        <xdr:cNvSpPr txBox="1"/>
      </xdr:nvSpPr>
      <xdr:spPr>
        <a:xfrm>
          <a:off x="21442680" y="11567160"/>
          <a:ext cx="2042160" cy="2011680"/>
        </a:xfrm>
        <a:prstGeom prst="flowChartDocumen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 b="1" i="0" u="none" noProof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Kaderabend</a:t>
          </a:r>
        </a:p>
      </xdr:txBody>
    </xdr:sp>
    <xdr:clientData/>
  </xdr:twoCellAnchor>
  <xdr:twoCellAnchor>
    <xdr:from>
      <xdr:col>22</xdr:col>
      <xdr:colOff>0</xdr:colOff>
      <xdr:row>60</xdr:row>
      <xdr:rowOff>99848</xdr:rowOff>
    </xdr:from>
    <xdr:to>
      <xdr:col>23</xdr:col>
      <xdr:colOff>341586</xdr:colOff>
      <xdr:row>69</xdr:row>
      <xdr:rowOff>0</xdr:rowOff>
    </xdr:to>
    <xdr:sp macro="" textlink="">
      <xdr:nvSpPr>
        <xdr:cNvPr id="53" name="Textfeld 107">
          <a:extLst>
            <a:ext uri="{FF2B5EF4-FFF2-40B4-BE49-F238E27FC236}">
              <a16:creationId xmlns:a16="http://schemas.microsoft.com/office/drawing/2014/main" id="{D8881CF3-2D8A-4870-86C9-568CE2B4541F}"/>
            </a:ext>
          </a:extLst>
        </xdr:cNvPr>
        <xdr:cNvSpPr txBox="1"/>
      </xdr:nvSpPr>
      <xdr:spPr>
        <a:xfrm rot="5400000">
          <a:off x="6863254" y="7451835"/>
          <a:ext cx="798787" cy="68317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Vs /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WEB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    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281353</xdr:colOff>
      <xdr:row>60</xdr:row>
      <xdr:rowOff>99646</xdr:rowOff>
    </xdr:from>
    <xdr:to>
      <xdr:col>22</xdr:col>
      <xdr:colOff>0</xdr:colOff>
      <xdr:row>65</xdr:row>
      <xdr:rowOff>0</xdr:rowOff>
    </xdr:to>
    <xdr:sp macro="" textlink="">
      <xdr:nvSpPr>
        <xdr:cNvPr id="54" name="Textfeld 319">
          <a:extLst>
            <a:ext uri="{FF2B5EF4-FFF2-40B4-BE49-F238E27FC236}">
              <a16:creationId xmlns:a16="http://schemas.microsoft.com/office/drawing/2014/main" id="{E69EEC6B-EE77-4D0D-8688-F05BC0B109A5}"/>
            </a:ext>
          </a:extLst>
        </xdr:cNvPr>
        <xdr:cNvSpPr txBox="1"/>
      </xdr:nvSpPr>
      <xdr:spPr>
        <a:xfrm>
          <a:off x="16618633" y="10158046"/>
          <a:ext cx="4824047" cy="738554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18</xdr:col>
      <xdr:colOff>1</xdr:colOff>
      <xdr:row>64</xdr:row>
      <xdr:rowOff>98626</xdr:rowOff>
    </xdr:from>
    <xdr:to>
      <xdr:col>20</xdr:col>
      <xdr:colOff>342007</xdr:colOff>
      <xdr:row>80</xdr:row>
      <xdr:rowOff>94549</xdr:rowOff>
    </xdr:to>
    <xdr:sp macro="" textlink="">
      <xdr:nvSpPr>
        <xdr:cNvPr id="55" name="Textfeld 107">
          <a:extLst>
            <a:ext uri="{FF2B5EF4-FFF2-40B4-BE49-F238E27FC236}">
              <a16:creationId xmlns:a16="http://schemas.microsoft.com/office/drawing/2014/main" id="{7173B075-18CA-4CE8-89AB-D6691AD6DB5A}"/>
            </a:ext>
          </a:extLst>
        </xdr:cNvPr>
        <xdr:cNvSpPr txBox="1"/>
      </xdr:nvSpPr>
      <xdr:spPr>
        <a:xfrm rot="5400000">
          <a:off x="17211362" y="10974585"/>
          <a:ext cx="2678163" cy="238416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Ausgang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342006</xdr:colOff>
      <xdr:row>65</xdr:row>
      <xdr:rowOff>0</xdr:rowOff>
    </xdr:from>
    <xdr:to>
      <xdr:col>22</xdr:col>
      <xdr:colOff>0</xdr:colOff>
      <xdr:row>83</xdr:row>
      <xdr:rowOff>0</xdr:rowOff>
    </xdr:to>
    <xdr:sp macro="" textlink="">
      <xdr:nvSpPr>
        <xdr:cNvPr id="56" name="Textfeld 107">
          <a:extLst>
            <a:ext uri="{FF2B5EF4-FFF2-40B4-BE49-F238E27FC236}">
              <a16:creationId xmlns:a16="http://schemas.microsoft.com/office/drawing/2014/main" id="{AB7261FD-BFDA-4F45-903C-C9EE8CF5E161}"/>
            </a:ext>
          </a:extLst>
        </xdr:cNvPr>
        <xdr:cNvSpPr txBox="1"/>
      </xdr:nvSpPr>
      <xdr:spPr>
        <a:xfrm>
          <a:off x="19742526" y="10896600"/>
          <a:ext cx="1700154" cy="30175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4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Sattel,</a:t>
          </a:r>
          <a:r>
            <a:rPr lang="de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Kaltbach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281353</xdr:colOff>
      <xdr:row>80</xdr:row>
      <xdr:rowOff>94549</xdr:rowOff>
    </xdr:from>
    <xdr:to>
      <xdr:col>20</xdr:col>
      <xdr:colOff>342007</xdr:colOff>
      <xdr:row>81</xdr:row>
      <xdr:rowOff>94293</xdr:rowOff>
    </xdr:to>
    <xdr:sp macro="" textlink="">
      <xdr:nvSpPr>
        <xdr:cNvPr id="57" name="Textfeld 421">
          <a:extLst>
            <a:ext uri="{FF2B5EF4-FFF2-40B4-BE49-F238E27FC236}">
              <a16:creationId xmlns:a16="http://schemas.microsoft.com/office/drawing/2014/main" id="{7E84221C-2396-4781-8F8F-B5DDB0EF78CA}"/>
            </a:ext>
          </a:extLst>
        </xdr:cNvPr>
        <xdr:cNvSpPr txBox="1"/>
      </xdr:nvSpPr>
      <xdr:spPr bwMode="auto">
        <a:xfrm>
          <a:off x="16618633" y="13505749"/>
          <a:ext cx="3123894" cy="16738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14</xdr:col>
      <xdr:colOff>345830</xdr:colOff>
      <xdr:row>65</xdr:row>
      <xdr:rowOff>0</xdr:rowOff>
    </xdr:from>
    <xdr:to>
      <xdr:col>15</xdr:col>
      <xdr:colOff>345830</xdr:colOff>
      <xdr:row>68</xdr:row>
      <xdr:rowOff>0</xdr:rowOff>
    </xdr:to>
    <xdr:sp macro="" textlink="">
      <xdr:nvSpPr>
        <xdr:cNvPr id="58" name="Text 279">
          <a:extLst>
            <a:ext uri="{FF2B5EF4-FFF2-40B4-BE49-F238E27FC236}">
              <a16:creationId xmlns:a16="http://schemas.microsoft.com/office/drawing/2014/main" id="{28A590D3-ABBB-4047-9B5A-1B83E4AC4397}"/>
            </a:ext>
          </a:extLst>
        </xdr:cNvPr>
        <xdr:cNvSpPr txBox="1">
          <a:spLocks noChangeArrowheads="1"/>
        </xdr:cNvSpPr>
      </xdr:nvSpPr>
      <xdr:spPr bwMode="auto">
        <a:xfrm>
          <a:off x="13619870" y="10896600"/>
          <a:ext cx="1021080" cy="50292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 rtl="0">
            <a:defRPr sz="1000"/>
          </a:pPr>
          <a:r>
            <a:rPr lang="de-CH" sz="4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Eintritts Th </a:t>
          </a:r>
          <a:r>
            <a:rPr lang="en-CH" sz="4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 </a:t>
          </a:r>
          <a:r>
            <a:rPr lang="de-CH" sz="4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Kdt MZG BONADUZ</a:t>
          </a:r>
        </a:p>
      </xdr:txBody>
    </xdr:sp>
    <xdr:clientData/>
  </xdr:twoCellAnchor>
  <xdr:twoCellAnchor>
    <xdr:from>
      <xdr:col>16</xdr:col>
      <xdr:colOff>0</xdr:colOff>
      <xdr:row>71</xdr:row>
      <xdr:rowOff>0</xdr:rowOff>
    </xdr:from>
    <xdr:to>
      <xdr:col>17</xdr:col>
      <xdr:colOff>1</xdr:colOff>
      <xdr:row>76</xdr:row>
      <xdr:rowOff>99645</xdr:rowOff>
    </xdr:to>
    <xdr:sp macro="" textlink="">
      <xdr:nvSpPr>
        <xdr:cNvPr id="59" name="Rechteck 311">
          <a:extLst>
            <a:ext uri="{FF2B5EF4-FFF2-40B4-BE49-F238E27FC236}">
              <a16:creationId xmlns:a16="http://schemas.microsoft.com/office/drawing/2014/main" id="{3E21741D-57CB-401E-953B-7589B349BFE9}"/>
            </a:ext>
          </a:extLst>
        </xdr:cNvPr>
        <xdr:cNvSpPr/>
      </xdr:nvSpPr>
      <xdr:spPr bwMode="auto">
        <a:xfrm>
          <a:off x="15316200" y="11902440"/>
          <a:ext cx="1021081" cy="937845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 0</a:t>
          </a:r>
          <a:r>
            <a:rPr lang="en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CH" sz="700" b="1">
            <a:solidFill>
              <a:schemeClr val="bg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344556</xdr:colOff>
      <xdr:row>77</xdr:row>
      <xdr:rowOff>0</xdr:rowOff>
    </xdr:to>
    <xdr:sp macro="" textlink="">
      <xdr:nvSpPr>
        <xdr:cNvPr id="60" name="Textfeld 107">
          <a:extLst>
            <a:ext uri="{FF2B5EF4-FFF2-40B4-BE49-F238E27FC236}">
              <a16:creationId xmlns:a16="http://schemas.microsoft.com/office/drawing/2014/main" id="{FDBC5041-0656-4934-AFAB-52FEE055F360}"/>
            </a:ext>
          </a:extLst>
        </xdr:cNvPr>
        <xdr:cNvSpPr txBox="1"/>
      </xdr:nvSpPr>
      <xdr:spPr>
        <a:xfrm>
          <a:off x="4680857" y="8241126"/>
          <a:ext cx="344556" cy="48025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65</xdr:row>
      <xdr:rowOff>0</xdr:rowOff>
    </xdr:from>
    <xdr:to>
      <xdr:col>15</xdr:col>
      <xdr:colOff>2777</xdr:colOff>
      <xdr:row>77</xdr:row>
      <xdr:rowOff>0</xdr:rowOff>
    </xdr:to>
    <xdr:sp macro="" textlink="">
      <xdr:nvSpPr>
        <xdr:cNvPr id="61" name="Textfeld 107">
          <a:extLst>
            <a:ext uri="{FF2B5EF4-FFF2-40B4-BE49-F238E27FC236}">
              <a16:creationId xmlns:a16="http://schemas.microsoft.com/office/drawing/2014/main" id="{90B96448-BB0D-484B-B740-D9100DC7B81D}"/>
            </a:ext>
          </a:extLst>
        </xdr:cNvPr>
        <xdr:cNvSpPr txBox="1"/>
      </xdr:nvSpPr>
      <xdr:spPr>
        <a:xfrm>
          <a:off x="4297456" y="7855324"/>
          <a:ext cx="344556" cy="121023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R</a:t>
          </a:r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     jkj            .</a:t>
          </a:r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345830</xdr:colOff>
      <xdr:row>65</xdr:row>
      <xdr:rowOff>1</xdr:rowOff>
    </xdr:from>
    <xdr:to>
      <xdr:col>14</xdr:col>
      <xdr:colOff>0</xdr:colOff>
      <xdr:row>78</xdr:row>
      <xdr:rowOff>1</xdr:rowOff>
    </xdr:to>
    <xdr:sp macro="" textlink="">
      <xdr:nvSpPr>
        <xdr:cNvPr id="62" name="Textfeld 107">
          <a:extLst>
            <a:ext uri="{FF2B5EF4-FFF2-40B4-BE49-F238E27FC236}">
              <a16:creationId xmlns:a16="http://schemas.microsoft.com/office/drawing/2014/main" id="{77540807-2372-4E26-92CF-0A7B469DEE17}"/>
            </a:ext>
          </a:extLst>
        </xdr:cNvPr>
        <xdr:cNvSpPr txBox="1"/>
      </xdr:nvSpPr>
      <xdr:spPr>
        <a:xfrm>
          <a:off x="11577710" y="10896601"/>
          <a:ext cx="1696330" cy="21793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2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</xdr:colOff>
      <xdr:row>17</xdr:row>
      <xdr:rowOff>1</xdr:rowOff>
    </xdr:from>
    <xdr:to>
      <xdr:col>11</xdr:col>
      <xdr:colOff>0</xdr:colOff>
      <xdr:row>37</xdr:row>
      <xdr:rowOff>0</xdr:rowOff>
    </xdr:to>
    <xdr:sp macro="" textlink="">
      <xdr:nvSpPr>
        <xdr:cNvPr id="35" name="Textfeld 107">
          <a:extLst>
            <a:ext uri="{FF2B5EF4-FFF2-40B4-BE49-F238E27FC236}">
              <a16:creationId xmlns:a16="http://schemas.microsoft.com/office/drawing/2014/main" id="{C9B92E7E-96B9-4BBA-AC7C-AB84C832C907}"/>
            </a:ext>
            <a:ext uri="{147F2762-F138-4A5C-976F-8EAC2B608ADB}">
              <a16:predDERef xmlns:a16="http://schemas.microsoft.com/office/drawing/2014/main" pred="{77540807-2372-4E26-92CF-0A7B469DEE17}"/>
            </a:ext>
          </a:extLst>
        </xdr:cNvPr>
        <xdr:cNvSpPr txBox="1"/>
      </xdr:nvSpPr>
      <xdr:spPr>
        <a:xfrm>
          <a:off x="9189721" y="2849881"/>
          <a:ext cx="1021079" cy="335279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</xdr:colOff>
      <xdr:row>41</xdr:row>
      <xdr:rowOff>0</xdr:rowOff>
    </xdr:from>
    <xdr:to>
      <xdr:col>11</xdr:col>
      <xdr:colOff>0</xdr:colOff>
      <xdr:row>60</xdr:row>
      <xdr:rowOff>99645</xdr:rowOff>
    </xdr:to>
    <xdr:sp macro="" textlink="">
      <xdr:nvSpPr>
        <xdr:cNvPr id="64" name="Textfeld 107">
          <a:extLst>
            <a:ext uri="{FF2B5EF4-FFF2-40B4-BE49-F238E27FC236}">
              <a16:creationId xmlns:a16="http://schemas.microsoft.com/office/drawing/2014/main" id="{A2EC6042-5213-4A34-B3F9-4DA3A9ADA7D5}"/>
            </a:ext>
          </a:extLst>
        </xdr:cNvPr>
        <xdr:cNvSpPr txBox="1"/>
      </xdr:nvSpPr>
      <xdr:spPr>
        <a:xfrm>
          <a:off x="9189721" y="6873240"/>
          <a:ext cx="1021079" cy="328480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</xdr:colOff>
      <xdr:row>65</xdr:row>
      <xdr:rowOff>0</xdr:rowOff>
    </xdr:from>
    <xdr:to>
      <xdr:col>11</xdr:col>
      <xdr:colOff>0</xdr:colOff>
      <xdr:row>77</xdr:row>
      <xdr:rowOff>0</xdr:rowOff>
    </xdr:to>
    <xdr:sp macro="" textlink="">
      <xdr:nvSpPr>
        <xdr:cNvPr id="65" name="Textfeld 107">
          <a:extLst>
            <a:ext uri="{FF2B5EF4-FFF2-40B4-BE49-F238E27FC236}">
              <a16:creationId xmlns:a16="http://schemas.microsoft.com/office/drawing/2014/main" id="{8252CFD3-5D23-4E48-AD00-1508C30460D0}"/>
            </a:ext>
          </a:extLst>
        </xdr:cNvPr>
        <xdr:cNvSpPr txBox="1"/>
      </xdr:nvSpPr>
      <xdr:spPr>
        <a:xfrm>
          <a:off x="9189721" y="10896600"/>
          <a:ext cx="1021079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281353</xdr:colOff>
      <xdr:row>15</xdr:row>
      <xdr:rowOff>28</xdr:rowOff>
    </xdr:from>
    <xdr:to>
      <xdr:col>19</xdr:col>
      <xdr:colOff>0</xdr:colOff>
      <xdr:row>36</xdr:row>
      <xdr:rowOff>99392</xdr:rowOff>
    </xdr:to>
    <xdr:sp macro="" textlink="">
      <xdr:nvSpPr>
        <xdr:cNvPr id="66" name="Textfeld 107">
          <a:extLst>
            <a:ext uri="{FF2B5EF4-FFF2-40B4-BE49-F238E27FC236}">
              <a16:creationId xmlns:a16="http://schemas.microsoft.com/office/drawing/2014/main" id="{73CD8B2E-27BD-40B0-B4E1-9298F80C90E7}"/>
            </a:ext>
          </a:extLst>
        </xdr:cNvPr>
        <xdr:cNvSpPr txBox="1"/>
      </xdr:nvSpPr>
      <xdr:spPr>
        <a:xfrm>
          <a:off x="16618633" y="2514628"/>
          <a:ext cx="1760807" cy="361980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19</xdr:col>
      <xdr:colOff>0</xdr:colOff>
      <xdr:row>61</xdr:row>
      <xdr:rowOff>253</xdr:rowOff>
    </xdr:to>
    <xdr:sp macro="" textlink="">
      <xdr:nvSpPr>
        <xdr:cNvPr id="67" name="Textfeld 107">
          <a:extLst>
            <a:ext uri="{FF2B5EF4-FFF2-40B4-BE49-F238E27FC236}">
              <a16:creationId xmlns:a16="http://schemas.microsoft.com/office/drawing/2014/main" id="{59CE8CBD-3931-4ED0-849D-E7629F1D1FF4}"/>
            </a:ext>
          </a:extLst>
        </xdr:cNvPr>
        <xdr:cNvSpPr txBox="1"/>
      </xdr:nvSpPr>
      <xdr:spPr>
        <a:xfrm>
          <a:off x="17358360" y="6873240"/>
          <a:ext cx="1021080" cy="3353053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0</xdr:colOff>
      <xdr:row>15</xdr:row>
      <xdr:rowOff>28</xdr:rowOff>
    </xdr:from>
    <xdr:to>
      <xdr:col>27</xdr:col>
      <xdr:colOff>0</xdr:colOff>
      <xdr:row>36</xdr:row>
      <xdr:rowOff>99392</xdr:rowOff>
    </xdr:to>
    <xdr:sp macro="" textlink="">
      <xdr:nvSpPr>
        <xdr:cNvPr id="68" name="Textfeld 107">
          <a:extLst>
            <a:ext uri="{FF2B5EF4-FFF2-40B4-BE49-F238E27FC236}">
              <a16:creationId xmlns:a16="http://schemas.microsoft.com/office/drawing/2014/main" id="{39778D2C-54AF-422F-A293-0321B8140128}"/>
            </a:ext>
          </a:extLst>
        </xdr:cNvPr>
        <xdr:cNvSpPr txBox="1"/>
      </xdr:nvSpPr>
      <xdr:spPr>
        <a:xfrm>
          <a:off x="25527000" y="2514628"/>
          <a:ext cx="1021080" cy="361980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0</xdr:colOff>
      <xdr:row>41</xdr:row>
      <xdr:rowOff>0</xdr:rowOff>
    </xdr:from>
    <xdr:to>
      <xdr:col>27</xdr:col>
      <xdr:colOff>0</xdr:colOff>
      <xdr:row>61</xdr:row>
      <xdr:rowOff>253</xdr:rowOff>
    </xdr:to>
    <xdr:sp macro="" textlink="">
      <xdr:nvSpPr>
        <xdr:cNvPr id="69" name="Textfeld 107">
          <a:extLst>
            <a:ext uri="{FF2B5EF4-FFF2-40B4-BE49-F238E27FC236}">
              <a16:creationId xmlns:a16="http://schemas.microsoft.com/office/drawing/2014/main" id="{EB9F11CE-CC2A-49C0-9FEE-7FDB16E69673}"/>
            </a:ext>
          </a:extLst>
        </xdr:cNvPr>
        <xdr:cNvSpPr txBox="1"/>
      </xdr:nvSpPr>
      <xdr:spPr>
        <a:xfrm>
          <a:off x="25527000" y="6873240"/>
          <a:ext cx="1021080" cy="3353053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0</xdr:colOff>
      <xdr:row>65</xdr:row>
      <xdr:rowOff>0</xdr:rowOff>
    </xdr:from>
    <xdr:to>
      <xdr:col>27</xdr:col>
      <xdr:colOff>0</xdr:colOff>
      <xdr:row>77</xdr:row>
      <xdr:rowOff>0</xdr:rowOff>
    </xdr:to>
    <xdr:sp macro="" textlink="">
      <xdr:nvSpPr>
        <xdr:cNvPr id="70" name="Textfeld 107">
          <a:extLst>
            <a:ext uri="{FF2B5EF4-FFF2-40B4-BE49-F238E27FC236}">
              <a16:creationId xmlns:a16="http://schemas.microsoft.com/office/drawing/2014/main" id="{76E6B288-4F93-4B8D-A35C-8CD7B1DDE345}"/>
            </a:ext>
          </a:extLst>
        </xdr:cNvPr>
        <xdr:cNvSpPr txBox="1"/>
      </xdr:nvSpPr>
      <xdr:spPr>
        <a:xfrm>
          <a:off x="25527000" y="10896600"/>
          <a:ext cx="1021080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6627</xdr:colOff>
      <xdr:row>14</xdr:row>
      <xdr:rowOff>99139</xdr:rowOff>
    </xdr:from>
    <xdr:to>
      <xdr:col>35</xdr:col>
      <xdr:colOff>6626</xdr:colOff>
      <xdr:row>36</xdr:row>
      <xdr:rowOff>99138</xdr:rowOff>
    </xdr:to>
    <xdr:sp macro="" textlink="">
      <xdr:nvSpPr>
        <xdr:cNvPr id="71" name="Textfeld 107">
          <a:extLst>
            <a:ext uri="{FF2B5EF4-FFF2-40B4-BE49-F238E27FC236}">
              <a16:creationId xmlns:a16="http://schemas.microsoft.com/office/drawing/2014/main" id="{61C91A8D-5303-418F-9600-C3846BA2B73B}"/>
            </a:ext>
          </a:extLst>
        </xdr:cNvPr>
        <xdr:cNvSpPr txBox="1"/>
      </xdr:nvSpPr>
      <xdr:spPr>
        <a:xfrm>
          <a:off x="33702267" y="2446099"/>
          <a:ext cx="1021079" cy="368807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6627</xdr:colOff>
      <xdr:row>40</xdr:row>
      <xdr:rowOff>99139</xdr:rowOff>
    </xdr:from>
    <xdr:to>
      <xdr:col>35</xdr:col>
      <xdr:colOff>6626</xdr:colOff>
      <xdr:row>61</xdr:row>
      <xdr:rowOff>0</xdr:rowOff>
    </xdr:to>
    <xdr:sp macro="" textlink="">
      <xdr:nvSpPr>
        <xdr:cNvPr id="72" name="Textfeld 107">
          <a:extLst>
            <a:ext uri="{FF2B5EF4-FFF2-40B4-BE49-F238E27FC236}">
              <a16:creationId xmlns:a16="http://schemas.microsoft.com/office/drawing/2014/main" id="{6A93C22D-0D4B-4409-B4BD-6C48975E32E7}"/>
            </a:ext>
          </a:extLst>
        </xdr:cNvPr>
        <xdr:cNvSpPr txBox="1"/>
      </xdr:nvSpPr>
      <xdr:spPr>
        <a:xfrm>
          <a:off x="33702267" y="6804739"/>
          <a:ext cx="1021079" cy="342130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15</xdr:row>
      <xdr:rowOff>41032</xdr:rowOff>
    </xdr:from>
    <xdr:to>
      <xdr:col>12</xdr:col>
      <xdr:colOff>343283</xdr:colOff>
      <xdr:row>36</xdr:row>
      <xdr:rowOff>99392</xdr:rowOff>
    </xdr:to>
    <xdr:sp macro="" textlink="">
      <xdr:nvSpPr>
        <xdr:cNvPr id="73" name="Textfeld 107">
          <a:extLst>
            <a:ext uri="{FF2B5EF4-FFF2-40B4-BE49-F238E27FC236}">
              <a16:creationId xmlns:a16="http://schemas.microsoft.com/office/drawing/2014/main" id="{DDA6B250-FB77-4A5A-B2A5-1E5A49E459C7}"/>
            </a:ext>
          </a:extLst>
        </xdr:cNvPr>
        <xdr:cNvSpPr txBox="1"/>
      </xdr:nvSpPr>
      <xdr:spPr>
        <a:xfrm>
          <a:off x="11231880" y="2555632"/>
          <a:ext cx="343283" cy="35788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13</xdr:row>
      <xdr:rowOff>35169</xdr:rowOff>
    </xdr:from>
    <xdr:to>
      <xdr:col>20</xdr:col>
      <xdr:colOff>343283</xdr:colOff>
      <xdr:row>37</xdr:row>
      <xdr:rowOff>0</xdr:rowOff>
    </xdr:to>
    <xdr:sp macro="" textlink="">
      <xdr:nvSpPr>
        <xdr:cNvPr id="74" name="Textfeld 107">
          <a:extLst>
            <a:ext uri="{FF2B5EF4-FFF2-40B4-BE49-F238E27FC236}">
              <a16:creationId xmlns:a16="http://schemas.microsoft.com/office/drawing/2014/main" id="{D033EC7A-7800-4492-80DA-0EFC93EDF32E}"/>
            </a:ext>
          </a:extLst>
        </xdr:cNvPr>
        <xdr:cNvSpPr txBox="1"/>
      </xdr:nvSpPr>
      <xdr:spPr>
        <a:xfrm>
          <a:off x="19400520" y="2214489"/>
          <a:ext cx="343283" cy="398819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</xdr:colOff>
      <xdr:row>14</xdr:row>
      <xdr:rowOff>0</xdr:rowOff>
    </xdr:from>
    <xdr:to>
      <xdr:col>20</xdr:col>
      <xdr:colOff>0</xdr:colOff>
      <xdr:row>15</xdr:row>
      <xdr:rowOff>0</xdr:rowOff>
    </xdr:to>
    <xdr:sp macro="" textlink="">
      <xdr:nvSpPr>
        <xdr:cNvPr id="75" name="Textfeld 52">
          <a:extLst>
            <a:ext uri="{FF2B5EF4-FFF2-40B4-BE49-F238E27FC236}">
              <a16:creationId xmlns:a16="http://schemas.microsoft.com/office/drawing/2014/main" id="{39B4B2A9-BBEC-48CA-89A5-F439CCB47FEC}"/>
            </a:ext>
          </a:extLst>
        </xdr:cNvPr>
        <xdr:cNvSpPr txBox="1"/>
      </xdr:nvSpPr>
      <xdr:spPr bwMode="auto">
        <a:xfrm>
          <a:off x="17358361" y="2346960"/>
          <a:ext cx="204215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29</xdr:col>
      <xdr:colOff>0</xdr:colOff>
      <xdr:row>14</xdr:row>
      <xdr:rowOff>1</xdr:rowOff>
    </xdr:from>
    <xdr:to>
      <xdr:col>32</xdr:col>
      <xdr:colOff>0</xdr:colOff>
      <xdr:row>15</xdr:row>
      <xdr:rowOff>0</xdr:rowOff>
    </xdr:to>
    <xdr:sp macro="" textlink="">
      <xdr:nvSpPr>
        <xdr:cNvPr id="76" name="Textfeld 52">
          <a:extLst>
            <a:ext uri="{FF2B5EF4-FFF2-40B4-BE49-F238E27FC236}">
              <a16:creationId xmlns:a16="http://schemas.microsoft.com/office/drawing/2014/main" id="{72028EBB-2E3A-4416-BC17-89F570245F81}"/>
            </a:ext>
          </a:extLst>
        </xdr:cNvPr>
        <xdr:cNvSpPr txBox="1"/>
      </xdr:nvSpPr>
      <xdr:spPr bwMode="auto">
        <a:xfrm>
          <a:off x="28590240" y="2346961"/>
          <a:ext cx="3063240" cy="1676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28</xdr:col>
      <xdr:colOff>0</xdr:colOff>
      <xdr:row>13</xdr:row>
      <xdr:rowOff>35169</xdr:rowOff>
    </xdr:from>
    <xdr:to>
      <xdr:col>28</xdr:col>
      <xdr:colOff>343283</xdr:colOff>
      <xdr:row>37</xdr:row>
      <xdr:rowOff>0</xdr:rowOff>
    </xdr:to>
    <xdr:sp macro="" textlink="">
      <xdr:nvSpPr>
        <xdr:cNvPr id="77" name="Textfeld 107">
          <a:extLst>
            <a:ext uri="{FF2B5EF4-FFF2-40B4-BE49-F238E27FC236}">
              <a16:creationId xmlns:a16="http://schemas.microsoft.com/office/drawing/2014/main" id="{17BF56BC-90E1-4106-B7DB-012047720143}"/>
            </a:ext>
          </a:extLst>
        </xdr:cNvPr>
        <xdr:cNvSpPr txBox="1"/>
      </xdr:nvSpPr>
      <xdr:spPr>
        <a:xfrm>
          <a:off x="27569160" y="2214489"/>
          <a:ext cx="343283" cy="398819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0</xdr:colOff>
      <xdr:row>14</xdr:row>
      <xdr:rowOff>0</xdr:rowOff>
    </xdr:from>
    <xdr:to>
      <xdr:col>28</xdr:col>
      <xdr:colOff>0</xdr:colOff>
      <xdr:row>15</xdr:row>
      <xdr:rowOff>0</xdr:rowOff>
    </xdr:to>
    <xdr:sp macro="" textlink="">
      <xdr:nvSpPr>
        <xdr:cNvPr id="78" name="Textfeld 52">
          <a:extLst>
            <a:ext uri="{FF2B5EF4-FFF2-40B4-BE49-F238E27FC236}">
              <a16:creationId xmlns:a16="http://schemas.microsoft.com/office/drawing/2014/main" id="{27BC39E0-BFD1-48DB-B641-01E607823F00}"/>
            </a:ext>
          </a:extLst>
        </xdr:cNvPr>
        <xdr:cNvSpPr txBox="1"/>
      </xdr:nvSpPr>
      <xdr:spPr bwMode="auto">
        <a:xfrm>
          <a:off x="25527000" y="2346960"/>
          <a:ext cx="204216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37</xdr:col>
      <xdr:colOff>1</xdr:colOff>
      <xdr:row>14</xdr:row>
      <xdr:rowOff>1</xdr:rowOff>
    </xdr:from>
    <xdr:to>
      <xdr:col>40</xdr:col>
      <xdr:colOff>0</xdr:colOff>
      <xdr:row>15</xdr:row>
      <xdr:rowOff>0</xdr:rowOff>
    </xdr:to>
    <xdr:sp macro="" textlink="">
      <xdr:nvSpPr>
        <xdr:cNvPr id="79" name="Textfeld 52">
          <a:extLst>
            <a:ext uri="{FF2B5EF4-FFF2-40B4-BE49-F238E27FC236}">
              <a16:creationId xmlns:a16="http://schemas.microsoft.com/office/drawing/2014/main" id="{35198DD9-B88D-4793-B82F-74AD86CC65A3}"/>
            </a:ext>
          </a:extLst>
        </xdr:cNvPr>
        <xdr:cNvSpPr txBox="1"/>
      </xdr:nvSpPr>
      <xdr:spPr bwMode="auto">
        <a:xfrm>
          <a:off x="36758881" y="2346961"/>
          <a:ext cx="3063239" cy="1676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36</xdr:col>
      <xdr:colOff>0</xdr:colOff>
      <xdr:row>13</xdr:row>
      <xdr:rowOff>35169</xdr:rowOff>
    </xdr:from>
    <xdr:to>
      <xdr:col>36</xdr:col>
      <xdr:colOff>343283</xdr:colOff>
      <xdr:row>37</xdr:row>
      <xdr:rowOff>0</xdr:rowOff>
    </xdr:to>
    <xdr:sp macro="" textlink="">
      <xdr:nvSpPr>
        <xdr:cNvPr id="80" name="Textfeld 107">
          <a:extLst>
            <a:ext uri="{FF2B5EF4-FFF2-40B4-BE49-F238E27FC236}">
              <a16:creationId xmlns:a16="http://schemas.microsoft.com/office/drawing/2014/main" id="{0D8F0374-38FB-4AC7-9D6B-9E976E8E5F86}"/>
            </a:ext>
          </a:extLst>
        </xdr:cNvPr>
        <xdr:cNvSpPr txBox="1"/>
      </xdr:nvSpPr>
      <xdr:spPr>
        <a:xfrm>
          <a:off x="35737800" y="2214489"/>
          <a:ext cx="343283" cy="398819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1</xdr:colOff>
      <xdr:row>14</xdr:row>
      <xdr:rowOff>0</xdr:rowOff>
    </xdr:from>
    <xdr:to>
      <xdr:col>36</xdr:col>
      <xdr:colOff>0</xdr:colOff>
      <xdr:row>15</xdr:row>
      <xdr:rowOff>0</xdr:rowOff>
    </xdr:to>
    <xdr:sp macro="" textlink="">
      <xdr:nvSpPr>
        <xdr:cNvPr id="81" name="Textfeld 52">
          <a:extLst>
            <a:ext uri="{FF2B5EF4-FFF2-40B4-BE49-F238E27FC236}">
              <a16:creationId xmlns:a16="http://schemas.microsoft.com/office/drawing/2014/main" id="{FAB87ED3-27B6-478F-9B2C-9726B3F4B0B7}"/>
            </a:ext>
          </a:extLst>
        </xdr:cNvPr>
        <xdr:cNvSpPr txBox="1"/>
      </xdr:nvSpPr>
      <xdr:spPr bwMode="auto">
        <a:xfrm>
          <a:off x="33695641" y="2346960"/>
          <a:ext cx="204215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13</xdr:col>
      <xdr:colOff>1</xdr:colOff>
      <xdr:row>16</xdr:row>
      <xdr:rowOff>0</xdr:rowOff>
    </xdr:from>
    <xdr:to>
      <xdr:col>15</xdr:col>
      <xdr:colOff>0</xdr:colOff>
      <xdr:row>16</xdr:row>
      <xdr:rowOff>99644</xdr:rowOff>
    </xdr:to>
    <xdr:sp macro="" textlink="">
      <xdr:nvSpPr>
        <xdr:cNvPr id="82" name="Textfeld 52">
          <a:extLst>
            <a:ext uri="{FF2B5EF4-FFF2-40B4-BE49-F238E27FC236}">
              <a16:creationId xmlns:a16="http://schemas.microsoft.com/office/drawing/2014/main" id="{074C08C3-AB78-44D7-9782-C5A1E615DF2A}"/>
            </a:ext>
          </a:extLst>
        </xdr:cNvPr>
        <xdr:cNvSpPr txBox="1"/>
      </xdr:nvSpPr>
      <xdr:spPr bwMode="auto">
        <a:xfrm>
          <a:off x="12252961" y="2682240"/>
          <a:ext cx="2042159" cy="9964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344556</xdr:colOff>
      <xdr:row>37</xdr:row>
      <xdr:rowOff>0</xdr:rowOff>
    </xdr:to>
    <xdr:sp macro="" textlink="">
      <xdr:nvSpPr>
        <xdr:cNvPr id="83" name="Textfeld 107">
          <a:extLst>
            <a:ext uri="{FF2B5EF4-FFF2-40B4-BE49-F238E27FC236}">
              <a16:creationId xmlns:a16="http://schemas.microsoft.com/office/drawing/2014/main" id="{A5F9936A-88A1-45D6-A937-BD51A9FDE492}"/>
            </a:ext>
          </a:extLst>
        </xdr:cNvPr>
        <xdr:cNvSpPr txBox="1"/>
      </xdr:nvSpPr>
      <xdr:spPr>
        <a:xfrm>
          <a:off x="13274040" y="2849880"/>
          <a:ext cx="344556" cy="33528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12</xdr:col>
      <xdr:colOff>4969</xdr:colOff>
      <xdr:row>37</xdr:row>
      <xdr:rowOff>0</xdr:rowOff>
    </xdr:to>
    <xdr:sp macro="" textlink="">
      <xdr:nvSpPr>
        <xdr:cNvPr id="84" name="Textfeld 107">
          <a:extLst>
            <a:ext uri="{FF2B5EF4-FFF2-40B4-BE49-F238E27FC236}">
              <a16:creationId xmlns:a16="http://schemas.microsoft.com/office/drawing/2014/main" id="{A92D69D2-D7F6-4192-A397-F6773F092167}"/>
            </a:ext>
          </a:extLst>
        </xdr:cNvPr>
        <xdr:cNvSpPr txBox="1"/>
      </xdr:nvSpPr>
      <xdr:spPr>
        <a:xfrm>
          <a:off x="10210800" y="2849880"/>
          <a:ext cx="1026049" cy="33528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1275</xdr:colOff>
      <xdr:row>41</xdr:row>
      <xdr:rowOff>954</xdr:rowOff>
    </xdr:from>
    <xdr:to>
      <xdr:col>12</xdr:col>
      <xdr:colOff>0</xdr:colOff>
      <xdr:row>60</xdr:row>
      <xdr:rowOff>99646</xdr:rowOff>
    </xdr:to>
    <xdr:sp macro="" textlink="">
      <xdr:nvSpPr>
        <xdr:cNvPr id="85" name="Textfeld 107">
          <a:extLst>
            <a:ext uri="{FF2B5EF4-FFF2-40B4-BE49-F238E27FC236}">
              <a16:creationId xmlns:a16="http://schemas.microsoft.com/office/drawing/2014/main" id="{1040D402-889E-4728-A365-20D4C5CAA09E}"/>
            </a:ext>
          </a:extLst>
        </xdr:cNvPr>
        <xdr:cNvSpPr txBox="1"/>
      </xdr:nvSpPr>
      <xdr:spPr>
        <a:xfrm>
          <a:off x="10212075" y="6874194"/>
          <a:ext cx="1019805" cy="328385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2547</xdr:colOff>
      <xdr:row>41</xdr:row>
      <xdr:rowOff>0</xdr:rowOff>
    </xdr:from>
    <xdr:to>
      <xdr:col>12</xdr:col>
      <xdr:colOff>345830</xdr:colOff>
      <xdr:row>60</xdr:row>
      <xdr:rowOff>99646</xdr:rowOff>
    </xdr:to>
    <xdr:sp macro="" textlink="">
      <xdr:nvSpPr>
        <xdr:cNvPr id="86" name="Textfeld 107">
          <a:extLst>
            <a:ext uri="{FF2B5EF4-FFF2-40B4-BE49-F238E27FC236}">
              <a16:creationId xmlns:a16="http://schemas.microsoft.com/office/drawing/2014/main" id="{1B14D8F2-7778-49EE-BF82-8C390778FF0E}"/>
            </a:ext>
          </a:extLst>
        </xdr:cNvPr>
        <xdr:cNvSpPr txBox="1"/>
      </xdr:nvSpPr>
      <xdr:spPr>
        <a:xfrm>
          <a:off x="11234427" y="6873240"/>
          <a:ext cx="343283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2547</xdr:colOff>
      <xdr:row>65</xdr:row>
      <xdr:rowOff>1</xdr:rowOff>
    </xdr:from>
    <xdr:to>
      <xdr:col>12</xdr:col>
      <xdr:colOff>345830</xdr:colOff>
      <xdr:row>77</xdr:row>
      <xdr:rowOff>1</xdr:rowOff>
    </xdr:to>
    <xdr:sp macro="" textlink="">
      <xdr:nvSpPr>
        <xdr:cNvPr id="87" name="Textfeld 107">
          <a:extLst>
            <a:ext uri="{FF2B5EF4-FFF2-40B4-BE49-F238E27FC236}">
              <a16:creationId xmlns:a16="http://schemas.microsoft.com/office/drawing/2014/main" id="{CD06228D-A0DD-4333-90BA-62BA7626600C}"/>
            </a:ext>
          </a:extLst>
        </xdr:cNvPr>
        <xdr:cNvSpPr txBox="1"/>
      </xdr:nvSpPr>
      <xdr:spPr>
        <a:xfrm>
          <a:off x="11234427" y="10896601"/>
          <a:ext cx="343283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41</xdr:row>
      <xdr:rowOff>0</xdr:rowOff>
    </xdr:from>
    <xdr:to>
      <xdr:col>20</xdr:col>
      <xdr:colOff>343283</xdr:colOff>
      <xdr:row>60</xdr:row>
      <xdr:rowOff>99646</xdr:rowOff>
    </xdr:to>
    <xdr:sp macro="" textlink="">
      <xdr:nvSpPr>
        <xdr:cNvPr id="88" name="Textfeld 107">
          <a:extLst>
            <a:ext uri="{FF2B5EF4-FFF2-40B4-BE49-F238E27FC236}">
              <a16:creationId xmlns:a16="http://schemas.microsoft.com/office/drawing/2014/main" id="{DA950E9D-8DCD-463E-BCB0-16EA568A9C68}"/>
            </a:ext>
          </a:extLst>
        </xdr:cNvPr>
        <xdr:cNvSpPr txBox="1"/>
      </xdr:nvSpPr>
      <xdr:spPr>
        <a:xfrm>
          <a:off x="19400520" y="6873240"/>
          <a:ext cx="343283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2548</xdr:colOff>
      <xdr:row>41</xdr:row>
      <xdr:rowOff>0</xdr:rowOff>
    </xdr:from>
    <xdr:to>
      <xdr:col>29</xdr:col>
      <xdr:colOff>0</xdr:colOff>
      <xdr:row>60</xdr:row>
      <xdr:rowOff>99646</xdr:rowOff>
    </xdr:to>
    <xdr:sp macro="" textlink="">
      <xdr:nvSpPr>
        <xdr:cNvPr id="89" name="Textfeld 107">
          <a:extLst>
            <a:ext uri="{FF2B5EF4-FFF2-40B4-BE49-F238E27FC236}">
              <a16:creationId xmlns:a16="http://schemas.microsoft.com/office/drawing/2014/main" id="{4DF3F1A5-61FA-4FDF-98EA-0A9E00E231F5}"/>
            </a:ext>
          </a:extLst>
        </xdr:cNvPr>
        <xdr:cNvSpPr txBox="1"/>
      </xdr:nvSpPr>
      <xdr:spPr>
        <a:xfrm>
          <a:off x="27571708" y="6873240"/>
          <a:ext cx="1018532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2548</xdr:colOff>
      <xdr:row>65</xdr:row>
      <xdr:rowOff>1</xdr:rowOff>
    </xdr:from>
    <xdr:to>
      <xdr:col>29</xdr:col>
      <xdr:colOff>0</xdr:colOff>
      <xdr:row>77</xdr:row>
      <xdr:rowOff>1</xdr:rowOff>
    </xdr:to>
    <xdr:sp macro="" textlink="">
      <xdr:nvSpPr>
        <xdr:cNvPr id="90" name="Textfeld 107">
          <a:extLst>
            <a:ext uri="{FF2B5EF4-FFF2-40B4-BE49-F238E27FC236}">
              <a16:creationId xmlns:a16="http://schemas.microsoft.com/office/drawing/2014/main" id="{AE943C66-0EC6-4A84-B4DC-AA85CEF80398}"/>
            </a:ext>
          </a:extLst>
        </xdr:cNvPr>
        <xdr:cNvSpPr txBox="1"/>
      </xdr:nvSpPr>
      <xdr:spPr>
        <a:xfrm>
          <a:off x="27571708" y="10896601"/>
          <a:ext cx="1018532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0</xdr:colOff>
      <xdr:row>41</xdr:row>
      <xdr:rowOff>0</xdr:rowOff>
    </xdr:from>
    <xdr:to>
      <xdr:col>36</xdr:col>
      <xdr:colOff>343283</xdr:colOff>
      <xdr:row>60</xdr:row>
      <xdr:rowOff>99646</xdr:rowOff>
    </xdr:to>
    <xdr:sp macro="" textlink="">
      <xdr:nvSpPr>
        <xdr:cNvPr id="91" name="Textfeld 107">
          <a:extLst>
            <a:ext uri="{FF2B5EF4-FFF2-40B4-BE49-F238E27FC236}">
              <a16:creationId xmlns:a16="http://schemas.microsoft.com/office/drawing/2014/main" id="{6FC978B5-89B5-4242-9852-ED5486594A34}"/>
            </a:ext>
          </a:extLst>
        </xdr:cNvPr>
        <xdr:cNvSpPr txBox="1"/>
      </xdr:nvSpPr>
      <xdr:spPr>
        <a:xfrm>
          <a:off x="35737800" y="6873240"/>
          <a:ext cx="343283" cy="32848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Bat KP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Alte Post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40</xdr:row>
      <xdr:rowOff>99645</xdr:rowOff>
    </xdr:from>
    <xdr:to>
      <xdr:col>15</xdr:col>
      <xdr:colOff>0</xdr:colOff>
      <xdr:row>60</xdr:row>
      <xdr:rowOff>99645</xdr:rowOff>
    </xdr:to>
    <xdr:sp macro="" textlink="">
      <xdr:nvSpPr>
        <xdr:cNvPr id="92" name="Textfeld 107">
          <a:extLst>
            <a:ext uri="{FF2B5EF4-FFF2-40B4-BE49-F238E27FC236}">
              <a16:creationId xmlns:a16="http://schemas.microsoft.com/office/drawing/2014/main" id="{7EE59A91-8475-4308-8E04-9EA9259471D7}"/>
            </a:ext>
          </a:extLst>
        </xdr:cNvPr>
        <xdr:cNvSpPr txBox="1"/>
      </xdr:nvSpPr>
      <xdr:spPr>
        <a:xfrm rot="16200000">
          <a:off x="12108180" y="7971105"/>
          <a:ext cx="3352800" cy="102108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KU 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gem Bf </a:t>
          </a:r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0</xdr:colOff>
      <xdr:row>14</xdr:row>
      <xdr:rowOff>99645</xdr:rowOff>
    </xdr:from>
    <xdr:to>
      <xdr:col>24</xdr:col>
      <xdr:colOff>0</xdr:colOff>
      <xdr:row>36</xdr:row>
      <xdr:rowOff>99645</xdr:rowOff>
    </xdr:to>
    <xdr:sp macro="" textlink="">
      <xdr:nvSpPr>
        <xdr:cNvPr id="93" name="Textfeld 107">
          <a:extLst>
            <a:ext uri="{FF2B5EF4-FFF2-40B4-BE49-F238E27FC236}">
              <a16:creationId xmlns:a16="http://schemas.microsoft.com/office/drawing/2014/main" id="{DD1ED593-219C-4831-8F43-6B10DBA1CFDE}"/>
            </a:ext>
          </a:extLst>
        </xdr:cNvPr>
        <xdr:cNvSpPr txBox="1"/>
      </xdr:nvSpPr>
      <xdr:spPr>
        <a:xfrm rot="16200000">
          <a:off x="20619720" y="3269565"/>
          <a:ext cx="3688080" cy="204216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KU 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gem Bf </a:t>
          </a:r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</xdr:colOff>
      <xdr:row>41</xdr:row>
      <xdr:rowOff>0</xdr:rowOff>
    </xdr:from>
    <xdr:to>
      <xdr:col>24</xdr:col>
      <xdr:colOff>1</xdr:colOff>
      <xdr:row>61</xdr:row>
      <xdr:rowOff>2</xdr:rowOff>
    </xdr:to>
    <xdr:sp macro="" textlink="">
      <xdr:nvSpPr>
        <xdr:cNvPr id="94" name="Textfeld 107">
          <a:extLst>
            <a:ext uri="{FF2B5EF4-FFF2-40B4-BE49-F238E27FC236}">
              <a16:creationId xmlns:a16="http://schemas.microsoft.com/office/drawing/2014/main" id="{1EF6D57D-B41B-4F49-B350-2E3E1FC469AD}"/>
            </a:ext>
          </a:extLst>
        </xdr:cNvPr>
        <xdr:cNvSpPr txBox="1"/>
      </xdr:nvSpPr>
      <xdr:spPr>
        <a:xfrm rot="16200000">
          <a:off x="20787360" y="7528561"/>
          <a:ext cx="3352802" cy="204216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KU 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gem Bf </a:t>
          </a:r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15</xdr:row>
      <xdr:rowOff>1</xdr:rowOff>
    </xdr:from>
    <xdr:to>
      <xdr:col>32</xdr:col>
      <xdr:colOff>0</xdr:colOff>
      <xdr:row>37</xdr:row>
      <xdr:rowOff>1</xdr:rowOff>
    </xdr:to>
    <xdr:sp macro="" textlink="">
      <xdr:nvSpPr>
        <xdr:cNvPr id="95" name="Textfeld 107">
          <a:extLst>
            <a:ext uri="{FF2B5EF4-FFF2-40B4-BE49-F238E27FC236}">
              <a16:creationId xmlns:a16="http://schemas.microsoft.com/office/drawing/2014/main" id="{1A2CCF31-E0F3-4700-A8A9-36728FDDAF3D}"/>
            </a:ext>
          </a:extLst>
        </xdr:cNvPr>
        <xdr:cNvSpPr txBox="1"/>
      </xdr:nvSpPr>
      <xdr:spPr>
        <a:xfrm rot="16200000">
          <a:off x="28788360" y="3337561"/>
          <a:ext cx="3688080" cy="204216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KU 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gem Bf </a:t>
          </a:r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1275</xdr:colOff>
      <xdr:row>15</xdr:row>
      <xdr:rowOff>0</xdr:rowOff>
    </xdr:from>
    <xdr:to>
      <xdr:col>20</xdr:col>
      <xdr:colOff>0</xdr:colOff>
      <xdr:row>37</xdr:row>
      <xdr:rowOff>0</xdr:rowOff>
    </xdr:to>
    <xdr:sp macro="" textlink="">
      <xdr:nvSpPr>
        <xdr:cNvPr id="96" name="Textfeld 107">
          <a:extLst>
            <a:ext uri="{FF2B5EF4-FFF2-40B4-BE49-F238E27FC236}">
              <a16:creationId xmlns:a16="http://schemas.microsoft.com/office/drawing/2014/main" id="{3ABC64B9-A114-42CB-9AEF-EA6B70A30C79}"/>
            </a:ext>
          </a:extLst>
        </xdr:cNvPr>
        <xdr:cNvSpPr txBox="1"/>
      </xdr:nvSpPr>
      <xdr:spPr>
        <a:xfrm>
          <a:off x="18380715" y="2514600"/>
          <a:ext cx="1019805" cy="3688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28</xdr:col>
      <xdr:colOff>1656</xdr:colOff>
      <xdr:row>37</xdr:row>
      <xdr:rowOff>0</xdr:rowOff>
    </xdr:to>
    <xdr:sp macro="" textlink="">
      <xdr:nvSpPr>
        <xdr:cNvPr id="135" name="Textfeld 107">
          <a:extLst>
            <a:ext uri="{FF2B5EF4-FFF2-40B4-BE49-F238E27FC236}">
              <a16:creationId xmlns:a16="http://schemas.microsoft.com/office/drawing/2014/main" id="{249F7F61-C953-4A40-AC27-141C81E3FD9E}"/>
            </a:ext>
            <a:ext uri="{147F2762-F138-4A5C-976F-8EAC2B608ADB}">
              <a16:predDERef xmlns:a16="http://schemas.microsoft.com/office/drawing/2014/main" pred="{3ABC64B9-A114-42CB-9AEF-EA6B70A30C79}"/>
            </a:ext>
          </a:extLst>
        </xdr:cNvPr>
        <xdr:cNvSpPr txBox="1"/>
      </xdr:nvSpPr>
      <xdr:spPr>
        <a:xfrm>
          <a:off x="8639175" y="2790825"/>
          <a:ext cx="335031" cy="2095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0</xdr:colOff>
      <xdr:row>41</xdr:row>
      <xdr:rowOff>954</xdr:rowOff>
    </xdr:from>
    <xdr:to>
      <xdr:col>19</xdr:col>
      <xdr:colOff>344556</xdr:colOff>
      <xdr:row>60</xdr:row>
      <xdr:rowOff>99646</xdr:rowOff>
    </xdr:to>
    <xdr:sp macro="" textlink="">
      <xdr:nvSpPr>
        <xdr:cNvPr id="98" name="Textfeld 107">
          <a:extLst>
            <a:ext uri="{FF2B5EF4-FFF2-40B4-BE49-F238E27FC236}">
              <a16:creationId xmlns:a16="http://schemas.microsoft.com/office/drawing/2014/main" id="{1692F0D5-6A2A-479E-BC00-1C1F45D1E13F}"/>
            </a:ext>
          </a:extLst>
        </xdr:cNvPr>
        <xdr:cNvSpPr txBox="1"/>
      </xdr:nvSpPr>
      <xdr:spPr>
        <a:xfrm>
          <a:off x="18379440" y="6874194"/>
          <a:ext cx="344556" cy="328385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0</xdr:colOff>
      <xdr:row>41</xdr:row>
      <xdr:rowOff>954</xdr:rowOff>
    </xdr:from>
    <xdr:to>
      <xdr:col>27</xdr:col>
      <xdr:colOff>344556</xdr:colOff>
      <xdr:row>60</xdr:row>
      <xdr:rowOff>99646</xdr:rowOff>
    </xdr:to>
    <xdr:sp macro="" textlink="">
      <xdr:nvSpPr>
        <xdr:cNvPr id="99" name="Textfeld 107">
          <a:extLst>
            <a:ext uri="{FF2B5EF4-FFF2-40B4-BE49-F238E27FC236}">
              <a16:creationId xmlns:a16="http://schemas.microsoft.com/office/drawing/2014/main" id="{E5DD497A-DEB6-437C-B59C-4834210E1FDF}"/>
            </a:ext>
          </a:extLst>
        </xdr:cNvPr>
        <xdr:cNvSpPr txBox="1"/>
      </xdr:nvSpPr>
      <xdr:spPr>
        <a:xfrm>
          <a:off x="26548080" y="6874194"/>
          <a:ext cx="344556" cy="328385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41</xdr:row>
      <xdr:rowOff>0</xdr:rowOff>
    </xdr:from>
    <xdr:to>
      <xdr:col>32</xdr:col>
      <xdr:colOff>0</xdr:colOff>
      <xdr:row>60</xdr:row>
      <xdr:rowOff>99645</xdr:rowOff>
    </xdr:to>
    <xdr:sp macro="" textlink="">
      <xdr:nvSpPr>
        <xdr:cNvPr id="100" name="Textfeld 107">
          <a:extLst>
            <a:ext uri="{FF2B5EF4-FFF2-40B4-BE49-F238E27FC236}">
              <a16:creationId xmlns:a16="http://schemas.microsoft.com/office/drawing/2014/main" id="{5EDD4F68-CB87-4A70-B632-A892492593DA}"/>
            </a:ext>
          </a:extLst>
        </xdr:cNvPr>
        <xdr:cNvSpPr txBox="1"/>
      </xdr:nvSpPr>
      <xdr:spPr>
        <a:xfrm>
          <a:off x="9519397" y="5434853"/>
          <a:ext cx="683559" cy="201585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7200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KU "Übungen anlegen"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Kdt, Bonaduz</a:t>
          </a:r>
          <a:endParaRPr lang="de-CH" sz="800" b="0" i="0" u="none" baseline="0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68</xdr:row>
      <xdr:rowOff>0</xdr:rowOff>
    </xdr:from>
    <xdr:to>
      <xdr:col>15</xdr:col>
      <xdr:colOff>345781</xdr:colOff>
      <xdr:row>72</xdr:row>
      <xdr:rowOff>0</xdr:rowOff>
    </xdr:to>
    <xdr:sp macro="" textlink="">
      <xdr:nvSpPr>
        <xdr:cNvPr id="101" name="Textfeld 107">
          <a:extLst>
            <a:ext uri="{FF2B5EF4-FFF2-40B4-BE49-F238E27FC236}">
              <a16:creationId xmlns:a16="http://schemas.microsoft.com/office/drawing/2014/main" id="{3D2E2E21-1367-4770-A7DA-BF81D6EEFC8A}"/>
            </a:ext>
          </a:extLst>
        </xdr:cNvPr>
        <xdr:cNvSpPr txBox="1"/>
      </xdr:nvSpPr>
      <xdr:spPr>
        <a:xfrm>
          <a:off x="4335076" y="7856924"/>
          <a:ext cx="691562" cy="384202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7200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</a:t>
          </a:r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R 1</a:t>
          </a:r>
          <a:endParaRPr lang="de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1</xdr:colOff>
      <xdr:row>41</xdr:row>
      <xdr:rowOff>0</xdr:rowOff>
    </xdr:from>
    <xdr:to>
      <xdr:col>39</xdr:col>
      <xdr:colOff>341586</xdr:colOff>
      <xdr:row>47</xdr:row>
      <xdr:rowOff>0</xdr:rowOff>
    </xdr:to>
    <xdr:sp macro="" textlink="">
      <xdr:nvSpPr>
        <xdr:cNvPr id="102" name="Textfeld 107">
          <a:extLst>
            <a:ext uri="{FF2B5EF4-FFF2-40B4-BE49-F238E27FC236}">
              <a16:creationId xmlns:a16="http://schemas.microsoft.com/office/drawing/2014/main" id="{4BF03CB9-586A-4EC6-B6A5-8BBC0C4A7904}"/>
            </a:ext>
          </a:extLst>
        </xdr:cNvPr>
        <xdr:cNvSpPr txBox="1"/>
      </xdr:nvSpPr>
      <xdr:spPr>
        <a:xfrm>
          <a:off x="37779961" y="6873240"/>
          <a:ext cx="1362665" cy="100584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7200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AR 2</a:t>
          </a:r>
          <a:endParaRPr lang="de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0</xdr:colOff>
      <xdr:row>29</xdr:row>
      <xdr:rowOff>1</xdr:rowOff>
    </xdr:from>
    <xdr:to>
      <xdr:col>40</xdr:col>
      <xdr:colOff>4244</xdr:colOff>
      <xdr:row>37</xdr:row>
      <xdr:rowOff>1</xdr:rowOff>
    </xdr:to>
    <xdr:sp macro="" textlink="">
      <xdr:nvSpPr>
        <xdr:cNvPr id="103" name="Textfeld 107">
          <a:extLst>
            <a:ext uri="{FF2B5EF4-FFF2-40B4-BE49-F238E27FC236}">
              <a16:creationId xmlns:a16="http://schemas.microsoft.com/office/drawing/2014/main" id="{C1349D0E-F0DD-4376-936B-A0357A236440}"/>
            </a:ext>
          </a:extLst>
        </xdr:cNvPr>
        <xdr:cNvSpPr txBox="1"/>
      </xdr:nvSpPr>
      <xdr:spPr>
        <a:xfrm>
          <a:off x="37779960" y="4861561"/>
          <a:ext cx="2046404" cy="134112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7200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AR 2</a:t>
          </a:r>
          <a:endParaRPr lang="de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0</xdr:colOff>
      <xdr:row>14</xdr:row>
      <xdr:rowOff>99645</xdr:rowOff>
    </xdr:from>
    <xdr:to>
      <xdr:col>39</xdr:col>
      <xdr:colOff>341586</xdr:colOff>
      <xdr:row>29</xdr:row>
      <xdr:rowOff>0</xdr:rowOff>
    </xdr:to>
    <xdr:sp macro="" textlink="">
      <xdr:nvSpPr>
        <xdr:cNvPr id="104" name="Textfeld 107">
          <a:extLst>
            <a:ext uri="{FF2B5EF4-FFF2-40B4-BE49-F238E27FC236}">
              <a16:creationId xmlns:a16="http://schemas.microsoft.com/office/drawing/2014/main" id="{5CB3B880-7F46-4954-AEAD-AFC1AE9AD201}"/>
            </a:ext>
          </a:extLst>
        </xdr:cNvPr>
        <xdr:cNvSpPr txBox="1"/>
      </xdr:nvSpPr>
      <xdr:spPr>
        <a:xfrm>
          <a:off x="37779960" y="2446605"/>
          <a:ext cx="1362666" cy="241495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0</xdr:colOff>
      <xdr:row>47</xdr:row>
      <xdr:rowOff>0</xdr:rowOff>
    </xdr:from>
    <xdr:to>
      <xdr:col>39</xdr:col>
      <xdr:colOff>341586</xdr:colOff>
      <xdr:row>61</xdr:row>
      <xdr:rowOff>1</xdr:rowOff>
    </xdr:to>
    <xdr:sp macro="" textlink="">
      <xdr:nvSpPr>
        <xdr:cNvPr id="105" name="Textfeld 107">
          <a:extLst>
            <a:ext uri="{FF2B5EF4-FFF2-40B4-BE49-F238E27FC236}">
              <a16:creationId xmlns:a16="http://schemas.microsoft.com/office/drawing/2014/main" id="{D7B614B2-8A36-4C1E-95E4-5F90F2BDA56E}"/>
            </a:ext>
          </a:extLst>
        </xdr:cNvPr>
        <xdr:cNvSpPr txBox="1"/>
      </xdr:nvSpPr>
      <xdr:spPr>
        <a:xfrm>
          <a:off x="37779960" y="7879080"/>
          <a:ext cx="1362666" cy="234696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/ AVOR Einrücken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2550</xdr:colOff>
      <xdr:row>15</xdr:row>
      <xdr:rowOff>0</xdr:rowOff>
    </xdr:from>
    <xdr:to>
      <xdr:col>36</xdr:col>
      <xdr:colOff>1275</xdr:colOff>
      <xdr:row>37</xdr:row>
      <xdr:rowOff>0</xdr:rowOff>
    </xdr:to>
    <xdr:sp macro="" textlink="">
      <xdr:nvSpPr>
        <xdr:cNvPr id="106" name="Textfeld 107">
          <a:extLst>
            <a:ext uri="{FF2B5EF4-FFF2-40B4-BE49-F238E27FC236}">
              <a16:creationId xmlns:a16="http://schemas.microsoft.com/office/drawing/2014/main" id="{55CFFB61-010D-471D-98DE-9B8A8E14B0F9}"/>
            </a:ext>
          </a:extLst>
        </xdr:cNvPr>
        <xdr:cNvSpPr txBox="1"/>
      </xdr:nvSpPr>
      <xdr:spPr>
        <a:xfrm>
          <a:off x="34719270" y="2514600"/>
          <a:ext cx="1019805" cy="36880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1275</xdr:colOff>
      <xdr:row>41</xdr:row>
      <xdr:rowOff>954</xdr:rowOff>
    </xdr:from>
    <xdr:to>
      <xdr:col>36</xdr:col>
      <xdr:colOff>0</xdr:colOff>
      <xdr:row>60</xdr:row>
      <xdr:rowOff>99646</xdr:rowOff>
    </xdr:to>
    <xdr:sp macro="" textlink="">
      <xdr:nvSpPr>
        <xdr:cNvPr id="107" name="Textfeld 107">
          <a:extLst>
            <a:ext uri="{FF2B5EF4-FFF2-40B4-BE49-F238E27FC236}">
              <a16:creationId xmlns:a16="http://schemas.microsoft.com/office/drawing/2014/main" id="{73885F51-5FCE-4907-AE30-171AC9C58FED}"/>
            </a:ext>
          </a:extLst>
        </xdr:cNvPr>
        <xdr:cNvSpPr txBox="1"/>
      </xdr:nvSpPr>
      <xdr:spPr>
        <a:xfrm>
          <a:off x="34717995" y="6874194"/>
          <a:ext cx="1019805" cy="328385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344556</xdr:colOff>
      <xdr:row>77</xdr:row>
      <xdr:rowOff>0</xdr:rowOff>
    </xdr:to>
    <xdr:sp macro="" textlink="">
      <xdr:nvSpPr>
        <xdr:cNvPr id="108" name="Textfeld 107">
          <a:extLst>
            <a:ext uri="{FF2B5EF4-FFF2-40B4-BE49-F238E27FC236}">
              <a16:creationId xmlns:a16="http://schemas.microsoft.com/office/drawing/2014/main" id="{693C2D8F-08AB-4ABA-AA51-A8A63948A68C}"/>
            </a:ext>
          </a:extLst>
        </xdr:cNvPr>
        <xdr:cNvSpPr txBox="1"/>
      </xdr:nvSpPr>
      <xdr:spPr>
        <a:xfrm>
          <a:off x="10210800" y="10896600"/>
          <a:ext cx="344556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1274</xdr:colOff>
      <xdr:row>65</xdr:row>
      <xdr:rowOff>0</xdr:rowOff>
    </xdr:from>
    <xdr:to>
      <xdr:col>28</xdr:col>
      <xdr:colOff>0</xdr:colOff>
      <xdr:row>77</xdr:row>
      <xdr:rowOff>0</xdr:rowOff>
    </xdr:to>
    <xdr:sp macro="" textlink="">
      <xdr:nvSpPr>
        <xdr:cNvPr id="109" name="Textfeld 107">
          <a:extLst>
            <a:ext uri="{FF2B5EF4-FFF2-40B4-BE49-F238E27FC236}">
              <a16:creationId xmlns:a16="http://schemas.microsoft.com/office/drawing/2014/main" id="{D0E26D03-2B9F-464C-A8BC-1170EC3A5DB1}"/>
            </a:ext>
          </a:extLst>
        </xdr:cNvPr>
        <xdr:cNvSpPr txBox="1"/>
      </xdr:nvSpPr>
      <xdr:spPr>
        <a:xfrm>
          <a:off x="26549354" y="10896600"/>
          <a:ext cx="1019806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Log </a:t>
          </a:r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Betrieb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Bonaduz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345830</xdr:colOff>
      <xdr:row>65</xdr:row>
      <xdr:rowOff>0</xdr:rowOff>
    </xdr:from>
    <xdr:to>
      <xdr:col>32</xdr:col>
      <xdr:colOff>0</xdr:colOff>
      <xdr:row>77</xdr:row>
      <xdr:rowOff>0</xdr:rowOff>
    </xdr:to>
    <xdr:sp macro="" textlink="">
      <xdr:nvSpPr>
        <xdr:cNvPr id="110" name="Textfeld 107">
          <a:extLst>
            <a:ext uri="{FF2B5EF4-FFF2-40B4-BE49-F238E27FC236}">
              <a16:creationId xmlns:a16="http://schemas.microsoft.com/office/drawing/2014/main" id="{08B5CA24-2FA5-43DD-953C-29002E5CF57B}"/>
            </a:ext>
          </a:extLst>
        </xdr:cNvPr>
        <xdr:cNvSpPr txBox="1"/>
      </xdr:nvSpPr>
      <xdr:spPr>
        <a:xfrm>
          <a:off x="28936070" y="10896600"/>
          <a:ext cx="2717410" cy="20116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281352</xdr:colOff>
      <xdr:row>15</xdr:row>
      <xdr:rowOff>8538</xdr:rowOff>
    </xdr:to>
    <xdr:sp macro="" textlink="">
      <xdr:nvSpPr>
        <xdr:cNvPr id="111" name="Rechteck 311">
          <a:extLst>
            <a:ext uri="{FF2B5EF4-FFF2-40B4-BE49-F238E27FC236}">
              <a16:creationId xmlns:a16="http://schemas.microsoft.com/office/drawing/2014/main" id="{C7E16A35-6106-4012-B32D-3BD87A439480}"/>
            </a:ext>
          </a:extLst>
        </xdr:cNvPr>
        <xdr:cNvSpPr/>
      </xdr:nvSpPr>
      <xdr:spPr bwMode="auto">
        <a:xfrm>
          <a:off x="15316200" y="2179320"/>
          <a:ext cx="281352" cy="343818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281352</xdr:colOff>
      <xdr:row>13</xdr:row>
      <xdr:rowOff>8538</xdr:rowOff>
    </xdr:to>
    <xdr:sp macro="" textlink="">
      <xdr:nvSpPr>
        <xdr:cNvPr id="112" name="Rechteck 311">
          <a:extLst>
            <a:ext uri="{FF2B5EF4-FFF2-40B4-BE49-F238E27FC236}">
              <a16:creationId xmlns:a16="http://schemas.microsoft.com/office/drawing/2014/main" id="{6F41D695-E8D9-434D-9B73-39FBA7F012B4}"/>
            </a:ext>
          </a:extLst>
        </xdr:cNvPr>
        <xdr:cNvSpPr/>
      </xdr:nvSpPr>
      <xdr:spPr bwMode="auto">
        <a:xfrm>
          <a:off x="23484840" y="1844040"/>
          <a:ext cx="281352" cy="343818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32</xdr:col>
      <xdr:colOff>2</xdr:colOff>
      <xdr:row>11</xdr:row>
      <xdr:rowOff>0</xdr:rowOff>
    </xdr:from>
    <xdr:to>
      <xdr:col>33</xdr:col>
      <xdr:colOff>0</xdr:colOff>
      <xdr:row>13</xdr:row>
      <xdr:rowOff>8538</xdr:rowOff>
    </xdr:to>
    <xdr:sp macro="" textlink="">
      <xdr:nvSpPr>
        <xdr:cNvPr id="113" name="Rechteck 311">
          <a:extLst>
            <a:ext uri="{FF2B5EF4-FFF2-40B4-BE49-F238E27FC236}">
              <a16:creationId xmlns:a16="http://schemas.microsoft.com/office/drawing/2014/main" id="{39E444BF-2DD7-4FEC-BCA9-86BF98CE26A1}"/>
            </a:ext>
          </a:extLst>
        </xdr:cNvPr>
        <xdr:cNvSpPr/>
      </xdr:nvSpPr>
      <xdr:spPr bwMode="auto">
        <a:xfrm>
          <a:off x="31653482" y="1844040"/>
          <a:ext cx="1021078" cy="343818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40</xdr:col>
      <xdr:colOff>281352</xdr:colOff>
      <xdr:row>13</xdr:row>
      <xdr:rowOff>8538</xdr:rowOff>
    </xdr:to>
    <xdr:sp macro="" textlink="">
      <xdr:nvSpPr>
        <xdr:cNvPr id="114" name="Rechteck 311">
          <a:extLst>
            <a:ext uri="{FF2B5EF4-FFF2-40B4-BE49-F238E27FC236}">
              <a16:creationId xmlns:a16="http://schemas.microsoft.com/office/drawing/2014/main" id="{2974633C-463C-42B0-A1D3-95FAAD8B4765}"/>
            </a:ext>
          </a:extLst>
        </xdr:cNvPr>
        <xdr:cNvSpPr/>
      </xdr:nvSpPr>
      <xdr:spPr bwMode="auto">
        <a:xfrm>
          <a:off x="39822120" y="1844040"/>
          <a:ext cx="281352" cy="343818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6</xdr:col>
      <xdr:colOff>1275</xdr:colOff>
      <xdr:row>65</xdr:row>
      <xdr:rowOff>765</xdr:rowOff>
    </xdr:from>
    <xdr:to>
      <xdr:col>7</xdr:col>
      <xdr:colOff>0</xdr:colOff>
      <xdr:row>68</xdr:row>
      <xdr:rowOff>0</xdr:rowOff>
    </xdr:to>
    <xdr:sp macro="" textlink="">
      <xdr:nvSpPr>
        <xdr:cNvPr id="115" name="Textfeld 107">
          <a:extLst>
            <a:ext uri="{FF2B5EF4-FFF2-40B4-BE49-F238E27FC236}">
              <a16:creationId xmlns:a16="http://schemas.microsoft.com/office/drawing/2014/main" id="{1620B7F9-6B8C-4318-BC2A-E19D13762B3D}"/>
            </a:ext>
          </a:extLst>
        </xdr:cNvPr>
        <xdr:cNvSpPr txBox="1"/>
      </xdr:nvSpPr>
      <xdr:spPr>
        <a:xfrm>
          <a:off x="6127755" y="10897365"/>
          <a:ext cx="1019805" cy="502155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72000" tIns="0" rIns="0" bIns="0" rtlCol="0" anchor="ctr"/>
        <a:lstStyle/>
        <a:p>
          <a:pPr marL="0" indent="0" algn="l"/>
          <a:r>
            <a:rPr lang="de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Regie KVK</a:t>
          </a:r>
        </a:p>
      </xdr:txBody>
    </xdr:sp>
    <xdr:clientData/>
  </xdr:twoCellAnchor>
  <xdr:twoCellAnchor>
    <xdr:from>
      <xdr:col>9</xdr:col>
      <xdr:colOff>0</xdr:colOff>
      <xdr:row>73</xdr:row>
      <xdr:rowOff>0</xdr:rowOff>
    </xdr:from>
    <xdr:to>
      <xdr:col>9</xdr:col>
      <xdr:colOff>283779</xdr:colOff>
      <xdr:row>77</xdr:row>
      <xdr:rowOff>0</xdr:rowOff>
    </xdr:to>
    <xdr:sp macro="" textlink="">
      <xdr:nvSpPr>
        <xdr:cNvPr id="116" name="Rechteck 311">
          <a:extLst>
            <a:ext uri="{FF2B5EF4-FFF2-40B4-BE49-F238E27FC236}">
              <a16:creationId xmlns:a16="http://schemas.microsoft.com/office/drawing/2014/main" id="{3A0E39CC-F27B-48E8-80A3-91E81F9B5CCC}"/>
            </a:ext>
          </a:extLst>
        </xdr:cNvPr>
        <xdr:cNvSpPr/>
      </xdr:nvSpPr>
      <xdr:spPr bwMode="auto">
        <a:xfrm>
          <a:off x="2653862" y="8592207"/>
          <a:ext cx="283779" cy="399393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20</xdr:row>
      <xdr:rowOff>80598</xdr:rowOff>
    </xdr:from>
    <xdr:to>
      <xdr:col>17</xdr:col>
      <xdr:colOff>276224</xdr:colOff>
      <xdr:row>22</xdr:row>
      <xdr:rowOff>89338</xdr:rowOff>
    </xdr:to>
    <xdr:sp macro="" textlink="">
      <xdr:nvSpPr>
        <xdr:cNvPr id="117" name="Rechteck 311">
          <a:extLst>
            <a:ext uri="{FF2B5EF4-FFF2-40B4-BE49-F238E27FC236}">
              <a16:creationId xmlns:a16="http://schemas.microsoft.com/office/drawing/2014/main" id="{701AEEAC-0EE9-4FE1-AF06-6A1549D46644}"/>
            </a:ext>
          </a:extLst>
        </xdr:cNvPr>
        <xdr:cNvSpPr/>
      </xdr:nvSpPr>
      <xdr:spPr bwMode="auto">
        <a:xfrm>
          <a:off x="5270938" y="3380846"/>
          <a:ext cx="276224" cy="20843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21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18</xdr:row>
      <xdr:rowOff>89338</xdr:rowOff>
    </xdr:from>
    <xdr:to>
      <xdr:col>17</xdr:col>
      <xdr:colOff>276224</xdr:colOff>
      <xdr:row>20</xdr:row>
      <xdr:rowOff>89339</xdr:rowOff>
    </xdr:to>
    <xdr:sp macro="" textlink="">
      <xdr:nvSpPr>
        <xdr:cNvPr id="118" name="Rechteck 311">
          <a:extLst>
            <a:ext uri="{FF2B5EF4-FFF2-40B4-BE49-F238E27FC236}">
              <a16:creationId xmlns:a16="http://schemas.microsoft.com/office/drawing/2014/main" id="{A19820FD-7BB1-417E-938A-E806F75F07C7}"/>
            </a:ext>
          </a:extLst>
        </xdr:cNvPr>
        <xdr:cNvSpPr/>
      </xdr:nvSpPr>
      <xdr:spPr bwMode="auto">
        <a:xfrm>
          <a:off x="5270938" y="3189890"/>
          <a:ext cx="276224" cy="19969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22</xdr:row>
      <xdr:rowOff>89338</xdr:rowOff>
    </xdr:from>
    <xdr:to>
      <xdr:col>18</xdr:col>
      <xdr:colOff>0</xdr:colOff>
      <xdr:row>24</xdr:row>
      <xdr:rowOff>89339</xdr:rowOff>
    </xdr:to>
    <xdr:sp macro="" textlink="">
      <xdr:nvSpPr>
        <xdr:cNvPr id="119" name="Rechteck 311">
          <a:extLst>
            <a:ext uri="{FF2B5EF4-FFF2-40B4-BE49-F238E27FC236}">
              <a16:creationId xmlns:a16="http://schemas.microsoft.com/office/drawing/2014/main" id="{49551BB9-5E2B-4297-9632-9DD731F7CD3E}"/>
            </a:ext>
          </a:extLst>
        </xdr:cNvPr>
        <xdr:cNvSpPr/>
      </xdr:nvSpPr>
      <xdr:spPr bwMode="auto">
        <a:xfrm>
          <a:off x="5270938" y="3589283"/>
          <a:ext cx="283779" cy="19969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22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24</xdr:row>
      <xdr:rowOff>89339</xdr:rowOff>
    </xdr:from>
    <xdr:to>
      <xdr:col>18</xdr:col>
      <xdr:colOff>0</xdr:colOff>
      <xdr:row>26</xdr:row>
      <xdr:rowOff>89338</xdr:rowOff>
    </xdr:to>
    <xdr:sp macro="" textlink="">
      <xdr:nvSpPr>
        <xdr:cNvPr id="120" name="Rechteck 311">
          <a:extLst>
            <a:ext uri="{FF2B5EF4-FFF2-40B4-BE49-F238E27FC236}">
              <a16:creationId xmlns:a16="http://schemas.microsoft.com/office/drawing/2014/main" id="{FA28EE2E-D06F-4756-84B1-B5FA4BB9CF0E}"/>
            </a:ext>
          </a:extLst>
        </xdr:cNvPr>
        <xdr:cNvSpPr/>
      </xdr:nvSpPr>
      <xdr:spPr bwMode="auto">
        <a:xfrm>
          <a:off x="5270938" y="3788980"/>
          <a:ext cx="283779" cy="199696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23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30</xdr:row>
      <xdr:rowOff>89338</xdr:rowOff>
    </xdr:from>
    <xdr:to>
      <xdr:col>18</xdr:col>
      <xdr:colOff>0</xdr:colOff>
      <xdr:row>34</xdr:row>
      <xdr:rowOff>89136</xdr:rowOff>
    </xdr:to>
    <xdr:sp macro="" textlink="">
      <xdr:nvSpPr>
        <xdr:cNvPr id="121" name="Rechteck 311">
          <a:extLst>
            <a:ext uri="{FF2B5EF4-FFF2-40B4-BE49-F238E27FC236}">
              <a16:creationId xmlns:a16="http://schemas.microsoft.com/office/drawing/2014/main" id="{87043031-D222-458D-A435-B8EE232EFA51}"/>
            </a:ext>
          </a:extLst>
        </xdr:cNvPr>
        <xdr:cNvSpPr/>
      </xdr:nvSpPr>
      <xdr:spPr bwMode="auto">
        <a:xfrm>
          <a:off x="5270938" y="4388069"/>
          <a:ext cx="283779" cy="399191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24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36</xdr:row>
      <xdr:rowOff>89338</xdr:rowOff>
    </xdr:from>
    <xdr:to>
      <xdr:col>18</xdr:col>
      <xdr:colOff>0</xdr:colOff>
      <xdr:row>38</xdr:row>
      <xdr:rowOff>89339</xdr:rowOff>
    </xdr:to>
    <xdr:sp macro="" textlink="">
      <xdr:nvSpPr>
        <xdr:cNvPr id="122" name="Rechteck 311">
          <a:extLst>
            <a:ext uri="{FF2B5EF4-FFF2-40B4-BE49-F238E27FC236}">
              <a16:creationId xmlns:a16="http://schemas.microsoft.com/office/drawing/2014/main" id="{2AE7ADA3-971F-4225-A247-015525C77E89}"/>
            </a:ext>
          </a:extLst>
        </xdr:cNvPr>
        <xdr:cNvSpPr/>
      </xdr:nvSpPr>
      <xdr:spPr bwMode="auto">
        <a:xfrm>
          <a:off x="5270938" y="4987159"/>
          <a:ext cx="283779" cy="19969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25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283779</xdr:colOff>
      <xdr:row>16</xdr:row>
      <xdr:rowOff>99848</xdr:rowOff>
    </xdr:from>
    <xdr:to>
      <xdr:col>25</xdr:col>
      <xdr:colOff>283778</xdr:colOff>
      <xdr:row>19</xdr:row>
      <xdr:rowOff>0</xdr:rowOff>
    </xdr:to>
    <xdr:sp macro="" textlink="">
      <xdr:nvSpPr>
        <xdr:cNvPr id="123" name="Rechteck 311">
          <a:extLst>
            <a:ext uri="{FF2B5EF4-FFF2-40B4-BE49-F238E27FC236}">
              <a16:creationId xmlns:a16="http://schemas.microsoft.com/office/drawing/2014/main" id="{EE2E1546-9289-47C3-A87E-6D24BCD5AB3A}"/>
            </a:ext>
          </a:extLst>
        </xdr:cNvPr>
        <xdr:cNvSpPr/>
      </xdr:nvSpPr>
      <xdr:spPr bwMode="auto">
        <a:xfrm>
          <a:off x="7888013" y="3000703"/>
          <a:ext cx="283779" cy="19969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30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33</xdr:col>
      <xdr:colOff>0</xdr:colOff>
      <xdr:row>16</xdr:row>
      <xdr:rowOff>99848</xdr:rowOff>
    </xdr:from>
    <xdr:to>
      <xdr:col>33</xdr:col>
      <xdr:colOff>283778</xdr:colOff>
      <xdr:row>21</xdr:row>
      <xdr:rowOff>0</xdr:rowOff>
    </xdr:to>
    <xdr:sp macro="" textlink="">
      <xdr:nvSpPr>
        <xdr:cNvPr id="124" name="Rechteck 311">
          <a:extLst>
            <a:ext uri="{FF2B5EF4-FFF2-40B4-BE49-F238E27FC236}">
              <a16:creationId xmlns:a16="http://schemas.microsoft.com/office/drawing/2014/main" id="{ED10A007-DC52-4F56-89B2-35C3B6F16483}"/>
            </a:ext>
          </a:extLst>
        </xdr:cNvPr>
        <xdr:cNvSpPr/>
      </xdr:nvSpPr>
      <xdr:spPr bwMode="auto">
        <a:xfrm>
          <a:off x="10505090" y="3000703"/>
          <a:ext cx="283778" cy="399394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33</xdr:col>
      <xdr:colOff>0</xdr:colOff>
      <xdr:row>41</xdr:row>
      <xdr:rowOff>0</xdr:rowOff>
    </xdr:from>
    <xdr:to>
      <xdr:col>33</xdr:col>
      <xdr:colOff>283778</xdr:colOff>
      <xdr:row>44</xdr:row>
      <xdr:rowOff>99847</xdr:rowOff>
    </xdr:to>
    <xdr:sp macro="" textlink="">
      <xdr:nvSpPr>
        <xdr:cNvPr id="125" name="Rechteck 311">
          <a:extLst>
            <a:ext uri="{FF2B5EF4-FFF2-40B4-BE49-F238E27FC236}">
              <a16:creationId xmlns:a16="http://schemas.microsoft.com/office/drawing/2014/main" id="{5E2F41A1-7799-4E5F-96B0-8F57C5201F33}"/>
            </a:ext>
          </a:extLst>
        </xdr:cNvPr>
        <xdr:cNvSpPr/>
      </xdr:nvSpPr>
      <xdr:spPr bwMode="auto">
        <a:xfrm>
          <a:off x="10505090" y="5397062"/>
          <a:ext cx="283778" cy="399392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41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173272</xdr:colOff>
      <xdr:row>17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6" name="Textfeld 107">
          <a:extLst>
            <a:ext uri="{FF2B5EF4-FFF2-40B4-BE49-F238E27FC236}">
              <a16:creationId xmlns:a16="http://schemas.microsoft.com/office/drawing/2014/main" id="{C4086C46-0C5C-472D-8717-26FDF0FADD44}"/>
            </a:ext>
          </a:extLst>
        </xdr:cNvPr>
        <xdr:cNvSpPr txBox="1"/>
      </xdr:nvSpPr>
      <xdr:spPr>
        <a:xfrm>
          <a:off x="12426232" y="2849880"/>
          <a:ext cx="847808" cy="1676400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AT 4</a:t>
          </a:r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Ausbildung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170125</xdr:colOff>
      <xdr:row>61</xdr:row>
      <xdr:rowOff>0</xdr:rowOff>
    </xdr:to>
    <xdr:sp macro="" textlink="">
      <xdr:nvSpPr>
        <xdr:cNvPr id="127" name="Textfeld 107">
          <a:extLst>
            <a:ext uri="{FF2B5EF4-FFF2-40B4-BE49-F238E27FC236}">
              <a16:creationId xmlns:a16="http://schemas.microsoft.com/office/drawing/2014/main" id="{C03C25F0-7657-4BB5-AA35-DD653FBAF134}"/>
            </a:ext>
          </a:extLst>
        </xdr:cNvPr>
        <xdr:cNvSpPr txBox="1"/>
      </xdr:nvSpPr>
      <xdr:spPr>
        <a:xfrm>
          <a:off x="12252960" y="6873240"/>
          <a:ext cx="170125" cy="3352800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AT 4</a:t>
          </a:r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Ausbildung (Reserve)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170125</xdr:colOff>
      <xdr:row>37</xdr:row>
      <xdr:rowOff>0</xdr:rowOff>
    </xdr:to>
    <xdr:sp macro="" textlink="">
      <xdr:nvSpPr>
        <xdr:cNvPr id="128" name="Textfeld 107">
          <a:extLst>
            <a:ext uri="{FF2B5EF4-FFF2-40B4-BE49-F238E27FC236}">
              <a16:creationId xmlns:a16="http://schemas.microsoft.com/office/drawing/2014/main" id="{423D351C-B7E2-4E8F-A6AA-51D858D18C6D}"/>
            </a:ext>
          </a:extLst>
        </xdr:cNvPr>
        <xdr:cNvSpPr txBox="1"/>
      </xdr:nvSpPr>
      <xdr:spPr>
        <a:xfrm>
          <a:off x="12252960" y="4526280"/>
          <a:ext cx="170125" cy="1676400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</a:t>
          </a:r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AT 4</a:t>
          </a:r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Ausbildung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165652</xdr:colOff>
      <xdr:row>27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9" name="Textfeld 107">
          <a:extLst>
            <a:ext uri="{FF2B5EF4-FFF2-40B4-BE49-F238E27FC236}">
              <a16:creationId xmlns:a16="http://schemas.microsoft.com/office/drawing/2014/main" id="{EE6D6FEE-02AD-4B35-A222-907AAC6F4C80}"/>
            </a:ext>
          </a:extLst>
        </xdr:cNvPr>
        <xdr:cNvSpPr txBox="1"/>
      </xdr:nvSpPr>
      <xdr:spPr>
        <a:xfrm>
          <a:off x="12418612" y="4526280"/>
          <a:ext cx="855428" cy="16764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Wache WAT 2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800" b="0" i="0" u="none" strike="noStrike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Bonaduz,</a:t>
          </a:r>
          <a:r>
            <a:rPr lang="en-CH" sz="800" b="0" i="0" u="none" strike="noStrike" baseline="0">
              <a:solidFill>
                <a:sysClr val="windowText" lastClr="000000"/>
              </a:solidFill>
              <a:effectLst/>
              <a:latin typeface="Arial"/>
              <a:ea typeface="+mn-ea"/>
              <a:cs typeface="+mn-cs"/>
            </a:rPr>
            <a:t> Alte Post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63</xdr:col>
      <xdr:colOff>163649</xdr:colOff>
      <xdr:row>11</xdr:row>
      <xdr:rowOff>54715</xdr:rowOff>
    </xdr:from>
    <xdr:ext cx="16145881" cy="2127377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1984FD3-BBE6-4223-9EDC-3AED70EAB336}"/>
            </a:ext>
          </a:extLst>
        </xdr:cNvPr>
        <xdr:cNvSpPr/>
      </xdr:nvSpPr>
      <xdr:spPr>
        <a:xfrm rot="20516745">
          <a:off x="19975649" y="2449572"/>
          <a:ext cx="16145881" cy="2127377"/>
        </a:xfrm>
        <a:prstGeom prst="rect">
          <a:avLst/>
        </a:prstGeom>
        <a:noFill/>
        <a:ln w="6350"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de-CH" sz="138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PROVISORISCH</a:t>
          </a:r>
          <a:endParaRPr lang="de-CH" sz="166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25</xdr:col>
      <xdr:colOff>0</xdr:colOff>
      <xdr:row>41</xdr:row>
      <xdr:rowOff>0</xdr:rowOff>
    </xdr:from>
    <xdr:to>
      <xdr:col>26</xdr:col>
      <xdr:colOff>0</xdr:colOff>
      <xdr:row>56</xdr:row>
      <xdr:rowOff>99848</xdr:rowOff>
    </xdr:to>
    <xdr:sp macro="" textlink="">
      <xdr:nvSpPr>
        <xdr:cNvPr id="131" name="Rechteck 311">
          <a:extLst>
            <a:ext uri="{FF2B5EF4-FFF2-40B4-BE49-F238E27FC236}">
              <a16:creationId xmlns:a16="http://schemas.microsoft.com/office/drawing/2014/main" id="{F077E775-4456-7F63-AED5-14B3578BAC01}"/>
            </a:ext>
          </a:extLst>
        </xdr:cNvPr>
        <xdr:cNvSpPr/>
      </xdr:nvSpPr>
      <xdr:spPr bwMode="auto">
        <a:xfrm>
          <a:off x="7888014" y="5397062"/>
          <a:ext cx="283779" cy="1597572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32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283779</xdr:colOff>
      <xdr:row>61</xdr:row>
      <xdr:rowOff>0</xdr:rowOff>
    </xdr:to>
    <xdr:sp macro="" textlink="">
      <xdr:nvSpPr>
        <xdr:cNvPr id="132" name="Rechteck 311">
          <a:extLst>
            <a:ext uri="{FF2B5EF4-FFF2-40B4-BE49-F238E27FC236}">
              <a16:creationId xmlns:a16="http://schemas.microsoft.com/office/drawing/2014/main" id="{F20A38DD-8F6D-7C24-1F74-1C5F40F854D6}"/>
            </a:ext>
          </a:extLst>
        </xdr:cNvPr>
        <xdr:cNvSpPr/>
      </xdr:nvSpPr>
      <xdr:spPr bwMode="auto">
        <a:xfrm>
          <a:off x="2653862" y="7194331"/>
          <a:ext cx="283779" cy="19969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1</xdr:colOff>
      <xdr:row>15</xdr:row>
      <xdr:rowOff>0</xdr:rowOff>
    </xdr:from>
    <xdr:to>
      <xdr:col>25</xdr:col>
      <xdr:colOff>0</xdr:colOff>
      <xdr:row>19</xdr:row>
      <xdr:rowOff>0</xdr:rowOff>
    </xdr:to>
    <xdr:sp macro="" textlink="">
      <xdr:nvSpPr>
        <xdr:cNvPr id="133" name="Rechteck 311">
          <a:extLst>
            <a:ext uri="{FF2B5EF4-FFF2-40B4-BE49-F238E27FC236}">
              <a16:creationId xmlns:a16="http://schemas.microsoft.com/office/drawing/2014/main" id="{8C1F95CE-A53B-BF52-141B-66DA397C4A0C}"/>
            </a:ext>
          </a:extLst>
        </xdr:cNvPr>
        <xdr:cNvSpPr/>
      </xdr:nvSpPr>
      <xdr:spPr bwMode="auto">
        <a:xfrm>
          <a:off x="7604235" y="2801007"/>
          <a:ext cx="283779" cy="399393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31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273067</xdr:colOff>
      <xdr:row>75</xdr:row>
      <xdr:rowOff>0</xdr:rowOff>
    </xdr:from>
    <xdr:to>
      <xdr:col>33</xdr:col>
      <xdr:colOff>275492</xdr:colOff>
      <xdr:row>79</xdr:row>
      <xdr:rowOff>202</xdr:rowOff>
    </xdr:to>
    <xdr:sp macro="" textlink="">
      <xdr:nvSpPr>
        <xdr:cNvPr id="134" name="Rechteck 311">
          <a:extLst>
            <a:ext uri="{FF2B5EF4-FFF2-40B4-BE49-F238E27FC236}">
              <a16:creationId xmlns:a16="http://schemas.microsoft.com/office/drawing/2014/main" id="{C15DF8BE-F8CA-7E49-B24E-7F5BCB66B6E6}"/>
            </a:ext>
          </a:extLst>
        </xdr:cNvPr>
        <xdr:cNvSpPr/>
      </xdr:nvSpPr>
      <xdr:spPr bwMode="auto">
        <a:xfrm>
          <a:off x="10577652" y="8780585"/>
          <a:ext cx="283778" cy="398786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42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0</xdr:colOff>
      <xdr:row>6</xdr:row>
      <xdr:rowOff>0</xdr:rowOff>
    </xdr:from>
    <xdr:to>
      <xdr:col>58</xdr:col>
      <xdr:colOff>265113</xdr:colOff>
      <xdr:row>15</xdr:row>
      <xdr:rowOff>24362</xdr:rowOff>
    </xdr:to>
    <xdr:sp macro="" textlink="">
      <xdr:nvSpPr>
        <xdr:cNvPr id="2" name="Textfeld 107">
          <a:extLst>
            <a:ext uri="{FF2B5EF4-FFF2-40B4-BE49-F238E27FC236}">
              <a16:creationId xmlns:a16="http://schemas.microsoft.com/office/drawing/2014/main" id="{A5320FA3-CE73-4E6C-80BB-DA66B75F1998}"/>
            </a:ext>
          </a:extLst>
        </xdr:cNvPr>
        <xdr:cNvSpPr txBox="1"/>
      </xdr:nvSpPr>
      <xdr:spPr>
        <a:xfrm>
          <a:off x="65349120" y="1005840"/>
          <a:ext cx="265113" cy="153312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Standard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Wer / Ort</a:t>
          </a:r>
        </a:p>
      </xdr:txBody>
    </xdr:sp>
    <xdr:clientData/>
  </xdr:twoCellAnchor>
  <xdr:twoCellAnchor>
    <xdr:from>
      <xdr:col>58</xdr:col>
      <xdr:colOff>266544</xdr:colOff>
      <xdr:row>6</xdr:row>
      <xdr:rowOff>1</xdr:rowOff>
    </xdr:from>
    <xdr:to>
      <xdr:col>58</xdr:col>
      <xdr:colOff>539342</xdr:colOff>
      <xdr:row>15</xdr:row>
      <xdr:rowOff>24363</xdr:rowOff>
    </xdr:to>
    <xdr:sp macro="" textlink="">
      <xdr:nvSpPr>
        <xdr:cNvPr id="3" name="Textfeld 107">
          <a:extLst>
            <a:ext uri="{FF2B5EF4-FFF2-40B4-BE49-F238E27FC236}">
              <a16:creationId xmlns:a16="http://schemas.microsoft.com/office/drawing/2014/main" id="{179FD9E8-FB6E-4BAF-9CE0-17F62BDF3DCD}"/>
            </a:ext>
          </a:extLst>
        </xdr:cNvPr>
        <xdr:cNvSpPr txBox="1"/>
      </xdr:nvSpPr>
      <xdr:spPr>
        <a:xfrm>
          <a:off x="65615664" y="1005841"/>
          <a:ext cx="272798" cy="153312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58</xdr:col>
      <xdr:colOff>540378</xdr:colOff>
      <xdr:row>6</xdr:row>
      <xdr:rowOff>0</xdr:rowOff>
    </xdr:from>
    <xdr:to>
      <xdr:col>58</xdr:col>
      <xdr:colOff>813572</xdr:colOff>
      <xdr:row>15</xdr:row>
      <xdr:rowOff>24362</xdr:rowOff>
    </xdr:to>
    <xdr:sp macro="" textlink="">
      <xdr:nvSpPr>
        <xdr:cNvPr id="4" name="Textfeld 107">
          <a:extLst>
            <a:ext uri="{FF2B5EF4-FFF2-40B4-BE49-F238E27FC236}">
              <a16:creationId xmlns:a16="http://schemas.microsoft.com/office/drawing/2014/main" id="{192435D7-4059-447A-8E57-3AFF43636722}"/>
            </a:ext>
          </a:extLst>
        </xdr:cNvPr>
        <xdr:cNvSpPr txBox="1"/>
      </xdr:nvSpPr>
      <xdr:spPr>
        <a:xfrm>
          <a:off x="65889498" y="1005840"/>
          <a:ext cx="273194" cy="1533122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Hervorgehoben</a:t>
          </a:r>
        </a:p>
      </xdr:txBody>
    </xdr:sp>
    <xdr:clientData/>
  </xdr:twoCellAnchor>
  <xdr:twoCellAnchor>
    <xdr:from>
      <xdr:col>58</xdr:col>
      <xdr:colOff>815656</xdr:colOff>
      <xdr:row>6</xdr:row>
      <xdr:rowOff>0</xdr:rowOff>
    </xdr:from>
    <xdr:to>
      <xdr:col>59</xdr:col>
      <xdr:colOff>643264</xdr:colOff>
      <xdr:row>6</xdr:row>
      <xdr:rowOff>408344</xdr:rowOff>
    </xdr:to>
    <xdr:sp macro="" textlink="">
      <xdr:nvSpPr>
        <xdr:cNvPr id="5" name="Textfeld 107">
          <a:extLst>
            <a:ext uri="{FF2B5EF4-FFF2-40B4-BE49-F238E27FC236}">
              <a16:creationId xmlns:a16="http://schemas.microsoft.com/office/drawing/2014/main" id="{23AED39B-5CE5-42BD-892E-212B06017A38}"/>
            </a:ext>
          </a:extLst>
        </xdr:cNvPr>
        <xdr:cNvSpPr txBox="1"/>
      </xdr:nvSpPr>
      <xdr:spPr>
        <a:xfrm rot="5400000">
          <a:off x="66506868" y="663748"/>
          <a:ext cx="164504" cy="848688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Extern</a:t>
          </a:r>
        </a:p>
      </xdr:txBody>
    </xdr:sp>
    <xdr:clientData/>
  </xdr:twoCellAnchor>
  <xdr:twoCellAnchor>
    <xdr:from>
      <xdr:col>61</xdr:col>
      <xdr:colOff>0</xdr:colOff>
      <xdr:row>6</xdr:row>
      <xdr:rowOff>286372</xdr:rowOff>
    </xdr:from>
    <xdr:to>
      <xdr:col>63</xdr:col>
      <xdr:colOff>28015</xdr:colOff>
      <xdr:row>6</xdr:row>
      <xdr:rowOff>286372</xdr:rowOff>
    </xdr:to>
    <xdr:cxnSp macro="">
      <xdr:nvCxnSpPr>
        <xdr:cNvPr id="6" name="Gerader Verbinder 188">
          <a:extLst>
            <a:ext uri="{FF2B5EF4-FFF2-40B4-BE49-F238E27FC236}">
              <a16:creationId xmlns:a16="http://schemas.microsoft.com/office/drawing/2014/main" id="{6A4B992D-5733-4D47-8A7A-9A8AFBA7D385}"/>
            </a:ext>
          </a:extLst>
        </xdr:cNvPr>
        <xdr:cNvCxnSpPr/>
      </xdr:nvCxnSpPr>
      <xdr:spPr bwMode="auto">
        <a:xfrm>
          <a:off x="68412360" y="1170292"/>
          <a:ext cx="2070175" cy="0"/>
        </a:xfrm>
        <a:prstGeom prst="line">
          <a:avLst/>
        </a:prstGeom>
        <a:solidFill>
          <a:schemeClr val="bg1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61</xdr:col>
      <xdr:colOff>0</xdr:colOff>
      <xdr:row>6</xdr:row>
      <xdr:rowOff>0</xdr:rowOff>
    </xdr:from>
    <xdr:to>
      <xdr:col>63</xdr:col>
      <xdr:colOff>28015</xdr:colOff>
      <xdr:row>6</xdr:row>
      <xdr:rowOff>191122</xdr:rowOff>
    </xdr:to>
    <xdr:sp macro="" textlink="">
      <xdr:nvSpPr>
        <xdr:cNvPr id="7" name="Textfeld 340">
          <a:extLst>
            <a:ext uri="{FF2B5EF4-FFF2-40B4-BE49-F238E27FC236}">
              <a16:creationId xmlns:a16="http://schemas.microsoft.com/office/drawing/2014/main" id="{D891EE23-019D-4D02-885E-B9C18AC07A7C}"/>
            </a:ext>
          </a:extLst>
        </xdr:cNvPr>
        <xdr:cNvSpPr txBox="1"/>
      </xdr:nvSpPr>
      <xdr:spPr>
        <a:xfrm>
          <a:off x="68412360" y="1005840"/>
          <a:ext cx="2070175" cy="168262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  <a:r>
            <a:rPr lang="de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Four</a:t>
          </a:r>
          <a:r>
            <a:rPr lang="de-CH" sz="7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/ Esssaal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61</xdr:col>
      <xdr:colOff>757209</xdr:colOff>
      <xdr:row>6</xdr:row>
      <xdr:rowOff>236408</xdr:rowOff>
    </xdr:from>
    <xdr:to>
      <xdr:col>62</xdr:col>
      <xdr:colOff>305043</xdr:colOff>
      <xdr:row>6</xdr:row>
      <xdr:rowOff>362058</xdr:rowOff>
    </xdr:to>
    <xdr:sp macro="" textlink="">
      <xdr:nvSpPr>
        <xdr:cNvPr id="8" name="Textfeld 52">
          <a:extLst>
            <a:ext uri="{FF2B5EF4-FFF2-40B4-BE49-F238E27FC236}">
              <a16:creationId xmlns:a16="http://schemas.microsoft.com/office/drawing/2014/main" id="{90D4B864-FDD6-4636-9A3A-69A5394B58D8}"/>
            </a:ext>
          </a:extLst>
        </xdr:cNvPr>
        <xdr:cNvSpPr txBox="1"/>
      </xdr:nvSpPr>
      <xdr:spPr bwMode="auto">
        <a:xfrm>
          <a:off x="69169569" y="1173668"/>
          <a:ext cx="568914" cy="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9</xdr:col>
      <xdr:colOff>1</xdr:colOff>
      <xdr:row>37</xdr:row>
      <xdr:rowOff>0</xdr:rowOff>
    </xdr:from>
    <xdr:to>
      <xdr:col>14</xdr:col>
      <xdr:colOff>1</xdr:colOff>
      <xdr:row>41</xdr:row>
      <xdr:rowOff>0</xdr:rowOff>
    </xdr:to>
    <xdr:sp macro="" textlink="">
      <xdr:nvSpPr>
        <xdr:cNvPr id="9" name="Textfeld 319">
          <a:extLst>
            <a:ext uri="{FF2B5EF4-FFF2-40B4-BE49-F238E27FC236}">
              <a16:creationId xmlns:a16="http://schemas.microsoft.com/office/drawing/2014/main" id="{CDF38CAA-CB21-4611-AFAD-5BCC48A377DB}"/>
            </a:ext>
          </a:extLst>
        </xdr:cNvPr>
        <xdr:cNvSpPr txBox="1"/>
      </xdr:nvSpPr>
      <xdr:spPr>
        <a:xfrm>
          <a:off x="10210801" y="6202680"/>
          <a:ext cx="612648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9</xdr:col>
      <xdr:colOff>0</xdr:colOff>
      <xdr:row>61</xdr:row>
      <xdr:rowOff>1</xdr:rowOff>
    </xdr:from>
    <xdr:to>
      <xdr:col>14</xdr:col>
      <xdr:colOff>0</xdr:colOff>
      <xdr:row>65</xdr:row>
      <xdr:rowOff>0</xdr:rowOff>
    </xdr:to>
    <xdr:sp macro="" textlink="">
      <xdr:nvSpPr>
        <xdr:cNvPr id="10" name="Textfeld 319">
          <a:extLst>
            <a:ext uri="{FF2B5EF4-FFF2-40B4-BE49-F238E27FC236}">
              <a16:creationId xmlns:a16="http://schemas.microsoft.com/office/drawing/2014/main" id="{5DECDDF4-7B73-4057-AD07-E77334C19F34}"/>
            </a:ext>
          </a:extLst>
        </xdr:cNvPr>
        <xdr:cNvSpPr txBox="1"/>
      </xdr:nvSpPr>
      <xdr:spPr>
        <a:xfrm>
          <a:off x="10210800" y="10226041"/>
          <a:ext cx="5105400" cy="67055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16</xdr:col>
      <xdr:colOff>1</xdr:colOff>
      <xdr:row>13</xdr:row>
      <xdr:rowOff>0</xdr:rowOff>
    </xdr:from>
    <xdr:to>
      <xdr:col>21</xdr:col>
      <xdr:colOff>0</xdr:colOff>
      <xdr:row>17</xdr:row>
      <xdr:rowOff>0</xdr:rowOff>
    </xdr:to>
    <xdr:sp macro="" textlink="">
      <xdr:nvSpPr>
        <xdr:cNvPr id="11" name="Textfeld 340">
          <a:extLst>
            <a:ext uri="{FF2B5EF4-FFF2-40B4-BE49-F238E27FC236}">
              <a16:creationId xmlns:a16="http://schemas.microsoft.com/office/drawing/2014/main" id="{8C5DB1D7-BA56-45FE-9734-0D2F737C6DBC}"/>
            </a:ext>
          </a:extLst>
        </xdr:cNvPr>
        <xdr:cNvSpPr txBox="1"/>
      </xdr:nvSpPr>
      <xdr:spPr>
        <a:xfrm>
          <a:off x="18379441" y="2179320"/>
          <a:ext cx="510539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23</xdr:col>
      <xdr:colOff>1</xdr:colOff>
      <xdr:row>13</xdr:row>
      <xdr:rowOff>0</xdr:rowOff>
    </xdr:from>
    <xdr:to>
      <xdr:col>28</xdr:col>
      <xdr:colOff>0</xdr:colOff>
      <xdr:row>17</xdr:row>
      <xdr:rowOff>0</xdr:rowOff>
    </xdr:to>
    <xdr:sp macro="" textlink="">
      <xdr:nvSpPr>
        <xdr:cNvPr id="12" name="Textfeld 340">
          <a:extLst>
            <a:ext uri="{FF2B5EF4-FFF2-40B4-BE49-F238E27FC236}">
              <a16:creationId xmlns:a16="http://schemas.microsoft.com/office/drawing/2014/main" id="{8FAAF8D2-ABCB-496E-BA74-DECE38EF2477}"/>
            </a:ext>
          </a:extLst>
        </xdr:cNvPr>
        <xdr:cNvSpPr txBox="1"/>
      </xdr:nvSpPr>
      <xdr:spPr>
        <a:xfrm>
          <a:off x="26548081" y="2179320"/>
          <a:ext cx="510539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23</xdr:col>
      <xdr:colOff>2</xdr:colOff>
      <xdr:row>37</xdr:row>
      <xdr:rowOff>0</xdr:rowOff>
    </xdr:from>
    <xdr:to>
      <xdr:col>26</xdr:col>
      <xdr:colOff>0</xdr:colOff>
      <xdr:row>41</xdr:row>
      <xdr:rowOff>0</xdr:rowOff>
    </xdr:to>
    <xdr:sp macro="" textlink="">
      <xdr:nvSpPr>
        <xdr:cNvPr id="13" name="Textfeld 319">
          <a:extLst>
            <a:ext uri="{FF2B5EF4-FFF2-40B4-BE49-F238E27FC236}">
              <a16:creationId xmlns:a16="http://schemas.microsoft.com/office/drawing/2014/main" id="{C2FFB1EA-B1B5-4432-91DB-4E83B633DECA}"/>
            </a:ext>
          </a:extLst>
        </xdr:cNvPr>
        <xdr:cNvSpPr txBox="1"/>
      </xdr:nvSpPr>
      <xdr:spPr>
        <a:xfrm>
          <a:off x="26548082" y="6202680"/>
          <a:ext cx="3063238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23</xdr:col>
      <xdr:colOff>1</xdr:colOff>
      <xdr:row>61</xdr:row>
      <xdr:rowOff>1</xdr:rowOff>
    </xdr:from>
    <xdr:to>
      <xdr:col>26</xdr:col>
      <xdr:colOff>0</xdr:colOff>
      <xdr:row>65</xdr:row>
      <xdr:rowOff>0</xdr:rowOff>
    </xdr:to>
    <xdr:sp macro="" textlink="">
      <xdr:nvSpPr>
        <xdr:cNvPr id="14" name="Textfeld 319">
          <a:extLst>
            <a:ext uri="{FF2B5EF4-FFF2-40B4-BE49-F238E27FC236}">
              <a16:creationId xmlns:a16="http://schemas.microsoft.com/office/drawing/2014/main" id="{1392E2D4-17B2-44B3-BD00-0B25D833C6BB}"/>
            </a:ext>
          </a:extLst>
        </xdr:cNvPr>
        <xdr:cNvSpPr txBox="1"/>
      </xdr:nvSpPr>
      <xdr:spPr>
        <a:xfrm>
          <a:off x="26548081" y="10226041"/>
          <a:ext cx="3063239" cy="67055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29</xdr:col>
      <xdr:colOff>276224</xdr:colOff>
      <xdr:row>13</xdr:row>
      <xdr:rowOff>0</xdr:rowOff>
    </xdr:from>
    <xdr:to>
      <xdr:col>33</xdr:col>
      <xdr:colOff>0</xdr:colOff>
      <xdr:row>17</xdr:row>
      <xdr:rowOff>0</xdr:rowOff>
    </xdr:to>
    <xdr:sp macro="" textlink="">
      <xdr:nvSpPr>
        <xdr:cNvPr id="15" name="Textfeld 340">
          <a:extLst>
            <a:ext uri="{FF2B5EF4-FFF2-40B4-BE49-F238E27FC236}">
              <a16:creationId xmlns:a16="http://schemas.microsoft.com/office/drawing/2014/main" id="{6F836298-16AA-455B-8E52-4BEECE053253}"/>
            </a:ext>
          </a:extLst>
        </xdr:cNvPr>
        <xdr:cNvSpPr txBox="1"/>
      </xdr:nvSpPr>
      <xdr:spPr>
        <a:xfrm>
          <a:off x="33971864" y="2179320"/>
          <a:ext cx="3808096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30</xdr:col>
      <xdr:colOff>0</xdr:colOff>
      <xdr:row>37</xdr:row>
      <xdr:rowOff>0</xdr:rowOff>
    </xdr:from>
    <xdr:to>
      <xdr:col>33</xdr:col>
      <xdr:colOff>0</xdr:colOff>
      <xdr:row>41</xdr:row>
      <xdr:rowOff>0</xdr:rowOff>
    </xdr:to>
    <xdr:sp macro="" textlink="">
      <xdr:nvSpPr>
        <xdr:cNvPr id="16" name="Textfeld 319">
          <a:extLst>
            <a:ext uri="{FF2B5EF4-FFF2-40B4-BE49-F238E27FC236}">
              <a16:creationId xmlns:a16="http://schemas.microsoft.com/office/drawing/2014/main" id="{E12AF1C6-C51B-41E4-B06F-DB3D2BDDE72F}"/>
            </a:ext>
          </a:extLst>
        </xdr:cNvPr>
        <xdr:cNvSpPr txBox="1"/>
      </xdr:nvSpPr>
      <xdr:spPr>
        <a:xfrm>
          <a:off x="34716720" y="6202680"/>
          <a:ext cx="306324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29</xdr:col>
      <xdr:colOff>276224</xdr:colOff>
      <xdr:row>61</xdr:row>
      <xdr:rowOff>1</xdr:rowOff>
    </xdr:from>
    <xdr:to>
      <xdr:col>35</xdr:col>
      <xdr:colOff>0</xdr:colOff>
      <xdr:row>65</xdr:row>
      <xdr:rowOff>0</xdr:rowOff>
    </xdr:to>
    <xdr:sp macro="" textlink="">
      <xdr:nvSpPr>
        <xdr:cNvPr id="17" name="Textfeld 319">
          <a:extLst>
            <a:ext uri="{FF2B5EF4-FFF2-40B4-BE49-F238E27FC236}">
              <a16:creationId xmlns:a16="http://schemas.microsoft.com/office/drawing/2014/main" id="{30BB6628-3076-4974-BBD1-01682DE143F9}"/>
            </a:ext>
          </a:extLst>
        </xdr:cNvPr>
        <xdr:cNvSpPr txBox="1"/>
      </xdr:nvSpPr>
      <xdr:spPr>
        <a:xfrm>
          <a:off x="33971864" y="10226041"/>
          <a:ext cx="5850256" cy="67055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13</xdr:col>
      <xdr:colOff>345830</xdr:colOff>
      <xdr:row>35</xdr:row>
      <xdr:rowOff>0</xdr:rowOff>
    </xdr:from>
    <xdr:to>
      <xdr:col>15</xdr:col>
      <xdr:colOff>0</xdr:colOff>
      <xdr:row>38</xdr:row>
      <xdr:rowOff>4317</xdr:rowOff>
    </xdr:to>
    <xdr:sp macro="" textlink="">
      <xdr:nvSpPr>
        <xdr:cNvPr id="18" name="Rechteck 302">
          <a:extLst>
            <a:ext uri="{FF2B5EF4-FFF2-40B4-BE49-F238E27FC236}">
              <a16:creationId xmlns:a16="http://schemas.microsoft.com/office/drawing/2014/main" id="{40394C42-0BB8-4660-A907-2E99B160F219}"/>
            </a:ext>
          </a:extLst>
        </xdr:cNvPr>
        <xdr:cNvSpPr/>
      </xdr:nvSpPr>
      <xdr:spPr bwMode="auto">
        <a:xfrm>
          <a:off x="14640950" y="5867400"/>
          <a:ext cx="2717410" cy="507237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21</xdr:col>
      <xdr:colOff>0</xdr:colOff>
      <xdr:row>35</xdr:row>
      <xdr:rowOff>0</xdr:rowOff>
    </xdr:from>
    <xdr:to>
      <xdr:col>21</xdr:col>
      <xdr:colOff>273326</xdr:colOff>
      <xdr:row>38</xdr:row>
      <xdr:rowOff>11232</xdr:rowOff>
    </xdr:to>
    <xdr:sp macro="" textlink="">
      <xdr:nvSpPr>
        <xdr:cNvPr id="19" name="Rechteck 302">
          <a:extLst>
            <a:ext uri="{FF2B5EF4-FFF2-40B4-BE49-F238E27FC236}">
              <a16:creationId xmlns:a16="http://schemas.microsoft.com/office/drawing/2014/main" id="{C601A505-D25B-4B9E-BD71-AA3595712C30}"/>
            </a:ext>
          </a:extLst>
        </xdr:cNvPr>
        <xdr:cNvSpPr/>
      </xdr:nvSpPr>
      <xdr:spPr bwMode="auto">
        <a:xfrm>
          <a:off x="24505920" y="5867400"/>
          <a:ext cx="273326" cy="514152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273326</xdr:colOff>
      <xdr:row>38</xdr:row>
      <xdr:rowOff>11232</xdr:rowOff>
    </xdr:to>
    <xdr:sp macro="" textlink="">
      <xdr:nvSpPr>
        <xdr:cNvPr id="20" name="Rechteck 302">
          <a:extLst>
            <a:ext uri="{FF2B5EF4-FFF2-40B4-BE49-F238E27FC236}">
              <a16:creationId xmlns:a16="http://schemas.microsoft.com/office/drawing/2014/main" id="{4CBBE823-5DA8-45D9-82AF-BF3F4D93ABAB}"/>
            </a:ext>
          </a:extLst>
        </xdr:cNvPr>
        <xdr:cNvSpPr/>
      </xdr:nvSpPr>
      <xdr:spPr bwMode="auto">
        <a:xfrm>
          <a:off x="32674560" y="5867400"/>
          <a:ext cx="273326" cy="514152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35</xdr:col>
      <xdr:colOff>273326</xdr:colOff>
      <xdr:row>38</xdr:row>
      <xdr:rowOff>11232</xdr:rowOff>
    </xdr:to>
    <xdr:sp macro="" textlink="">
      <xdr:nvSpPr>
        <xdr:cNvPr id="21" name="Rechteck 302">
          <a:extLst>
            <a:ext uri="{FF2B5EF4-FFF2-40B4-BE49-F238E27FC236}">
              <a16:creationId xmlns:a16="http://schemas.microsoft.com/office/drawing/2014/main" id="{97513D5E-30DF-4AC8-9FB5-E12E3688E326}"/>
            </a:ext>
          </a:extLst>
        </xdr:cNvPr>
        <xdr:cNvSpPr/>
      </xdr:nvSpPr>
      <xdr:spPr bwMode="auto">
        <a:xfrm>
          <a:off x="39822120" y="5867400"/>
          <a:ext cx="273326" cy="514152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35</xdr:col>
      <xdr:colOff>0</xdr:colOff>
      <xdr:row>19</xdr:row>
      <xdr:rowOff>0</xdr:rowOff>
    </xdr:from>
    <xdr:to>
      <xdr:col>35</xdr:col>
      <xdr:colOff>273326</xdr:colOff>
      <xdr:row>21</xdr:row>
      <xdr:rowOff>12425</xdr:rowOff>
    </xdr:to>
    <xdr:sp macro="" textlink="">
      <xdr:nvSpPr>
        <xdr:cNvPr id="22" name="Rechteck 311">
          <a:extLst>
            <a:ext uri="{FF2B5EF4-FFF2-40B4-BE49-F238E27FC236}">
              <a16:creationId xmlns:a16="http://schemas.microsoft.com/office/drawing/2014/main" id="{BD0868B5-FD73-4D7E-B9BD-C0FACFAD7551}"/>
            </a:ext>
          </a:extLst>
        </xdr:cNvPr>
        <xdr:cNvSpPr/>
      </xdr:nvSpPr>
      <xdr:spPr bwMode="auto">
        <a:xfrm>
          <a:off x="39822120" y="3185160"/>
          <a:ext cx="273326" cy="347705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273326</xdr:colOff>
      <xdr:row>21</xdr:row>
      <xdr:rowOff>12425</xdr:rowOff>
    </xdr:to>
    <xdr:sp macro="" textlink="">
      <xdr:nvSpPr>
        <xdr:cNvPr id="23" name="Rechteck 311">
          <a:extLst>
            <a:ext uri="{FF2B5EF4-FFF2-40B4-BE49-F238E27FC236}">
              <a16:creationId xmlns:a16="http://schemas.microsoft.com/office/drawing/2014/main" id="{FE1EF652-9CB6-4C06-AC4F-6C98CCFCE41C}"/>
            </a:ext>
          </a:extLst>
        </xdr:cNvPr>
        <xdr:cNvSpPr/>
      </xdr:nvSpPr>
      <xdr:spPr bwMode="auto">
        <a:xfrm>
          <a:off x="32674560" y="3185160"/>
          <a:ext cx="273326" cy="347705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273326</xdr:colOff>
      <xdr:row>21</xdr:row>
      <xdr:rowOff>12425</xdr:rowOff>
    </xdr:to>
    <xdr:sp macro="" textlink="">
      <xdr:nvSpPr>
        <xdr:cNvPr id="24" name="Rechteck 311">
          <a:extLst>
            <a:ext uri="{FF2B5EF4-FFF2-40B4-BE49-F238E27FC236}">
              <a16:creationId xmlns:a16="http://schemas.microsoft.com/office/drawing/2014/main" id="{A14AFA09-76E1-4A09-B75F-973F8C309276}"/>
            </a:ext>
          </a:extLst>
        </xdr:cNvPr>
        <xdr:cNvSpPr/>
      </xdr:nvSpPr>
      <xdr:spPr bwMode="auto">
        <a:xfrm>
          <a:off x="24505920" y="3185160"/>
          <a:ext cx="273326" cy="347705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13</xdr:col>
      <xdr:colOff>338504</xdr:colOff>
      <xdr:row>18</xdr:row>
      <xdr:rowOff>99646</xdr:rowOff>
    </xdr:from>
    <xdr:to>
      <xdr:col>15</xdr:col>
      <xdr:colOff>0</xdr:colOff>
      <xdr:row>21</xdr:row>
      <xdr:rowOff>0</xdr:rowOff>
    </xdr:to>
    <xdr:sp macro="" textlink="">
      <xdr:nvSpPr>
        <xdr:cNvPr id="25" name="Rechteck 311">
          <a:extLst>
            <a:ext uri="{FF2B5EF4-FFF2-40B4-BE49-F238E27FC236}">
              <a16:creationId xmlns:a16="http://schemas.microsoft.com/office/drawing/2014/main" id="{F0047146-D1CE-4449-8D65-E58EE4E078F4}"/>
            </a:ext>
          </a:extLst>
        </xdr:cNvPr>
        <xdr:cNvSpPr/>
      </xdr:nvSpPr>
      <xdr:spPr bwMode="auto">
        <a:xfrm>
          <a:off x="14633624" y="3117166"/>
          <a:ext cx="2724736" cy="403274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21</xdr:col>
      <xdr:colOff>0</xdr:colOff>
      <xdr:row>18</xdr:row>
      <xdr:rowOff>0</xdr:rowOff>
    </xdr:to>
    <xdr:sp macro="" textlink="">
      <xdr:nvSpPr>
        <xdr:cNvPr id="26" name="Textfeld 52">
          <a:extLst>
            <a:ext uri="{FF2B5EF4-FFF2-40B4-BE49-F238E27FC236}">
              <a16:creationId xmlns:a16="http://schemas.microsoft.com/office/drawing/2014/main" id="{92955D3C-F334-4183-9C1F-F80A3A255F89}"/>
            </a:ext>
          </a:extLst>
        </xdr:cNvPr>
        <xdr:cNvSpPr txBox="1"/>
      </xdr:nvSpPr>
      <xdr:spPr bwMode="auto">
        <a:xfrm>
          <a:off x="18379440" y="284988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28</xdr:col>
      <xdr:colOff>0</xdr:colOff>
      <xdr:row>18</xdr:row>
      <xdr:rowOff>0</xdr:rowOff>
    </xdr:to>
    <xdr:sp macro="" textlink="">
      <xdr:nvSpPr>
        <xdr:cNvPr id="27" name="Textfeld 52">
          <a:extLst>
            <a:ext uri="{FF2B5EF4-FFF2-40B4-BE49-F238E27FC236}">
              <a16:creationId xmlns:a16="http://schemas.microsoft.com/office/drawing/2014/main" id="{5CD6FD64-58A1-4B89-9578-4C4E9A4CE3CB}"/>
            </a:ext>
          </a:extLst>
        </xdr:cNvPr>
        <xdr:cNvSpPr txBox="1"/>
      </xdr:nvSpPr>
      <xdr:spPr bwMode="auto">
        <a:xfrm>
          <a:off x="26548080" y="284988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0</xdr:colOff>
      <xdr:row>18</xdr:row>
      <xdr:rowOff>0</xdr:rowOff>
    </xdr:to>
    <xdr:sp macro="" textlink="">
      <xdr:nvSpPr>
        <xdr:cNvPr id="28" name="Textfeld 52">
          <a:extLst>
            <a:ext uri="{FF2B5EF4-FFF2-40B4-BE49-F238E27FC236}">
              <a16:creationId xmlns:a16="http://schemas.microsoft.com/office/drawing/2014/main" id="{58927E86-946E-4D7C-9794-D7FCB4FD14EF}"/>
            </a:ext>
          </a:extLst>
        </xdr:cNvPr>
        <xdr:cNvSpPr txBox="1"/>
      </xdr:nvSpPr>
      <xdr:spPr bwMode="auto">
        <a:xfrm>
          <a:off x="34716720" y="2849880"/>
          <a:ext cx="306324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30</xdr:col>
      <xdr:colOff>0</xdr:colOff>
      <xdr:row>69</xdr:row>
      <xdr:rowOff>0</xdr:rowOff>
    </xdr:from>
    <xdr:to>
      <xdr:col>35</xdr:col>
      <xdr:colOff>0</xdr:colOff>
      <xdr:row>75</xdr:row>
      <xdr:rowOff>0</xdr:rowOff>
    </xdr:to>
    <xdr:sp macro="" textlink="">
      <xdr:nvSpPr>
        <xdr:cNvPr id="29" name="Textfeld 247">
          <a:extLst>
            <a:ext uri="{FF2B5EF4-FFF2-40B4-BE49-F238E27FC236}">
              <a16:creationId xmlns:a16="http://schemas.microsoft.com/office/drawing/2014/main" id="{84D5365B-9AE3-4D4F-BA05-34D89CCAABF6}"/>
            </a:ext>
          </a:extLst>
        </xdr:cNvPr>
        <xdr:cNvSpPr txBox="1"/>
      </xdr:nvSpPr>
      <xdr:spPr>
        <a:xfrm>
          <a:off x="34716720" y="11567160"/>
          <a:ext cx="5105400" cy="100584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WPD</a:t>
          </a: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Fw </a:t>
          </a:r>
          <a:r>
            <a:rPr lang="de-CH" sz="7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 Ukft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75</xdr:row>
      <xdr:rowOff>0</xdr:rowOff>
    </xdr:from>
    <xdr:to>
      <xdr:col>35</xdr:col>
      <xdr:colOff>0</xdr:colOff>
      <xdr:row>79</xdr:row>
      <xdr:rowOff>0</xdr:rowOff>
    </xdr:to>
    <xdr:sp macro="" textlink="">
      <xdr:nvSpPr>
        <xdr:cNvPr id="30" name="Textfeld 433">
          <a:extLst>
            <a:ext uri="{FF2B5EF4-FFF2-40B4-BE49-F238E27FC236}">
              <a16:creationId xmlns:a16="http://schemas.microsoft.com/office/drawing/2014/main" id="{5E9590DE-8286-4127-B6DA-9F85C8E38CFD}"/>
            </a:ext>
          </a:extLst>
        </xdr:cNvPr>
        <xdr:cNvSpPr txBox="1"/>
      </xdr:nvSpPr>
      <xdr:spPr>
        <a:xfrm>
          <a:off x="34716720" y="12573000"/>
          <a:ext cx="510540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79</xdr:row>
      <xdr:rowOff>0</xdr:rowOff>
    </xdr:from>
    <xdr:to>
      <xdr:col>35</xdr:col>
      <xdr:colOff>0</xdr:colOff>
      <xdr:row>79</xdr:row>
      <xdr:rowOff>99391</xdr:rowOff>
    </xdr:to>
    <xdr:sp macro="" textlink="">
      <xdr:nvSpPr>
        <xdr:cNvPr id="31" name="Textfeld 421">
          <a:extLst>
            <a:ext uri="{FF2B5EF4-FFF2-40B4-BE49-F238E27FC236}">
              <a16:creationId xmlns:a16="http://schemas.microsoft.com/office/drawing/2014/main" id="{A5D41FE9-732B-4479-9031-A1AF563DFBCC}"/>
            </a:ext>
          </a:extLst>
        </xdr:cNvPr>
        <xdr:cNvSpPr txBox="1"/>
      </xdr:nvSpPr>
      <xdr:spPr bwMode="auto">
        <a:xfrm>
          <a:off x="34716720" y="13243560"/>
          <a:ext cx="5105400" cy="99391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14</xdr:col>
      <xdr:colOff>0</xdr:colOff>
      <xdr:row>79</xdr:row>
      <xdr:rowOff>0</xdr:rowOff>
    </xdr:to>
    <xdr:sp macro="" textlink="">
      <xdr:nvSpPr>
        <xdr:cNvPr id="32" name="Textfeld 433">
          <a:extLst>
            <a:ext uri="{FF2B5EF4-FFF2-40B4-BE49-F238E27FC236}">
              <a16:creationId xmlns:a16="http://schemas.microsoft.com/office/drawing/2014/main" id="{AF8CCD01-8AEE-4AAB-9A1D-2DA1AF979F37}"/>
            </a:ext>
          </a:extLst>
        </xdr:cNvPr>
        <xdr:cNvSpPr txBox="1"/>
      </xdr:nvSpPr>
      <xdr:spPr>
        <a:xfrm>
          <a:off x="10210800" y="12573000"/>
          <a:ext cx="510540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79</xdr:row>
      <xdr:rowOff>0</xdr:rowOff>
    </xdr:from>
    <xdr:to>
      <xdr:col>14</xdr:col>
      <xdr:colOff>0</xdr:colOff>
      <xdr:row>80</xdr:row>
      <xdr:rowOff>3313</xdr:rowOff>
    </xdr:to>
    <xdr:sp macro="" textlink="">
      <xdr:nvSpPr>
        <xdr:cNvPr id="33" name="Textfeld 421">
          <a:extLst>
            <a:ext uri="{FF2B5EF4-FFF2-40B4-BE49-F238E27FC236}">
              <a16:creationId xmlns:a16="http://schemas.microsoft.com/office/drawing/2014/main" id="{C96F3D36-D869-4512-ABAE-42D48AED1816}"/>
            </a:ext>
          </a:extLst>
        </xdr:cNvPr>
        <xdr:cNvSpPr txBox="1"/>
      </xdr:nvSpPr>
      <xdr:spPr bwMode="auto">
        <a:xfrm>
          <a:off x="10210800" y="13243560"/>
          <a:ext cx="510540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23</xdr:col>
      <xdr:colOff>0</xdr:colOff>
      <xdr:row>75</xdr:row>
      <xdr:rowOff>0</xdr:rowOff>
    </xdr:from>
    <xdr:to>
      <xdr:col>26</xdr:col>
      <xdr:colOff>0</xdr:colOff>
      <xdr:row>79</xdr:row>
      <xdr:rowOff>0</xdr:rowOff>
    </xdr:to>
    <xdr:sp macro="" textlink="">
      <xdr:nvSpPr>
        <xdr:cNvPr id="34" name="Textfeld 433">
          <a:extLst>
            <a:ext uri="{FF2B5EF4-FFF2-40B4-BE49-F238E27FC236}">
              <a16:creationId xmlns:a16="http://schemas.microsoft.com/office/drawing/2014/main" id="{B78393D2-7D75-4F69-A7F1-FA078425D6BD}"/>
            </a:ext>
          </a:extLst>
        </xdr:cNvPr>
        <xdr:cNvSpPr txBox="1"/>
      </xdr:nvSpPr>
      <xdr:spPr>
        <a:xfrm>
          <a:off x="26548080" y="12573000"/>
          <a:ext cx="306324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79</xdr:row>
      <xdr:rowOff>0</xdr:rowOff>
    </xdr:from>
    <xdr:to>
      <xdr:col>26</xdr:col>
      <xdr:colOff>0</xdr:colOff>
      <xdr:row>80</xdr:row>
      <xdr:rowOff>3313</xdr:rowOff>
    </xdr:to>
    <xdr:sp macro="" textlink="">
      <xdr:nvSpPr>
        <xdr:cNvPr id="35" name="Textfeld 421">
          <a:extLst>
            <a:ext uri="{FF2B5EF4-FFF2-40B4-BE49-F238E27FC236}">
              <a16:creationId xmlns:a16="http://schemas.microsoft.com/office/drawing/2014/main" id="{F8A588C4-93A1-4905-89DD-505B3430D45C}"/>
            </a:ext>
          </a:extLst>
        </xdr:cNvPr>
        <xdr:cNvSpPr txBox="1"/>
      </xdr:nvSpPr>
      <xdr:spPr bwMode="auto">
        <a:xfrm>
          <a:off x="26548080" y="13243560"/>
          <a:ext cx="306324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37</xdr:col>
      <xdr:colOff>0</xdr:colOff>
      <xdr:row>9</xdr:row>
      <xdr:rowOff>0</xdr:rowOff>
    </xdr:from>
    <xdr:to>
      <xdr:col>41</xdr:col>
      <xdr:colOff>190499</xdr:colOff>
      <xdr:row>13</xdr:row>
      <xdr:rowOff>0</xdr:rowOff>
    </xdr:to>
    <xdr:sp macro="" textlink="">
      <xdr:nvSpPr>
        <xdr:cNvPr id="36" name="Textfeld 340">
          <a:extLst>
            <a:ext uri="{FF2B5EF4-FFF2-40B4-BE49-F238E27FC236}">
              <a16:creationId xmlns:a16="http://schemas.microsoft.com/office/drawing/2014/main" id="{FC16AA14-6831-4E98-A0CF-E828772E5804}"/>
            </a:ext>
          </a:extLst>
        </xdr:cNvPr>
        <xdr:cNvSpPr txBox="1"/>
      </xdr:nvSpPr>
      <xdr:spPr>
        <a:xfrm>
          <a:off x="41864280" y="1508760"/>
          <a:ext cx="529589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37</xdr:col>
      <xdr:colOff>0</xdr:colOff>
      <xdr:row>16</xdr:row>
      <xdr:rowOff>0</xdr:rowOff>
    </xdr:from>
    <xdr:to>
      <xdr:col>42</xdr:col>
      <xdr:colOff>0</xdr:colOff>
      <xdr:row>45</xdr:row>
      <xdr:rowOff>47625</xdr:rowOff>
    </xdr:to>
    <xdr:sp macro="" textlink="">
      <xdr:nvSpPr>
        <xdr:cNvPr id="37" name="Textfeld 51">
          <a:extLst>
            <a:ext uri="{FF2B5EF4-FFF2-40B4-BE49-F238E27FC236}">
              <a16:creationId xmlns:a16="http://schemas.microsoft.com/office/drawing/2014/main" id="{135A4260-3E31-4261-B234-1B3D2E1298DB}"/>
            </a:ext>
          </a:extLst>
        </xdr:cNvPr>
        <xdr:cNvSpPr txBox="1"/>
      </xdr:nvSpPr>
      <xdr:spPr>
        <a:xfrm>
          <a:off x="41864280" y="2682240"/>
          <a:ext cx="6126480" cy="4909185"/>
        </a:xfrm>
        <a:prstGeom prst="flowChartDocumen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Nacharbeit / Nachholer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HV spätestens 1200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28</xdr:row>
      <xdr:rowOff>99645</xdr:rowOff>
    </xdr:from>
    <xdr:to>
      <xdr:col>3</xdr:col>
      <xdr:colOff>3664</xdr:colOff>
      <xdr:row>62</xdr:row>
      <xdr:rowOff>99645</xdr:rowOff>
    </xdr:to>
    <xdr:sp macro="" textlink="">
      <xdr:nvSpPr>
        <xdr:cNvPr id="38" name="Textfeld 107">
          <a:extLst>
            <a:ext uri="{FF2B5EF4-FFF2-40B4-BE49-F238E27FC236}">
              <a16:creationId xmlns:a16="http://schemas.microsoft.com/office/drawing/2014/main" id="{205A776D-7323-4193-B2F2-18E91132E8FF}"/>
            </a:ext>
          </a:extLst>
        </xdr:cNvPr>
        <xdr:cNvSpPr txBox="1"/>
      </xdr:nvSpPr>
      <xdr:spPr>
        <a:xfrm>
          <a:off x="2042160" y="4793565"/>
          <a:ext cx="1024744" cy="569976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 Org, Identifikation, Triage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Mob Platz, Einh Four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39" name="Textfeld 107">
          <a:extLst>
            <a:ext uri="{FF2B5EF4-FFF2-40B4-BE49-F238E27FC236}">
              <a16:creationId xmlns:a16="http://schemas.microsoft.com/office/drawing/2014/main" id="{D14E5213-B55F-4A3E-9D2B-90D65BCFCA38}"/>
            </a:ext>
          </a:extLst>
        </xdr:cNvPr>
        <xdr:cNvSpPr txBox="1"/>
      </xdr:nvSpPr>
      <xdr:spPr>
        <a:xfrm>
          <a:off x="2042160" y="4191000"/>
          <a:ext cx="1021080" cy="67056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15</xdr:row>
      <xdr:rowOff>1</xdr:rowOff>
    </xdr:to>
    <xdr:sp macro="" textlink="">
      <xdr:nvSpPr>
        <xdr:cNvPr id="40" name="Textfeld 107">
          <a:extLst>
            <a:ext uri="{FF2B5EF4-FFF2-40B4-BE49-F238E27FC236}">
              <a16:creationId xmlns:a16="http://schemas.microsoft.com/office/drawing/2014/main" id="{C8BF81CC-1B81-4E23-8EDC-66D1532EC97E}"/>
            </a:ext>
          </a:extLst>
        </xdr:cNvPr>
        <xdr:cNvSpPr txBox="1"/>
      </xdr:nvSpPr>
      <xdr:spPr>
        <a:xfrm>
          <a:off x="3063240" y="1173480"/>
          <a:ext cx="1021080" cy="134112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ücken</a:t>
          </a:r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am</a:t>
          </a:r>
        </a:p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Sonntagabend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24</xdr:row>
      <xdr:rowOff>99646</xdr:rowOff>
    </xdr:to>
    <xdr:sp macro="" textlink="">
      <xdr:nvSpPr>
        <xdr:cNvPr id="41" name="Textfeld 107">
          <a:extLst>
            <a:ext uri="{FF2B5EF4-FFF2-40B4-BE49-F238E27FC236}">
              <a16:creationId xmlns:a16="http://schemas.microsoft.com/office/drawing/2014/main" id="{DD4DD9AF-FFAF-470F-97F7-F2569D6E553C}"/>
            </a:ext>
          </a:extLst>
        </xdr:cNvPr>
        <xdr:cNvSpPr txBox="1"/>
      </xdr:nvSpPr>
      <xdr:spPr>
        <a:xfrm>
          <a:off x="3063240" y="2514600"/>
          <a:ext cx="1021080" cy="16084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endParaRPr lang="en-CH" sz="800" b="1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Bonaduz - Rivera</a:t>
          </a:r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31</xdr:row>
      <xdr:rowOff>1</xdr:rowOff>
    </xdr:from>
    <xdr:to>
      <xdr:col>6</xdr:col>
      <xdr:colOff>0</xdr:colOff>
      <xdr:row>35</xdr:row>
      <xdr:rowOff>0</xdr:rowOff>
    </xdr:to>
    <xdr:sp macro="" textlink="">
      <xdr:nvSpPr>
        <xdr:cNvPr id="42" name="Textfeld 107">
          <a:extLst>
            <a:ext uri="{FF2B5EF4-FFF2-40B4-BE49-F238E27FC236}">
              <a16:creationId xmlns:a16="http://schemas.microsoft.com/office/drawing/2014/main" id="{87B51CA5-B237-4DBB-B495-62AE6FA99C9F}"/>
            </a:ext>
          </a:extLst>
        </xdr:cNvPr>
        <xdr:cNvSpPr txBox="1"/>
      </xdr:nvSpPr>
      <xdr:spPr>
        <a:xfrm>
          <a:off x="5105400" y="5196841"/>
          <a:ext cx="1021080" cy="67055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0</xdr:colOff>
      <xdr:row>24</xdr:row>
      <xdr:rowOff>99646</xdr:rowOff>
    </xdr:from>
    <xdr:to>
      <xdr:col>4</xdr:col>
      <xdr:colOff>0</xdr:colOff>
      <xdr:row>63</xdr:row>
      <xdr:rowOff>0</xdr:rowOff>
    </xdr:to>
    <xdr:sp macro="" textlink="">
      <xdr:nvSpPr>
        <xdr:cNvPr id="43" name="Textfeld 107">
          <a:extLst>
            <a:ext uri="{FF2B5EF4-FFF2-40B4-BE49-F238E27FC236}">
              <a16:creationId xmlns:a16="http://schemas.microsoft.com/office/drawing/2014/main" id="{2FB7CE96-4685-4A1E-9D6D-A3728002E673}"/>
            </a:ext>
          </a:extLst>
        </xdr:cNvPr>
        <xdr:cNvSpPr txBox="1"/>
      </xdr:nvSpPr>
      <xdr:spPr>
        <a:xfrm>
          <a:off x="3063240" y="4123006"/>
          <a:ext cx="1021080" cy="643831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Shuttle Bhf Rivera</a:t>
          </a:r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ALC-M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35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44" name="Textfeld 107">
          <a:extLst>
            <a:ext uri="{FF2B5EF4-FFF2-40B4-BE49-F238E27FC236}">
              <a16:creationId xmlns:a16="http://schemas.microsoft.com/office/drawing/2014/main" id="{A901FA34-8E27-4AF4-8E93-5B7576F7CF94}"/>
            </a:ext>
          </a:extLst>
        </xdr:cNvPr>
        <xdr:cNvSpPr txBox="1"/>
      </xdr:nvSpPr>
      <xdr:spPr>
        <a:xfrm>
          <a:off x="5105400" y="5867400"/>
          <a:ext cx="1021080" cy="46939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Erstausbildung</a:t>
          </a:r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</xdr:colOff>
      <xdr:row>65</xdr:row>
      <xdr:rowOff>1</xdr:rowOff>
    </xdr:from>
    <xdr:to>
      <xdr:col>21</xdr:col>
      <xdr:colOff>0</xdr:colOff>
      <xdr:row>81</xdr:row>
      <xdr:rowOff>1</xdr:rowOff>
    </xdr:to>
    <xdr:sp macro="" textlink="">
      <xdr:nvSpPr>
        <xdr:cNvPr id="45" name="Textfeld 107">
          <a:extLst>
            <a:ext uri="{FF2B5EF4-FFF2-40B4-BE49-F238E27FC236}">
              <a16:creationId xmlns:a16="http://schemas.microsoft.com/office/drawing/2014/main" id="{E4CEB83A-238E-42E7-A662-7F1F9E8E9B11}"/>
            </a:ext>
          </a:extLst>
        </xdr:cNvPr>
        <xdr:cNvSpPr txBox="1"/>
      </xdr:nvSpPr>
      <xdr:spPr>
        <a:xfrm>
          <a:off x="18379441" y="10896601"/>
          <a:ext cx="5105400" cy="268224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FAK Ausgang</a:t>
          </a:r>
        </a:p>
      </xdr:txBody>
    </xdr:sp>
    <xdr:clientData/>
  </xdr:twoCellAnchor>
  <xdr:twoCellAnchor>
    <xdr:from>
      <xdr:col>16</xdr:col>
      <xdr:colOff>0</xdr:colOff>
      <xdr:row>80</xdr:row>
      <xdr:rowOff>91937</xdr:rowOff>
    </xdr:from>
    <xdr:to>
      <xdr:col>21</xdr:col>
      <xdr:colOff>0</xdr:colOff>
      <xdr:row>82</xdr:row>
      <xdr:rowOff>0</xdr:rowOff>
    </xdr:to>
    <xdr:sp macro="" textlink="">
      <xdr:nvSpPr>
        <xdr:cNvPr id="46" name="Textfeld 421">
          <a:extLst>
            <a:ext uri="{FF2B5EF4-FFF2-40B4-BE49-F238E27FC236}">
              <a16:creationId xmlns:a16="http://schemas.microsoft.com/office/drawing/2014/main" id="{EB2DD25E-66C2-438E-B378-1012D89A73EB}"/>
            </a:ext>
          </a:extLst>
        </xdr:cNvPr>
        <xdr:cNvSpPr txBox="1"/>
      </xdr:nvSpPr>
      <xdr:spPr bwMode="auto">
        <a:xfrm>
          <a:off x="18379440" y="13503137"/>
          <a:ext cx="5105400" cy="24334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16</xdr:col>
      <xdr:colOff>0</xdr:colOff>
      <xdr:row>61</xdr:row>
      <xdr:rowOff>0</xdr:rowOff>
    </xdr:from>
    <xdr:to>
      <xdr:col>21</xdr:col>
      <xdr:colOff>0</xdr:colOff>
      <xdr:row>64</xdr:row>
      <xdr:rowOff>0</xdr:rowOff>
    </xdr:to>
    <xdr:sp macro="" textlink="">
      <xdr:nvSpPr>
        <xdr:cNvPr id="47" name="Textfeld 433">
          <a:extLst>
            <a:ext uri="{FF2B5EF4-FFF2-40B4-BE49-F238E27FC236}">
              <a16:creationId xmlns:a16="http://schemas.microsoft.com/office/drawing/2014/main" id="{D5C1D77F-106E-410F-A041-B71D9454373A}"/>
            </a:ext>
          </a:extLst>
        </xdr:cNvPr>
        <xdr:cNvSpPr txBox="1"/>
      </xdr:nvSpPr>
      <xdr:spPr>
        <a:xfrm>
          <a:off x="18379440" y="10226040"/>
          <a:ext cx="5105400" cy="50292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64</xdr:row>
      <xdr:rowOff>0</xdr:rowOff>
    </xdr:from>
    <xdr:to>
      <xdr:col>21</xdr:col>
      <xdr:colOff>0</xdr:colOff>
      <xdr:row>65</xdr:row>
      <xdr:rowOff>0</xdr:rowOff>
    </xdr:to>
    <xdr:sp macro="" textlink="">
      <xdr:nvSpPr>
        <xdr:cNvPr id="48" name="Textfeld 421">
          <a:extLst>
            <a:ext uri="{FF2B5EF4-FFF2-40B4-BE49-F238E27FC236}">
              <a16:creationId xmlns:a16="http://schemas.microsoft.com/office/drawing/2014/main" id="{4BFA6EB3-2061-4004-B3E2-FC28DA8107EB}"/>
            </a:ext>
          </a:extLst>
        </xdr:cNvPr>
        <xdr:cNvSpPr txBox="1"/>
      </xdr:nvSpPr>
      <xdr:spPr bwMode="auto">
        <a:xfrm>
          <a:off x="18379440" y="1072896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HV</a:t>
          </a:r>
        </a:p>
      </xdr:txBody>
    </xdr:sp>
    <xdr:clientData/>
  </xdr:twoCellAnchor>
  <xdr:twoCellAnchor>
    <xdr:from>
      <xdr:col>16</xdr:col>
      <xdr:colOff>0</xdr:colOff>
      <xdr:row>18</xdr:row>
      <xdr:rowOff>0</xdr:rowOff>
    </xdr:from>
    <xdr:to>
      <xdr:col>19</xdr:col>
      <xdr:colOff>0</xdr:colOff>
      <xdr:row>37</xdr:row>
      <xdr:rowOff>0</xdr:rowOff>
    </xdr:to>
    <xdr:sp macro="" textlink="">
      <xdr:nvSpPr>
        <xdr:cNvPr id="49" name="Textfeld 433">
          <a:extLst>
            <a:ext uri="{FF2B5EF4-FFF2-40B4-BE49-F238E27FC236}">
              <a16:creationId xmlns:a16="http://schemas.microsoft.com/office/drawing/2014/main" id="{BCEA676F-0792-4ADD-A74E-0036B408800E}"/>
            </a:ext>
          </a:extLst>
        </xdr:cNvPr>
        <xdr:cNvSpPr txBox="1"/>
      </xdr:nvSpPr>
      <xdr:spPr>
        <a:xfrm>
          <a:off x="1837944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19</xdr:col>
      <xdr:colOff>0</xdr:colOff>
      <xdr:row>61</xdr:row>
      <xdr:rowOff>0</xdr:rowOff>
    </xdr:to>
    <xdr:sp macro="" textlink="">
      <xdr:nvSpPr>
        <xdr:cNvPr id="50" name="Textfeld 433">
          <a:extLst>
            <a:ext uri="{FF2B5EF4-FFF2-40B4-BE49-F238E27FC236}">
              <a16:creationId xmlns:a16="http://schemas.microsoft.com/office/drawing/2014/main" id="{312CD7BF-F432-43DD-BAD5-25BB1CEE8321}"/>
            </a:ext>
          </a:extLst>
        </xdr:cNvPr>
        <xdr:cNvSpPr txBox="1"/>
      </xdr:nvSpPr>
      <xdr:spPr>
        <a:xfrm>
          <a:off x="1837944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37</xdr:row>
      <xdr:rowOff>0</xdr:rowOff>
    </xdr:from>
    <xdr:to>
      <xdr:col>19</xdr:col>
      <xdr:colOff>0</xdr:colOff>
      <xdr:row>41</xdr:row>
      <xdr:rowOff>0</xdr:rowOff>
    </xdr:to>
    <xdr:sp macro="" textlink="">
      <xdr:nvSpPr>
        <xdr:cNvPr id="51" name="Textfeld 319">
          <a:extLst>
            <a:ext uri="{FF2B5EF4-FFF2-40B4-BE49-F238E27FC236}">
              <a16:creationId xmlns:a16="http://schemas.microsoft.com/office/drawing/2014/main" id="{4156EBE3-7D34-4380-B1A2-A36B19A6677B}"/>
            </a:ext>
          </a:extLst>
        </xdr:cNvPr>
        <xdr:cNvSpPr txBox="1"/>
      </xdr:nvSpPr>
      <xdr:spPr>
        <a:xfrm>
          <a:off x="18379440" y="6202680"/>
          <a:ext cx="306324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23</xdr:col>
      <xdr:colOff>0</xdr:colOff>
      <xdr:row>18</xdr:row>
      <xdr:rowOff>0</xdr:rowOff>
    </xdr:from>
    <xdr:to>
      <xdr:col>26</xdr:col>
      <xdr:colOff>0</xdr:colOff>
      <xdr:row>37</xdr:row>
      <xdr:rowOff>0</xdr:rowOff>
    </xdr:to>
    <xdr:sp macro="" textlink="">
      <xdr:nvSpPr>
        <xdr:cNvPr id="52" name="Textfeld 433">
          <a:extLst>
            <a:ext uri="{FF2B5EF4-FFF2-40B4-BE49-F238E27FC236}">
              <a16:creationId xmlns:a16="http://schemas.microsoft.com/office/drawing/2014/main" id="{F17B4AE1-6196-4A14-B30E-4D3E258A3A87}"/>
            </a:ext>
          </a:extLst>
        </xdr:cNvPr>
        <xdr:cNvSpPr txBox="1"/>
      </xdr:nvSpPr>
      <xdr:spPr>
        <a:xfrm>
          <a:off x="2654808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41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" name="Textfeld 433">
          <a:extLst>
            <a:ext uri="{FF2B5EF4-FFF2-40B4-BE49-F238E27FC236}">
              <a16:creationId xmlns:a16="http://schemas.microsoft.com/office/drawing/2014/main" id="{D4C0F3BC-ECBA-4B17-B404-01658B41A0F2}"/>
            </a:ext>
          </a:extLst>
        </xdr:cNvPr>
        <xdr:cNvSpPr txBox="1"/>
      </xdr:nvSpPr>
      <xdr:spPr>
        <a:xfrm>
          <a:off x="2654808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65</xdr:row>
      <xdr:rowOff>0</xdr:rowOff>
    </xdr:from>
    <xdr:to>
      <xdr:col>26</xdr:col>
      <xdr:colOff>0</xdr:colOff>
      <xdr:row>75</xdr:row>
      <xdr:rowOff>0</xdr:rowOff>
    </xdr:to>
    <xdr:sp macro="" textlink="">
      <xdr:nvSpPr>
        <xdr:cNvPr id="54" name="Textfeld 433">
          <a:extLst>
            <a:ext uri="{FF2B5EF4-FFF2-40B4-BE49-F238E27FC236}">
              <a16:creationId xmlns:a16="http://schemas.microsoft.com/office/drawing/2014/main" id="{17F53F96-2E3D-4BFB-B58C-7ABE86F73F12}"/>
            </a:ext>
          </a:extLst>
        </xdr:cNvPr>
        <xdr:cNvSpPr txBox="1"/>
      </xdr:nvSpPr>
      <xdr:spPr>
        <a:xfrm>
          <a:off x="26548080" y="10896600"/>
          <a:ext cx="3063240" cy="16764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0</xdr:colOff>
      <xdr:row>65</xdr:row>
      <xdr:rowOff>0</xdr:rowOff>
    </xdr:from>
    <xdr:to>
      <xdr:col>15</xdr:col>
      <xdr:colOff>0</xdr:colOff>
      <xdr:row>75</xdr:row>
      <xdr:rowOff>0</xdr:rowOff>
    </xdr:to>
    <xdr:sp macro="" textlink="">
      <xdr:nvSpPr>
        <xdr:cNvPr id="55" name="Rechteck 311">
          <a:extLst>
            <a:ext uri="{FF2B5EF4-FFF2-40B4-BE49-F238E27FC236}">
              <a16:creationId xmlns:a16="http://schemas.microsoft.com/office/drawing/2014/main" id="{6BEB7768-6942-417F-AB94-6FEFA877C7D2}"/>
            </a:ext>
          </a:extLst>
        </xdr:cNvPr>
        <xdr:cNvSpPr/>
      </xdr:nvSpPr>
      <xdr:spPr bwMode="auto">
        <a:xfrm>
          <a:off x="15316200" y="10896600"/>
          <a:ext cx="2042160" cy="1676400"/>
        </a:xfrm>
        <a:prstGeom prst="rect">
          <a:avLst/>
        </a:prstGeom>
        <a:solidFill>
          <a:schemeClr val="tx1"/>
        </a:solidFill>
        <a:ln w="63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6</xdr:col>
      <xdr:colOff>0</xdr:colOff>
      <xdr:row>67</xdr:row>
      <xdr:rowOff>1</xdr:rowOff>
    </xdr:to>
    <xdr:sp macro="" textlink="">
      <xdr:nvSpPr>
        <xdr:cNvPr id="56" name="Textfeld 107">
          <a:extLst>
            <a:ext uri="{FF2B5EF4-FFF2-40B4-BE49-F238E27FC236}">
              <a16:creationId xmlns:a16="http://schemas.microsoft.com/office/drawing/2014/main" id="{D58453F3-41E9-468D-8040-BF9B467A3D6C}"/>
            </a:ext>
          </a:extLst>
        </xdr:cNvPr>
        <xdr:cNvSpPr txBox="1"/>
      </xdr:nvSpPr>
      <xdr:spPr>
        <a:xfrm>
          <a:off x="2042160" y="10561320"/>
          <a:ext cx="4084320" cy="67056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Standartenübernahme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190496</xdr:colOff>
      <xdr:row>66</xdr:row>
      <xdr:rowOff>20708</xdr:rowOff>
    </xdr:from>
    <xdr:to>
      <xdr:col>48</xdr:col>
      <xdr:colOff>190495</xdr:colOff>
      <xdr:row>83</xdr:row>
      <xdr:rowOff>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CAAC1241-CA85-4A8A-AD5D-2A31D699B62C}"/>
            </a:ext>
          </a:extLst>
        </xdr:cNvPr>
        <xdr:cNvGrpSpPr/>
      </xdr:nvGrpSpPr>
      <xdr:grpSpPr>
        <a:xfrm>
          <a:off x="13508931" y="7899125"/>
          <a:ext cx="993912" cy="1668945"/>
          <a:chOff x="14718195" y="7396369"/>
          <a:chExt cx="994575" cy="1888434"/>
        </a:xfrm>
      </xdr:grpSpPr>
      <xdr:sp macro="" textlink="">
        <xdr:nvSpPr>
          <xdr:cNvPr id="58" name="Textfeld 51">
            <a:extLst>
              <a:ext uri="{FF2B5EF4-FFF2-40B4-BE49-F238E27FC236}">
                <a16:creationId xmlns:a16="http://schemas.microsoft.com/office/drawing/2014/main" id="{F772E73B-35D9-A42B-DC67-4256BBC9AE7A}"/>
              </a:ext>
            </a:extLst>
          </xdr:cNvPr>
          <xdr:cNvSpPr txBox="1"/>
        </xdr:nvSpPr>
        <xdr:spPr>
          <a:xfrm rot="10800000">
            <a:off x="14718195" y="7396369"/>
            <a:ext cx="994574" cy="1888434"/>
          </a:xfrm>
          <a:prstGeom prst="flowChartDocument">
            <a:avLst/>
          </a:prstGeom>
          <a:solidFill>
            <a:schemeClr val="bg1"/>
          </a:solidFill>
          <a:ln w="6350" cmpd="sng">
            <a:solidFill>
              <a:schemeClr val="tx1"/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horz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816C7FB-5051-5EE9-409D-35701593D5ED}"/>
              </a:ext>
            </a:extLst>
          </xdr:cNvPr>
          <xdr:cNvSpPr txBox="1"/>
        </xdr:nvSpPr>
        <xdr:spPr>
          <a:xfrm>
            <a:off x="14776174" y="8340587"/>
            <a:ext cx="936596" cy="622046"/>
          </a:xfrm>
          <a:prstGeom prst="rect">
            <a:avLst/>
          </a:prstGeom>
          <a:noFill/>
          <a:ln w="63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Einrücken</a:t>
            </a:r>
          </a:p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Kader bis</a:t>
            </a:r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 2330</a:t>
            </a:r>
          </a:p>
          <a:p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Sdt bis Mo, ABV</a:t>
            </a:r>
            <a:endParaRPr lang="en-CH" sz="9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29</xdr:col>
      <xdr:colOff>0</xdr:colOff>
      <xdr:row>75</xdr:row>
      <xdr:rowOff>0</xdr:rowOff>
    </xdr:from>
    <xdr:to>
      <xdr:col>30</xdr:col>
      <xdr:colOff>0</xdr:colOff>
      <xdr:row>76</xdr:row>
      <xdr:rowOff>99391</xdr:rowOff>
    </xdr:to>
    <xdr:sp macro="" textlink="">
      <xdr:nvSpPr>
        <xdr:cNvPr id="60" name="Rechteck 311">
          <a:extLst>
            <a:ext uri="{FF2B5EF4-FFF2-40B4-BE49-F238E27FC236}">
              <a16:creationId xmlns:a16="http://schemas.microsoft.com/office/drawing/2014/main" id="{B3B07026-2536-4512-8B77-7E99A722F285}"/>
            </a:ext>
          </a:extLst>
        </xdr:cNvPr>
        <xdr:cNvSpPr/>
      </xdr:nvSpPr>
      <xdr:spPr bwMode="auto">
        <a:xfrm>
          <a:off x="9548191" y="8772939"/>
          <a:ext cx="284922" cy="198782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15</xdr:col>
      <xdr:colOff>1</xdr:colOff>
      <xdr:row>51</xdr:row>
      <xdr:rowOff>1</xdr:rowOff>
    </xdr:from>
    <xdr:to>
      <xdr:col>15</xdr:col>
      <xdr:colOff>160695</xdr:colOff>
      <xdr:row>61</xdr:row>
      <xdr:rowOff>1</xdr:rowOff>
    </xdr:to>
    <xdr:sp macro="" textlink="">
      <xdr:nvSpPr>
        <xdr:cNvPr id="61" name="Rechteck 311">
          <a:extLst>
            <a:ext uri="{FF2B5EF4-FFF2-40B4-BE49-F238E27FC236}">
              <a16:creationId xmlns:a16="http://schemas.microsoft.com/office/drawing/2014/main" id="{2CF70AC4-DFCF-4FF3-AA63-23FA6C4A3B2F}"/>
            </a:ext>
          </a:extLst>
        </xdr:cNvPr>
        <xdr:cNvSpPr/>
      </xdr:nvSpPr>
      <xdr:spPr bwMode="auto">
        <a:xfrm>
          <a:off x="4582368" y="6339634"/>
          <a:ext cx="160694" cy="984898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22</a:t>
          </a:r>
        </a:p>
      </xdr:txBody>
    </xdr:sp>
    <xdr:clientData/>
  </xdr:twoCellAnchor>
  <xdr:twoCellAnchor>
    <xdr:from>
      <xdr:col>15</xdr:col>
      <xdr:colOff>0</xdr:colOff>
      <xdr:row>17</xdr:row>
      <xdr:rowOff>0</xdr:rowOff>
    </xdr:from>
    <xdr:to>
      <xdr:col>16</xdr:col>
      <xdr:colOff>0</xdr:colOff>
      <xdr:row>19</xdr:row>
      <xdr:rowOff>0</xdr:rowOff>
    </xdr:to>
    <xdr:sp macro="" textlink="">
      <xdr:nvSpPr>
        <xdr:cNvPr id="62" name="Rechteck 311">
          <a:extLst>
            <a:ext uri="{FF2B5EF4-FFF2-40B4-BE49-F238E27FC236}">
              <a16:creationId xmlns:a16="http://schemas.microsoft.com/office/drawing/2014/main" id="{7ED3BC2D-A3EB-4C8B-A12A-5AF8D979F96A}"/>
            </a:ext>
          </a:extLst>
        </xdr:cNvPr>
        <xdr:cNvSpPr/>
      </xdr:nvSpPr>
      <xdr:spPr bwMode="auto">
        <a:xfrm>
          <a:off x="17358360" y="2849880"/>
          <a:ext cx="1021080" cy="335280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37</xdr:col>
      <xdr:colOff>1</xdr:colOff>
      <xdr:row>13</xdr:row>
      <xdr:rowOff>0</xdr:rowOff>
    </xdr:from>
    <xdr:to>
      <xdr:col>42</xdr:col>
      <xdr:colOff>1</xdr:colOff>
      <xdr:row>16</xdr:row>
      <xdr:rowOff>0</xdr:rowOff>
    </xdr:to>
    <xdr:sp macro="" textlink="">
      <xdr:nvSpPr>
        <xdr:cNvPr id="63" name="Textfeld 89">
          <a:extLst>
            <a:ext uri="{FF2B5EF4-FFF2-40B4-BE49-F238E27FC236}">
              <a16:creationId xmlns:a16="http://schemas.microsoft.com/office/drawing/2014/main" id="{EE093498-172D-4699-9095-3ED4F515F23A}"/>
            </a:ext>
          </a:extLst>
        </xdr:cNvPr>
        <xdr:cNvSpPr txBox="1"/>
      </xdr:nvSpPr>
      <xdr:spPr>
        <a:xfrm>
          <a:off x="41864281" y="2179320"/>
          <a:ext cx="6126480" cy="50292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Dienstbesprechung </a:t>
          </a:r>
          <a:r>
            <a:rPr lang="en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Mannschaft</a:t>
          </a:r>
          <a:r>
            <a:rPr lang="de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de-CH" sz="6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Kp Kdt</a:t>
          </a:r>
        </a:p>
      </xdr:txBody>
    </xdr:sp>
    <xdr:clientData/>
  </xdr:twoCellAnchor>
  <xdr:twoCellAnchor>
    <xdr:from>
      <xdr:col>30</xdr:col>
      <xdr:colOff>0</xdr:colOff>
      <xdr:row>65</xdr:row>
      <xdr:rowOff>0</xdr:rowOff>
    </xdr:from>
    <xdr:to>
      <xdr:col>35</xdr:col>
      <xdr:colOff>0</xdr:colOff>
      <xdr:row>69</xdr:row>
      <xdr:rowOff>0</xdr:rowOff>
    </xdr:to>
    <xdr:sp macro="" textlink="">
      <xdr:nvSpPr>
        <xdr:cNvPr id="64" name="Textfeld 247">
          <a:extLst>
            <a:ext uri="{FF2B5EF4-FFF2-40B4-BE49-F238E27FC236}">
              <a16:creationId xmlns:a16="http://schemas.microsoft.com/office/drawing/2014/main" id="{60616772-C35C-4A82-ABE6-08D1D9320A8C}"/>
            </a:ext>
          </a:extLst>
        </xdr:cNvPr>
        <xdr:cNvSpPr txBox="1"/>
      </xdr:nvSpPr>
      <xdr:spPr>
        <a:xfrm>
          <a:off x="34716720" y="10896600"/>
          <a:ext cx="5105400" cy="67056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WEB / GPD</a:t>
          </a: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Zfhr</a:t>
          </a:r>
        </a:p>
      </xdr:txBody>
    </xdr:sp>
    <xdr:clientData/>
  </xdr:twoCellAnchor>
  <xdr:twoCellAnchor>
    <xdr:from>
      <xdr:col>2</xdr:col>
      <xdr:colOff>0</xdr:colOff>
      <xdr:row>72</xdr:row>
      <xdr:rowOff>99645</xdr:rowOff>
    </xdr:from>
    <xdr:to>
      <xdr:col>6</xdr:col>
      <xdr:colOff>0</xdr:colOff>
      <xdr:row>76</xdr:row>
      <xdr:rowOff>99646</xdr:rowOff>
    </xdr:to>
    <xdr:sp macro="" textlink="">
      <xdr:nvSpPr>
        <xdr:cNvPr id="65" name="Textfeld 107">
          <a:extLst>
            <a:ext uri="{FF2B5EF4-FFF2-40B4-BE49-F238E27FC236}">
              <a16:creationId xmlns:a16="http://schemas.microsoft.com/office/drawing/2014/main" id="{FFF4B1B6-05A9-4185-AE85-59FA31B04769}"/>
            </a:ext>
          </a:extLst>
        </xdr:cNvPr>
        <xdr:cNvSpPr txBox="1"/>
      </xdr:nvSpPr>
      <xdr:spPr>
        <a:xfrm>
          <a:off x="2042160" y="12169725"/>
          <a:ext cx="4084320" cy="670561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Theorie</a:t>
          </a:r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Dienstbetrieb / </a:t>
          </a:r>
        </a:p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Regierungserklärung Kdt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4</xdr:col>
      <xdr:colOff>345830</xdr:colOff>
      <xdr:row>25</xdr:row>
      <xdr:rowOff>1</xdr:rowOff>
    </xdr:to>
    <xdr:sp macro="" textlink="">
      <xdr:nvSpPr>
        <xdr:cNvPr id="66" name="Textfeld 107">
          <a:extLst>
            <a:ext uri="{FF2B5EF4-FFF2-40B4-BE49-F238E27FC236}">
              <a16:creationId xmlns:a16="http://schemas.microsoft.com/office/drawing/2014/main" id="{300F5FB5-50AC-434A-8665-EBDE2A59AF1A}"/>
            </a:ext>
          </a:extLst>
        </xdr:cNvPr>
        <xdr:cNvSpPr txBox="1"/>
      </xdr:nvSpPr>
      <xdr:spPr>
        <a:xfrm>
          <a:off x="4084320" y="3520440"/>
          <a:ext cx="345830" cy="67056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endParaRPr lang="en-CH" sz="600" b="1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Bonaduz - Chur</a:t>
          </a:r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6</xdr:row>
      <xdr:rowOff>861644</xdr:rowOff>
    </xdr:from>
    <xdr:to>
      <xdr:col>4</xdr:col>
      <xdr:colOff>345830</xdr:colOff>
      <xdr:row>20</xdr:row>
      <xdr:rowOff>99645</xdr:rowOff>
    </xdr:to>
    <xdr:sp macro="" textlink="">
      <xdr:nvSpPr>
        <xdr:cNvPr id="67" name="Textfeld 107">
          <a:extLst>
            <a:ext uri="{FF2B5EF4-FFF2-40B4-BE49-F238E27FC236}">
              <a16:creationId xmlns:a16="http://schemas.microsoft.com/office/drawing/2014/main" id="{B6B38AE9-D4F6-472C-BEEA-DAE78263453B}"/>
            </a:ext>
          </a:extLst>
        </xdr:cNvPr>
        <xdr:cNvSpPr txBox="1"/>
      </xdr:nvSpPr>
      <xdr:spPr>
        <a:xfrm>
          <a:off x="4084320" y="1174064"/>
          <a:ext cx="345830" cy="227838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ücken</a:t>
          </a:r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am</a:t>
          </a:r>
        </a:p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Sonntagabend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24</xdr:row>
      <xdr:rowOff>99646</xdr:rowOff>
    </xdr:from>
    <xdr:to>
      <xdr:col>4</xdr:col>
      <xdr:colOff>345830</xdr:colOff>
      <xdr:row>63</xdr:row>
      <xdr:rowOff>0</xdr:rowOff>
    </xdr:to>
    <xdr:sp macro="" textlink="">
      <xdr:nvSpPr>
        <xdr:cNvPr id="68" name="Textfeld 107">
          <a:extLst>
            <a:ext uri="{FF2B5EF4-FFF2-40B4-BE49-F238E27FC236}">
              <a16:creationId xmlns:a16="http://schemas.microsoft.com/office/drawing/2014/main" id="{12F8BB57-2FED-4366-8FA6-1A6146B3DF1F}"/>
            </a:ext>
          </a:extLst>
        </xdr:cNvPr>
        <xdr:cNvSpPr txBox="1"/>
      </xdr:nvSpPr>
      <xdr:spPr>
        <a:xfrm>
          <a:off x="4084320" y="4123006"/>
          <a:ext cx="345830" cy="643831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Shuttle Bhf Rivera</a:t>
          </a:r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ALC-M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66</xdr:row>
      <xdr:rowOff>99645</xdr:rowOff>
    </xdr:from>
    <xdr:to>
      <xdr:col>6</xdr:col>
      <xdr:colOff>0</xdr:colOff>
      <xdr:row>71</xdr:row>
      <xdr:rowOff>0</xdr:rowOff>
    </xdr:to>
    <xdr:sp macro="" textlink="">
      <xdr:nvSpPr>
        <xdr:cNvPr id="69" name="Textfeld 107">
          <a:extLst>
            <a:ext uri="{FF2B5EF4-FFF2-40B4-BE49-F238E27FC236}">
              <a16:creationId xmlns:a16="http://schemas.microsoft.com/office/drawing/2014/main" id="{84481FF6-0422-4B90-9646-531F449CC3B2}"/>
            </a:ext>
          </a:extLst>
        </xdr:cNvPr>
        <xdr:cNvSpPr txBox="1"/>
      </xdr:nvSpPr>
      <xdr:spPr>
        <a:xfrm>
          <a:off x="2042160" y="11163885"/>
          <a:ext cx="4084320" cy="73855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 CHUR - Bonaduz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76</xdr:row>
      <xdr:rowOff>99646</xdr:rowOff>
    </xdr:from>
    <xdr:to>
      <xdr:col>6</xdr:col>
      <xdr:colOff>0</xdr:colOff>
      <xdr:row>81</xdr:row>
      <xdr:rowOff>0</xdr:rowOff>
    </xdr:to>
    <xdr:sp macro="" textlink="">
      <xdr:nvSpPr>
        <xdr:cNvPr id="70" name="Textfeld 433">
          <a:extLst>
            <a:ext uri="{FF2B5EF4-FFF2-40B4-BE49-F238E27FC236}">
              <a16:creationId xmlns:a16="http://schemas.microsoft.com/office/drawing/2014/main" id="{42724793-8E79-4BB7-9A37-DC5B8EE4489C}"/>
            </a:ext>
          </a:extLst>
        </xdr:cNvPr>
        <xdr:cNvSpPr txBox="1"/>
      </xdr:nvSpPr>
      <xdr:spPr>
        <a:xfrm>
          <a:off x="2042160" y="12840286"/>
          <a:ext cx="4084320" cy="73855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6</xdr:col>
      <xdr:colOff>0</xdr:colOff>
      <xdr:row>82</xdr:row>
      <xdr:rowOff>3313</xdr:rowOff>
    </xdr:to>
    <xdr:sp macro="" textlink="">
      <xdr:nvSpPr>
        <xdr:cNvPr id="71" name="Textfeld 421">
          <a:extLst>
            <a:ext uri="{FF2B5EF4-FFF2-40B4-BE49-F238E27FC236}">
              <a16:creationId xmlns:a16="http://schemas.microsoft.com/office/drawing/2014/main" id="{A573874A-3845-440B-B0CD-466181C7BC6C}"/>
            </a:ext>
          </a:extLst>
        </xdr:cNvPr>
        <xdr:cNvSpPr txBox="1"/>
      </xdr:nvSpPr>
      <xdr:spPr bwMode="auto">
        <a:xfrm>
          <a:off x="2042160" y="13578840"/>
          <a:ext cx="408432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13</xdr:col>
      <xdr:colOff>345830</xdr:colOff>
      <xdr:row>17</xdr:row>
      <xdr:rowOff>0</xdr:rowOff>
    </xdr:to>
    <xdr:sp macro="" textlink="">
      <xdr:nvSpPr>
        <xdr:cNvPr id="72" name="Textfeld 340">
          <a:extLst>
            <a:ext uri="{FF2B5EF4-FFF2-40B4-BE49-F238E27FC236}">
              <a16:creationId xmlns:a16="http://schemas.microsoft.com/office/drawing/2014/main" id="{2714E713-A1AE-467E-A6E3-737D1E56C203}"/>
            </a:ext>
          </a:extLst>
        </xdr:cNvPr>
        <xdr:cNvSpPr txBox="1"/>
      </xdr:nvSpPr>
      <xdr:spPr>
        <a:xfrm>
          <a:off x="10210800" y="2179320"/>
          <a:ext cx="443015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8</xdr:col>
      <xdr:colOff>281353</xdr:colOff>
      <xdr:row>17</xdr:row>
      <xdr:rowOff>0</xdr:rowOff>
    </xdr:from>
    <xdr:to>
      <xdr:col>13</xdr:col>
      <xdr:colOff>345830</xdr:colOff>
      <xdr:row>18</xdr:row>
      <xdr:rowOff>0</xdr:rowOff>
    </xdr:to>
    <xdr:sp macro="" textlink="">
      <xdr:nvSpPr>
        <xdr:cNvPr id="73" name="Textfeld 52">
          <a:extLst>
            <a:ext uri="{FF2B5EF4-FFF2-40B4-BE49-F238E27FC236}">
              <a16:creationId xmlns:a16="http://schemas.microsoft.com/office/drawing/2014/main" id="{D11E20F4-B7B8-4131-A28A-F7739F987C25}"/>
            </a:ext>
          </a:extLst>
        </xdr:cNvPr>
        <xdr:cNvSpPr txBox="1"/>
      </xdr:nvSpPr>
      <xdr:spPr bwMode="auto">
        <a:xfrm>
          <a:off x="9471073" y="2849880"/>
          <a:ext cx="5169877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9</xdr:col>
      <xdr:colOff>345829</xdr:colOff>
      <xdr:row>18</xdr:row>
      <xdr:rowOff>0</xdr:rowOff>
    </xdr:from>
    <xdr:to>
      <xdr:col>13</xdr:col>
      <xdr:colOff>345829</xdr:colOff>
      <xdr:row>36</xdr:row>
      <xdr:rowOff>98613</xdr:rowOff>
    </xdr:to>
    <xdr:sp macro="" textlink="">
      <xdr:nvSpPr>
        <xdr:cNvPr id="74" name="Textfeld 107">
          <a:extLst>
            <a:ext uri="{FF2B5EF4-FFF2-40B4-BE49-F238E27FC236}">
              <a16:creationId xmlns:a16="http://schemas.microsoft.com/office/drawing/2014/main" id="{81C2313E-17E9-41A8-B3FF-C38DFAD91DC2}"/>
            </a:ext>
          </a:extLst>
        </xdr:cNvPr>
        <xdr:cNvSpPr txBox="1"/>
      </xdr:nvSpPr>
      <xdr:spPr>
        <a:xfrm>
          <a:off x="10556629" y="3017520"/>
          <a:ext cx="4084320" cy="311613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ZAP</a:t>
          </a: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-Standardverhalten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X35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Pers Wf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Sport</a:t>
          </a:r>
        </a:p>
        <a:p>
          <a:pPr marL="0" indent="0" algn="ctr"/>
          <a:endParaRPr lang="en-CH" sz="800" b="0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Stao: Bonaduz, Spl CHUR, Sporthalle</a:t>
          </a:r>
          <a:endParaRPr lang="en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US" sz="800" b="0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70</xdr:row>
      <xdr:rowOff>99645</xdr:rowOff>
    </xdr:from>
    <xdr:to>
      <xdr:col>6</xdr:col>
      <xdr:colOff>0</xdr:colOff>
      <xdr:row>73</xdr:row>
      <xdr:rowOff>0</xdr:rowOff>
    </xdr:to>
    <xdr:sp macro="" textlink="">
      <xdr:nvSpPr>
        <xdr:cNvPr id="75" name="Textfeld 107">
          <a:extLst>
            <a:ext uri="{FF2B5EF4-FFF2-40B4-BE49-F238E27FC236}">
              <a16:creationId xmlns:a16="http://schemas.microsoft.com/office/drawing/2014/main" id="{FC4E3D2B-FFA6-470B-8673-CA200A0A0DB0}"/>
            </a:ext>
          </a:extLst>
        </xdr:cNvPr>
        <xdr:cNvSpPr txBox="1"/>
      </xdr:nvSpPr>
      <xdr:spPr>
        <a:xfrm>
          <a:off x="2042160" y="11834445"/>
          <a:ext cx="4084320" cy="40327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 Vf Zfhr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0</xdr:colOff>
      <xdr:row>40</xdr:row>
      <xdr:rowOff>99645</xdr:rowOff>
    </xdr:from>
    <xdr:to>
      <xdr:col>13</xdr:col>
      <xdr:colOff>345830</xdr:colOff>
      <xdr:row>60</xdr:row>
      <xdr:rowOff>99645</xdr:rowOff>
    </xdr:to>
    <xdr:sp macro="" textlink="">
      <xdr:nvSpPr>
        <xdr:cNvPr id="76" name="Textfeld 107">
          <a:extLst>
            <a:ext uri="{FF2B5EF4-FFF2-40B4-BE49-F238E27FC236}">
              <a16:creationId xmlns:a16="http://schemas.microsoft.com/office/drawing/2014/main" id="{C6F313DB-D120-48C9-BE7F-FF772D74A0A8}"/>
            </a:ext>
          </a:extLst>
        </xdr:cNvPr>
        <xdr:cNvSpPr txBox="1"/>
      </xdr:nvSpPr>
      <xdr:spPr>
        <a:xfrm>
          <a:off x="11231880" y="6805245"/>
          <a:ext cx="3409070" cy="33528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ZAP</a:t>
          </a: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-Standardverhalten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X35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Pers Wf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Sport</a:t>
          </a:r>
        </a:p>
        <a:p>
          <a:pPr marL="0" indent="0" algn="ctr"/>
          <a:endParaRPr lang="en-CH" sz="800" b="0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Stao: Bonaduz, Spl CHUR, Sporthalle</a:t>
          </a:r>
          <a:endParaRPr lang="en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US" sz="800" b="0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13</xdr:col>
      <xdr:colOff>345830</xdr:colOff>
      <xdr:row>75</xdr:row>
      <xdr:rowOff>0</xdr:rowOff>
    </xdr:to>
    <xdr:sp macro="" textlink="">
      <xdr:nvSpPr>
        <xdr:cNvPr id="77" name="Textfeld 107">
          <a:extLst>
            <a:ext uri="{FF2B5EF4-FFF2-40B4-BE49-F238E27FC236}">
              <a16:creationId xmlns:a16="http://schemas.microsoft.com/office/drawing/2014/main" id="{F47ADF17-15DA-4291-AC85-6348A8BF52E0}"/>
            </a:ext>
          </a:extLst>
        </xdr:cNvPr>
        <xdr:cNvSpPr txBox="1"/>
      </xdr:nvSpPr>
      <xdr:spPr>
        <a:xfrm>
          <a:off x="11231880" y="10896600"/>
          <a:ext cx="3409070" cy="16764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ZAP</a:t>
          </a: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-Standardverhalten</a:t>
          </a:r>
        </a:p>
        <a:p>
          <a:pPr marL="0" indent="0" algn="ctr"/>
          <a:r>
            <a:rPr lang="en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X35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Pers Wf</a:t>
          </a: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Sport</a:t>
          </a:r>
        </a:p>
        <a:p>
          <a:pPr marL="0" indent="0" algn="ctr"/>
          <a:endParaRPr lang="en-CH" sz="800" b="0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Stao: Bonaduz, Spl CHUR, Sporthalle</a:t>
          </a:r>
          <a:endParaRPr lang="en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US" sz="800" b="0" i="0" u="none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18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78" name="Textfeld 433">
          <a:extLst>
            <a:ext uri="{FF2B5EF4-FFF2-40B4-BE49-F238E27FC236}">
              <a16:creationId xmlns:a16="http://schemas.microsoft.com/office/drawing/2014/main" id="{677655B1-B2E6-4769-80DD-AE7A1D2FB599}"/>
            </a:ext>
          </a:extLst>
        </xdr:cNvPr>
        <xdr:cNvSpPr txBox="1"/>
      </xdr:nvSpPr>
      <xdr:spPr>
        <a:xfrm>
          <a:off x="10210800" y="3017520"/>
          <a:ext cx="102108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Parallel Rw </a:t>
          </a:r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345830</xdr:colOff>
      <xdr:row>30</xdr:row>
      <xdr:rowOff>96332</xdr:rowOff>
    </xdr:from>
    <xdr:to>
      <xdr:col>21</xdr:col>
      <xdr:colOff>0</xdr:colOff>
      <xdr:row>56</xdr:row>
      <xdr:rowOff>89706</xdr:rowOff>
    </xdr:to>
    <xdr:sp macro="" textlink="">
      <xdr:nvSpPr>
        <xdr:cNvPr id="79" name="Textfeld 433">
          <a:extLst>
            <a:ext uri="{FF2B5EF4-FFF2-40B4-BE49-F238E27FC236}">
              <a16:creationId xmlns:a16="http://schemas.microsoft.com/office/drawing/2014/main" id="{9A5833FB-0781-4D3C-A382-10CF65873371}"/>
            </a:ext>
          </a:extLst>
        </xdr:cNvPr>
        <xdr:cNvSpPr txBox="1"/>
      </xdr:nvSpPr>
      <xdr:spPr>
        <a:xfrm>
          <a:off x="20767430" y="5125532"/>
          <a:ext cx="2717410" cy="435201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Aufbau KP</a:t>
          </a:r>
          <a:r>
            <a:rPr lang="en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Gs Vb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345830</xdr:colOff>
      <xdr:row>18</xdr:row>
      <xdr:rowOff>0</xdr:rowOff>
    </xdr:from>
    <xdr:to>
      <xdr:col>21</xdr:col>
      <xdr:colOff>0</xdr:colOff>
      <xdr:row>30</xdr:row>
      <xdr:rowOff>96332</xdr:rowOff>
    </xdr:to>
    <xdr:sp macro="" textlink="">
      <xdr:nvSpPr>
        <xdr:cNvPr id="80" name="Textfeld 433">
          <a:extLst>
            <a:ext uri="{FF2B5EF4-FFF2-40B4-BE49-F238E27FC236}">
              <a16:creationId xmlns:a16="http://schemas.microsoft.com/office/drawing/2014/main" id="{F111CD78-BCB1-4951-B91A-55F424EB0B4E}"/>
            </a:ext>
          </a:extLst>
        </xdr:cNvPr>
        <xdr:cNvSpPr txBox="1"/>
      </xdr:nvSpPr>
      <xdr:spPr>
        <a:xfrm>
          <a:off x="20767430" y="3017520"/>
          <a:ext cx="2717410" cy="2108012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 &amp; Vs Brigels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345830</xdr:colOff>
      <xdr:row>56</xdr:row>
      <xdr:rowOff>89706</xdr:rowOff>
    </xdr:from>
    <xdr:to>
      <xdr:col>21</xdr:col>
      <xdr:colOff>0</xdr:colOff>
      <xdr:row>61</xdr:row>
      <xdr:rowOff>0</xdr:rowOff>
    </xdr:to>
    <xdr:sp macro="" textlink="">
      <xdr:nvSpPr>
        <xdr:cNvPr id="81" name="Textfeld 433">
          <a:extLst>
            <a:ext uri="{FF2B5EF4-FFF2-40B4-BE49-F238E27FC236}">
              <a16:creationId xmlns:a16="http://schemas.microsoft.com/office/drawing/2014/main" id="{7C1B158F-F082-46D0-B02D-47C9118F6931}"/>
            </a:ext>
          </a:extLst>
        </xdr:cNvPr>
        <xdr:cNvSpPr txBox="1"/>
      </xdr:nvSpPr>
      <xdr:spPr>
        <a:xfrm>
          <a:off x="20767430" y="9477546"/>
          <a:ext cx="2717410" cy="748494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 Bonaduz</a:t>
          </a:r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1</xdr:colOff>
      <xdr:row>18</xdr:row>
      <xdr:rowOff>0</xdr:rowOff>
    </xdr:from>
    <xdr:to>
      <xdr:col>28</xdr:col>
      <xdr:colOff>0</xdr:colOff>
      <xdr:row>83</xdr:row>
      <xdr:rowOff>0</xdr:rowOff>
    </xdr:to>
    <xdr:sp macro="" textlink="">
      <xdr:nvSpPr>
        <xdr:cNvPr id="82" name="Textfeld 107">
          <a:extLst>
            <a:ext uri="{FF2B5EF4-FFF2-40B4-BE49-F238E27FC236}">
              <a16:creationId xmlns:a16="http://schemas.microsoft.com/office/drawing/2014/main" id="{063D86E0-AB67-491B-9654-02539A6514C1}"/>
            </a:ext>
          </a:extLst>
        </xdr:cNvPr>
        <xdr:cNvSpPr txBox="1"/>
      </xdr:nvSpPr>
      <xdr:spPr>
        <a:xfrm>
          <a:off x="29611321" y="3017520"/>
          <a:ext cx="2042159" cy="108966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Aufbau KP Gs Vb</a:t>
          </a:r>
        </a:p>
      </xdr:txBody>
    </xdr:sp>
    <xdr:clientData/>
  </xdr:twoCellAnchor>
  <xdr:twoCellAnchor>
    <xdr:from>
      <xdr:col>33</xdr:col>
      <xdr:colOff>0</xdr:colOff>
      <xdr:row>14</xdr:row>
      <xdr:rowOff>0</xdr:rowOff>
    </xdr:from>
    <xdr:to>
      <xdr:col>35</xdr:col>
      <xdr:colOff>0</xdr:colOff>
      <xdr:row>16</xdr:row>
      <xdr:rowOff>0</xdr:rowOff>
    </xdr:to>
    <xdr:sp macro="" textlink="">
      <xdr:nvSpPr>
        <xdr:cNvPr id="83" name="Textfeld 89">
          <a:extLst>
            <a:ext uri="{FF2B5EF4-FFF2-40B4-BE49-F238E27FC236}">
              <a16:creationId xmlns:a16="http://schemas.microsoft.com/office/drawing/2014/main" id="{837B5D18-1AB3-46B5-9392-0371824509E0}"/>
            </a:ext>
          </a:extLst>
        </xdr:cNvPr>
        <xdr:cNvSpPr txBox="1"/>
      </xdr:nvSpPr>
      <xdr:spPr>
        <a:xfrm>
          <a:off x="37779960" y="2346960"/>
          <a:ext cx="2042160" cy="33528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BBZ KP Gs Vb</a:t>
          </a:r>
          <a:endParaRPr lang="de-CH" sz="7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1</xdr:colOff>
      <xdr:row>75</xdr:row>
      <xdr:rowOff>0</xdr:rowOff>
    </xdr:from>
    <xdr:to>
      <xdr:col>28</xdr:col>
      <xdr:colOff>0</xdr:colOff>
      <xdr:row>76</xdr:row>
      <xdr:rowOff>99646</xdr:rowOff>
    </xdr:to>
    <xdr:sp macro="" textlink="">
      <xdr:nvSpPr>
        <xdr:cNvPr id="84" name="Textfeld 89">
          <a:extLst>
            <a:ext uri="{FF2B5EF4-FFF2-40B4-BE49-F238E27FC236}">
              <a16:creationId xmlns:a16="http://schemas.microsoft.com/office/drawing/2014/main" id="{1E0E4CF8-3A6D-4A8A-8904-DBDC76A47D7B}"/>
            </a:ext>
          </a:extLst>
        </xdr:cNvPr>
        <xdr:cNvSpPr txBox="1"/>
      </xdr:nvSpPr>
      <xdr:spPr>
        <a:xfrm>
          <a:off x="29611321" y="12573000"/>
          <a:ext cx="2042159" cy="267286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TBZ KP Gs Vb</a:t>
          </a:r>
          <a:endParaRPr lang="de-CH" sz="7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33</xdr:col>
      <xdr:colOff>0</xdr:colOff>
      <xdr:row>7</xdr:row>
      <xdr:rowOff>0</xdr:rowOff>
    </xdr:from>
    <xdr:to>
      <xdr:col>35</xdr:col>
      <xdr:colOff>0</xdr:colOff>
      <xdr:row>14</xdr:row>
      <xdr:rowOff>0</xdr:rowOff>
    </xdr:to>
    <xdr:sp macro="" textlink="">
      <xdr:nvSpPr>
        <xdr:cNvPr id="85" name="Textfeld 107">
          <a:extLst>
            <a:ext uri="{FF2B5EF4-FFF2-40B4-BE49-F238E27FC236}">
              <a16:creationId xmlns:a16="http://schemas.microsoft.com/office/drawing/2014/main" id="{7865CAF8-DF97-49E7-B448-5B7E64C3E77E}"/>
            </a:ext>
          </a:extLst>
        </xdr:cNvPr>
        <xdr:cNvSpPr txBox="1"/>
      </xdr:nvSpPr>
      <xdr:spPr>
        <a:xfrm>
          <a:off x="37779960" y="1173480"/>
          <a:ext cx="2042160" cy="117348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Aufbau KP Gs Vb</a:t>
          </a:r>
        </a:p>
      </xdr:txBody>
    </xdr:sp>
    <xdr:clientData/>
  </xdr:twoCellAnchor>
  <xdr:twoCellAnchor>
    <xdr:from>
      <xdr:col>33</xdr:col>
      <xdr:colOff>0</xdr:colOff>
      <xdr:row>15</xdr:row>
      <xdr:rowOff>99645</xdr:rowOff>
    </xdr:from>
    <xdr:to>
      <xdr:col>35</xdr:col>
      <xdr:colOff>0</xdr:colOff>
      <xdr:row>62</xdr:row>
      <xdr:rowOff>0</xdr:rowOff>
    </xdr:to>
    <xdr:sp macro="" textlink="">
      <xdr:nvSpPr>
        <xdr:cNvPr id="86" name="Textfeld 107">
          <a:extLst>
            <a:ext uri="{FF2B5EF4-FFF2-40B4-BE49-F238E27FC236}">
              <a16:creationId xmlns:a16="http://schemas.microsoft.com/office/drawing/2014/main" id="{BD967056-7D72-4F76-95E8-34F4FFA2C9DC}"/>
            </a:ext>
          </a:extLst>
        </xdr:cNvPr>
        <xdr:cNvSpPr txBox="1"/>
      </xdr:nvSpPr>
      <xdr:spPr>
        <a:xfrm>
          <a:off x="37779960" y="2614245"/>
          <a:ext cx="2042160" cy="7779435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Betrieb</a:t>
          </a:r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 Gs Vb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&amp; Bat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44</xdr:row>
      <xdr:rowOff>82939</xdr:rowOff>
    </xdr:from>
    <xdr:to>
      <xdr:col>18</xdr:col>
      <xdr:colOff>1314</xdr:colOff>
      <xdr:row>52</xdr:row>
      <xdr:rowOff>76633</xdr:rowOff>
    </xdr:to>
    <xdr:sp macro="" textlink="">
      <xdr:nvSpPr>
        <xdr:cNvPr id="87" name="Rechteck 311">
          <a:extLst>
            <a:ext uri="{FF2B5EF4-FFF2-40B4-BE49-F238E27FC236}">
              <a16:creationId xmlns:a16="http://schemas.microsoft.com/office/drawing/2014/main" id="{49F39667-EEBC-45FD-A1B1-4646F93D7A41}"/>
            </a:ext>
          </a:extLst>
        </xdr:cNvPr>
        <xdr:cNvSpPr/>
      </xdr:nvSpPr>
      <xdr:spPr bwMode="auto">
        <a:xfrm>
          <a:off x="5204408" y="5733143"/>
          <a:ext cx="343437" cy="781612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Wf Insp </a:t>
          </a: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Aufkl</a:t>
          </a:r>
          <a:r>
            <a:rPr lang="de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</a:t>
          </a:r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Valbella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10</xdr:col>
      <xdr:colOff>0</xdr:colOff>
      <xdr:row>61</xdr:row>
      <xdr:rowOff>0</xdr:rowOff>
    </xdr:to>
    <xdr:sp macro="" textlink="">
      <xdr:nvSpPr>
        <xdr:cNvPr id="88" name="Textfeld 433">
          <a:extLst>
            <a:ext uri="{FF2B5EF4-FFF2-40B4-BE49-F238E27FC236}">
              <a16:creationId xmlns:a16="http://schemas.microsoft.com/office/drawing/2014/main" id="{2B782164-F1CD-4A5D-A321-FAB9027A342C}"/>
            </a:ext>
          </a:extLst>
        </xdr:cNvPr>
        <xdr:cNvSpPr txBox="1"/>
      </xdr:nvSpPr>
      <xdr:spPr>
        <a:xfrm>
          <a:off x="10210800" y="6873240"/>
          <a:ext cx="102108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Parallel Rw </a:t>
          </a:r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64</xdr:row>
      <xdr:rowOff>99390</xdr:rowOff>
    </xdr:from>
    <xdr:to>
      <xdr:col>10</xdr:col>
      <xdr:colOff>0</xdr:colOff>
      <xdr:row>74</xdr:row>
      <xdr:rowOff>99390</xdr:rowOff>
    </xdr:to>
    <xdr:sp macro="" textlink="">
      <xdr:nvSpPr>
        <xdr:cNvPr id="89" name="Textfeld 433">
          <a:extLst>
            <a:ext uri="{FF2B5EF4-FFF2-40B4-BE49-F238E27FC236}">
              <a16:creationId xmlns:a16="http://schemas.microsoft.com/office/drawing/2014/main" id="{A41D2875-B3FD-4E71-BFF3-83C051DDE36B}"/>
            </a:ext>
          </a:extLst>
        </xdr:cNvPr>
        <xdr:cNvSpPr txBox="1"/>
      </xdr:nvSpPr>
      <xdr:spPr>
        <a:xfrm>
          <a:off x="10210800" y="10828350"/>
          <a:ext cx="1021080" cy="16764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Parallel Rw </a:t>
          </a:r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1</xdr:colOff>
      <xdr:row>18</xdr:row>
      <xdr:rowOff>0</xdr:rowOff>
    </xdr:from>
    <xdr:to>
      <xdr:col>33</xdr:col>
      <xdr:colOff>1</xdr:colOff>
      <xdr:row>37</xdr:row>
      <xdr:rowOff>0</xdr:rowOff>
    </xdr:to>
    <xdr:sp macro="" textlink="">
      <xdr:nvSpPr>
        <xdr:cNvPr id="90" name="Textfeld 433">
          <a:extLst>
            <a:ext uri="{FF2B5EF4-FFF2-40B4-BE49-F238E27FC236}">
              <a16:creationId xmlns:a16="http://schemas.microsoft.com/office/drawing/2014/main" id="{B9BAAA83-4F0C-43D6-AE98-EDCCCB8FC8D5}"/>
            </a:ext>
          </a:extLst>
        </xdr:cNvPr>
        <xdr:cNvSpPr txBox="1"/>
      </xdr:nvSpPr>
      <xdr:spPr>
        <a:xfrm>
          <a:off x="9829801" y="3106615"/>
          <a:ext cx="1037492" cy="1893277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1</xdr:colOff>
      <xdr:row>41</xdr:row>
      <xdr:rowOff>0</xdr:rowOff>
    </xdr:from>
    <xdr:to>
      <xdr:col>33</xdr:col>
      <xdr:colOff>1</xdr:colOff>
      <xdr:row>61</xdr:row>
      <xdr:rowOff>0</xdr:rowOff>
    </xdr:to>
    <xdr:sp macro="" textlink="">
      <xdr:nvSpPr>
        <xdr:cNvPr id="91" name="Textfeld 433">
          <a:extLst>
            <a:ext uri="{FF2B5EF4-FFF2-40B4-BE49-F238E27FC236}">
              <a16:creationId xmlns:a16="http://schemas.microsoft.com/office/drawing/2014/main" id="{C472D1F0-85E2-4FE0-985F-378006CD111A}"/>
            </a:ext>
          </a:extLst>
        </xdr:cNvPr>
        <xdr:cNvSpPr txBox="1"/>
      </xdr:nvSpPr>
      <xdr:spPr>
        <a:xfrm>
          <a:off x="9829801" y="5398477"/>
          <a:ext cx="1037492" cy="1992923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oneCellAnchor>
    <xdr:from>
      <xdr:col>56</xdr:col>
      <xdr:colOff>824753</xdr:colOff>
      <xdr:row>16</xdr:row>
      <xdr:rowOff>96971</xdr:rowOff>
    </xdr:from>
    <xdr:ext cx="16145881" cy="2127377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3971F507-9039-40CD-88B9-47D08AA89B05}"/>
            </a:ext>
          </a:extLst>
        </xdr:cNvPr>
        <xdr:cNvSpPr/>
      </xdr:nvSpPr>
      <xdr:spPr>
        <a:xfrm rot="20516745">
          <a:off x="64131713" y="2779211"/>
          <a:ext cx="16145881" cy="2127377"/>
        </a:xfrm>
        <a:prstGeom prst="rect">
          <a:avLst/>
        </a:prstGeom>
        <a:noFill/>
        <a:ln w="6350"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de-CH" sz="138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PROVISORISCH</a:t>
          </a:r>
          <a:endParaRPr lang="de-CH" sz="166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15</xdr:col>
      <xdr:colOff>155511</xdr:colOff>
      <xdr:row>41</xdr:row>
      <xdr:rowOff>0</xdr:rowOff>
    </xdr:from>
    <xdr:to>
      <xdr:col>15</xdr:col>
      <xdr:colOff>275017</xdr:colOff>
      <xdr:row>57</xdr:row>
      <xdr:rowOff>37811</xdr:rowOff>
    </xdr:to>
    <xdr:sp macro="" textlink="">
      <xdr:nvSpPr>
        <xdr:cNvPr id="93" name="Rechteck 311">
          <a:extLst>
            <a:ext uri="{FF2B5EF4-FFF2-40B4-BE49-F238E27FC236}">
              <a16:creationId xmlns:a16="http://schemas.microsoft.com/office/drawing/2014/main" id="{26E8A638-4F6D-4167-AB3D-FD59082E6234}"/>
            </a:ext>
          </a:extLst>
        </xdr:cNvPr>
        <xdr:cNvSpPr/>
      </xdr:nvSpPr>
      <xdr:spPr bwMode="auto">
        <a:xfrm>
          <a:off x="4737878" y="5354735"/>
          <a:ext cx="119506" cy="1613647"/>
        </a:xfrm>
        <a:prstGeom prst="rect">
          <a:avLst/>
        </a:prstGeom>
        <a:solidFill>
          <a:schemeClr val="bg1"/>
        </a:solidFill>
        <a:ln w="63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en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21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65</xdr:row>
      <xdr:rowOff>0</xdr:rowOff>
    </xdr:from>
    <xdr:to>
      <xdr:col>18</xdr:col>
      <xdr:colOff>345830</xdr:colOff>
      <xdr:row>69</xdr:row>
      <xdr:rowOff>0</xdr:rowOff>
    </xdr:to>
    <xdr:sp macro="" textlink="">
      <xdr:nvSpPr>
        <xdr:cNvPr id="2" name="Textfeld 433">
          <a:extLst>
            <a:ext uri="{FF2B5EF4-FFF2-40B4-BE49-F238E27FC236}">
              <a16:creationId xmlns:a16="http://schemas.microsoft.com/office/drawing/2014/main" id="{1835E3B7-F69C-48FB-B0B0-165C28DA030D}"/>
            </a:ext>
          </a:extLst>
        </xdr:cNvPr>
        <xdr:cNvSpPr txBox="1"/>
      </xdr:nvSpPr>
      <xdr:spPr>
        <a:xfrm>
          <a:off x="16337280" y="10896600"/>
          <a:ext cx="238799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68</xdr:row>
      <xdr:rowOff>0</xdr:rowOff>
    </xdr:from>
    <xdr:to>
      <xdr:col>18</xdr:col>
      <xdr:colOff>345830</xdr:colOff>
      <xdr:row>69</xdr:row>
      <xdr:rowOff>0</xdr:rowOff>
    </xdr:to>
    <xdr:sp macro="" textlink="">
      <xdr:nvSpPr>
        <xdr:cNvPr id="3" name="Textfeld 421">
          <a:extLst>
            <a:ext uri="{FF2B5EF4-FFF2-40B4-BE49-F238E27FC236}">
              <a16:creationId xmlns:a16="http://schemas.microsoft.com/office/drawing/2014/main" id="{3B3F30D2-8DC1-47A2-9D49-831F9015D297}"/>
            </a:ext>
          </a:extLst>
        </xdr:cNvPr>
        <xdr:cNvSpPr txBox="1"/>
      </xdr:nvSpPr>
      <xdr:spPr bwMode="auto">
        <a:xfrm>
          <a:off x="16337280" y="11399520"/>
          <a:ext cx="238799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HV</a:t>
          </a:r>
        </a:p>
      </xdr:txBody>
    </xdr:sp>
    <xdr:clientData/>
  </xdr:twoCellAnchor>
  <xdr:twoCellAnchor>
    <xdr:from>
      <xdr:col>16</xdr:col>
      <xdr:colOff>1</xdr:colOff>
      <xdr:row>69</xdr:row>
      <xdr:rowOff>0</xdr:rowOff>
    </xdr:from>
    <xdr:to>
      <xdr:col>19</xdr:col>
      <xdr:colOff>0</xdr:colOff>
      <xdr:row>81</xdr:row>
      <xdr:rowOff>0</xdr:rowOff>
    </xdr:to>
    <xdr:sp macro="" textlink="">
      <xdr:nvSpPr>
        <xdr:cNvPr id="4" name="Textfeld 433">
          <a:extLst>
            <a:ext uri="{FF2B5EF4-FFF2-40B4-BE49-F238E27FC236}">
              <a16:creationId xmlns:a16="http://schemas.microsoft.com/office/drawing/2014/main" id="{9043AB45-63C1-452D-9E17-3A5CF7770F3E}"/>
            </a:ext>
          </a:extLst>
        </xdr:cNvPr>
        <xdr:cNvSpPr txBox="1"/>
      </xdr:nvSpPr>
      <xdr:spPr>
        <a:xfrm>
          <a:off x="16337281" y="11567160"/>
          <a:ext cx="3063239" cy="201168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Ausgang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58</xdr:col>
      <xdr:colOff>0</xdr:colOff>
      <xdr:row>6</xdr:row>
      <xdr:rowOff>0</xdr:rowOff>
    </xdr:from>
    <xdr:to>
      <xdr:col>58</xdr:col>
      <xdr:colOff>265113</xdr:colOff>
      <xdr:row>15</xdr:row>
      <xdr:rowOff>24362</xdr:rowOff>
    </xdr:to>
    <xdr:sp macro="" textlink="">
      <xdr:nvSpPr>
        <xdr:cNvPr id="5" name="Textfeld 107">
          <a:extLst>
            <a:ext uri="{FF2B5EF4-FFF2-40B4-BE49-F238E27FC236}">
              <a16:creationId xmlns:a16="http://schemas.microsoft.com/office/drawing/2014/main" id="{31FFE6A9-F699-4C22-95F8-E63861D4C056}"/>
            </a:ext>
          </a:extLst>
        </xdr:cNvPr>
        <xdr:cNvSpPr txBox="1"/>
      </xdr:nvSpPr>
      <xdr:spPr>
        <a:xfrm>
          <a:off x="59222640" y="1005840"/>
          <a:ext cx="265113" cy="153312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Standard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Wer / Ort</a:t>
          </a:r>
        </a:p>
      </xdr:txBody>
    </xdr:sp>
    <xdr:clientData/>
  </xdr:twoCellAnchor>
  <xdr:twoCellAnchor>
    <xdr:from>
      <xdr:col>58</xdr:col>
      <xdr:colOff>266544</xdr:colOff>
      <xdr:row>6</xdr:row>
      <xdr:rowOff>1</xdr:rowOff>
    </xdr:from>
    <xdr:to>
      <xdr:col>58</xdr:col>
      <xdr:colOff>539342</xdr:colOff>
      <xdr:row>15</xdr:row>
      <xdr:rowOff>24363</xdr:rowOff>
    </xdr:to>
    <xdr:sp macro="" textlink="">
      <xdr:nvSpPr>
        <xdr:cNvPr id="6" name="Textfeld 107">
          <a:extLst>
            <a:ext uri="{FF2B5EF4-FFF2-40B4-BE49-F238E27FC236}">
              <a16:creationId xmlns:a16="http://schemas.microsoft.com/office/drawing/2014/main" id="{1A074A4B-0A78-44B4-875B-0A2C1ED6174B}"/>
            </a:ext>
          </a:extLst>
        </xdr:cNvPr>
        <xdr:cNvSpPr txBox="1"/>
      </xdr:nvSpPr>
      <xdr:spPr>
        <a:xfrm>
          <a:off x="59489184" y="1005841"/>
          <a:ext cx="272798" cy="153312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58</xdr:col>
      <xdr:colOff>540378</xdr:colOff>
      <xdr:row>6</xdr:row>
      <xdr:rowOff>0</xdr:rowOff>
    </xdr:from>
    <xdr:to>
      <xdr:col>58</xdr:col>
      <xdr:colOff>813572</xdr:colOff>
      <xdr:row>15</xdr:row>
      <xdr:rowOff>24362</xdr:rowOff>
    </xdr:to>
    <xdr:sp macro="" textlink="">
      <xdr:nvSpPr>
        <xdr:cNvPr id="7" name="Textfeld 107">
          <a:extLst>
            <a:ext uri="{FF2B5EF4-FFF2-40B4-BE49-F238E27FC236}">
              <a16:creationId xmlns:a16="http://schemas.microsoft.com/office/drawing/2014/main" id="{8D4B6C65-C26E-4EB8-9483-F9BC248DC2FB}"/>
            </a:ext>
          </a:extLst>
        </xdr:cNvPr>
        <xdr:cNvSpPr txBox="1"/>
      </xdr:nvSpPr>
      <xdr:spPr>
        <a:xfrm>
          <a:off x="59763018" y="1005840"/>
          <a:ext cx="273194" cy="1533122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Hervorgehoben</a:t>
          </a:r>
        </a:p>
      </xdr:txBody>
    </xdr:sp>
    <xdr:clientData/>
  </xdr:twoCellAnchor>
  <xdr:twoCellAnchor>
    <xdr:from>
      <xdr:col>58</xdr:col>
      <xdr:colOff>815656</xdr:colOff>
      <xdr:row>6</xdr:row>
      <xdr:rowOff>0</xdr:rowOff>
    </xdr:from>
    <xdr:to>
      <xdr:col>59</xdr:col>
      <xdr:colOff>643264</xdr:colOff>
      <xdr:row>6</xdr:row>
      <xdr:rowOff>408344</xdr:rowOff>
    </xdr:to>
    <xdr:sp macro="" textlink="">
      <xdr:nvSpPr>
        <xdr:cNvPr id="8" name="Textfeld 107">
          <a:extLst>
            <a:ext uri="{FF2B5EF4-FFF2-40B4-BE49-F238E27FC236}">
              <a16:creationId xmlns:a16="http://schemas.microsoft.com/office/drawing/2014/main" id="{1AA24447-7239-4D89-87C0-33F3DC76C252}"/>
            </a:ext>
          </a:extLst>
        </xdr:cNvPr>
        <xdr:cNvSpPr txBox="1"/>
      </xdr:nvSpPr>
      <xdr:spPr>
        <a:xfrm rot="5400000">
          <a:off x="60380388" y="663748"/>
          <a:ext cx="164504" cy="848688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Extern</a:t>
          </a:r>
        </a:p>
      </xdr:txBody>
    </xdr:sp>
    <xdr:clientData/>
  </xdr:twoCellAnchor>
  <xdr:twoCellAnchor>
    <xdr:from>
      <xdr:col>61</xdr:col>
      <xdr:colOff>0</xdr:colOff>
      <xdr:row>6</xdr:row>
      <xdr:rowOff>286372</xdr:rowOff>
    </xdr:from>
    <xdr:to>
      <xdr:col>63</xdr:col>
      <xdr:colOff>28015</xdr:colOff>
      <xdr:row>6</xdr:row>
      <xdr:rowOff>286372</xdr:rowOff>
    </xdr:to>
    <xdr:cxnSp macro="">
      <xdr:nvCxnSpPr>
        <xdr:cNvPr id="9" name="Gerader Verbinder 188">
          <a:extLst>
            <a:ext uri="{FF2B5EF4-FFF2-40B4-BE49-F238E27FC236}">
              <a16:creationId xmlns:a16="http://schemas.microsoft.com/office/drawing/2014/main" id="{C111301F-5D48-4C13-A5FF-4D650458DDB9}"/>
            </a:ext>
          </a:extLst>
        </xdr:cNvPr>
        <xdr:cNvCxnSpPr/>
      </xdr:nvCxnSpPr>
      <xdr:spPr bwMode="auto">
        <a:xfrm>
          <a:off x="62285880" y="1170292"/>
          <a:ext cx="2070175" cy="0"/>
        </a:xfrm>
        <a:prstGeom prst="line">
          <a:avLst/>
        </a:prstGeom>
        <a:solidFill>
          <a:schemeClr val="bg1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61</xdr:col>
      <xdr:colOff>0</xdr:colOff>
      <xdr:row>6</xdr:row>
      <xdr:rowOff>0</xdr:rowOff>
    </xdr:from>
    <xdr:to>
      <xdr:col>63</xdr:col>
      <xdr:colOff>28015</xdr:colOff>
      <xdr:row>6</xdr:row>
      <xdr:rowOff>191122</xdr:rowOff>
    </xdr:to>
    <xdr:sp macro="" textlink="">
      <xdr:nvSpPr>
        <xdr:cNvPr id="10" name="Textfeld 340">
          <a:extLst>
            <a:ext uri="{FF2B5EF4-FFF2-40B4-BE49-F238E27FC236}">
              <a16:creationId xmlns:a16="http://schemas.microsoft.com/office/drawing/2014/main" id="{3556C2CA-DECB-4678-BB21-D83AAAB141FA}"/>
            </a:ext>
          </a:extLst>
        </xdr:cNvPr>
        <xdr:cNvSpPr txBox="1"/>
      </xdr:nvSpPr>
      <xdr:spPr>
        <a:xfrm>
          <a:off x="62285880" y="1005840"/>
          <a:ext cx="2070175" cy="168262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  <a:r>
            <a:rPr lang="de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Four</a:t>
          </a:r>
          <a:r>
            <a:rPr lang="de-CH" sz="7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/ Esssaal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61</xdr:col>
      <xdr:colOff>757209</xdr:colOff>
      <xdr:row>6</xdr:row>
      <xdr:rowOff>236408</xdr:rowOff>
    </xdr:from>
    <xdr:to>
      <xdr:col>62</xdr:col>
      <xdr:colOff>305043</xdr:colOff>
      <xdr:row>6</xdr:row>
      <xdr:rowOff>362058</xdr:rowOff>
    </xdr:to>
    <xdr:sp macro="" textlink="">
      <xdr:nvSpPr>
        <xdr:cNvPr id="11" name="Textfeld 52">
          <a:extLst>
            <a:ext uri="{FF2B5EF4-FFF2-40B4-BE49-F238E27FC236}">
              <a16:creationId xmlns:a16="http://schemas.microsoft.com/office/drawing/2014/main" id="{DF77803B-5185-43E8-9E2E-B4EF5CAA59D5}"/>
            </a:ext>
          </a:extLst>
        </xdr:cNvPr>
        <xdr:cNvSpPr txBox="1"/>
      </xdr:nvSpPr>
      <xdr:spPr bwMode="auto">
        <a:xfrm>
          <a:off x="63043089" y="1173668"/>
          <a:ext cx="568914" cy="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61</xdr:col>
      <xdr:colOff>1</xdr:colOff>
      <xdr:row>6</xdr:row>
      <xdr:rowOff>286372</xdr:rowOff>
    </xdr:from>
    <xdr:to>
      <xdr:col>63</xdr:col>
      <xdr:colOff>28016</xdr:colOff>
      <xdr:row>6</xdr:row>
      <xdr:rowOff>286372</xdr:rowOff>
    </xdr:to>
    <xdr:cxnSp macro="">
      <xdr:nvCxnSpPr>
        <xdr:cNvPr id="12" name="Gerader Verbinder 188">
          <a:extLst>
            <a:ext uri="{FF2B5EF4-FFF2-40B4-BE49-F238E27FC236}">
              <a16:creationId xmlns:a16="http://schemas.microsoft.com/office/drawing/2014/main" id="{574CD10B-C937-4129-ACA8-0D9F8D3DC6CD}"/>
            </a:ext>
          </a:extLst>
        </xdr:cNvPr>
        <xdr:cNvCxnSpPr/>
      </xdr:nvCxnSpPr>
      <xdr:spPr bwMode="auto">
        <a:xfrm>
          <a:off x="62285881" y="1170292"/>
          <a:ext cx="2070175" cy="0"/>
        </a:xfrm>
        <a:prstGeom prst="line">
          <a:avLst/>
        </a:prstGeom>
        <a:solidFill>
          <a:schemeClr val="bg1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61</xdr:col>
      <xdr:colOff>1</xdr:colOff>
      <xdr:row>6</xdr:row>
      <xdr:rowOff>0</xdr:rowOff>
    </xdr:from>
    <xdr:to>
      <xdr:col>63</xdr:col>
      <xdr:colOff>28016</xdr:colOff>
      <xdr:row>6</xdr:row>
      <xdr:rowOff>191122</xdr:rowOff>
    </xdr:to>
    <xdr:sp macro="" textlink="">
      <xdr:nvSpPr>
        <xdr:cNvPr id="13" name="Textfeld 340">
          <a:extLst>
            <a:ext uri="{FF2B5EF4-FFF2-40B4-BE49-F238E27FC236}">
              <a16:creationId xmlns:a16="http://schemas.microsoft.com/office/drawing/2014/main" id="{1E23BA84-3688-465A-8561-D57FD33D907B}"/>
            </a:ext>
          </a:extLst>
        </xdr:cNvPr>
        <xdr:cNvSpPr txBox="1"/>
      </xdr:nvSpPr>
      <xdr:spPr>
        <a:xfrm>
          <a:off x="62285881" y="1005840"/>
          <a:ext cx="2070175" cy="168262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  <a:r>
            <a:rPr lang="de-CH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Four</a:t>
          </a:r>
          <a:r>
            <a:rPr lang="de-CH" sz="7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/ Esssaal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61</xdr:col>
      <xdr:colOff>757210</xdr:colOff>
      <xdr:row>6</xdr:row>
      <xdr:rowOff>236408</xdr:rowOff>
    </xdr:from>
    <xdr:to>
      <xdr:col>62</xdr:col>
      <xdr:colOff>305044</xdr:colOff>
      <xdr:row>6</xdr:row>
      <xdr:rowOff>362058</xdr:rowOff>
    </xdr:to>
    <xdr:sp macro="" textlink="">
      <xdr:nvSpPr>
        <xdr:cNvPr id="14" name="Textfeld 52">
          <a:extLst>
            <a:ext uri="{FF2B5EF4-FFF2-40B4-BE49-F238E27FC236}">
              <a16:creationId xmlns:a16="http://schemas.microsoft.com/office/drawing/2014/main" id="{98D9DB28-36FC-4564-B629-4D7FED15DC7A}"/>
            </a:ext>
          </a:extLst>
        </xdr:cNvPr>
        <xdr:cNvSpPr txBox="1"/>
      </xdr:nvSpPr>
      <xdr:spPr bwMode="auto">
        <a:xfrm>
          <a:off x="63043090" y="1173668"/>
          <a:ext cx="568914" cy="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12</xdr:col>
      <xdr:colOff>0</xdr:colOff>
      <xdr:row>17</xdr:row>
      <xdr:rowOff>0</xdr:rowOff>
    </xdr:to>
    <xdr:sp macro="" textlink="">
      <xdr:nvSpPr>
        <xdr:cNvPr id="15" name="Textfeld 340">
          <a:extLst>
            <a:ext uri="{FF2B5EF4-FFF2-40B4-BE49-F238E27FC236}">
              <a16:creationId xmlns:a16="http://schemas.microsoft.com/office/drawing/2014/main" id="{BD5682D8-1B01-4035-9855-574969BFA7BE}"/>
            </a:ext>
          </a:extLst>
        </xdr:cNvPr>
        <xdr:cNvSpPr txBox="1"/>
      </xdr:nvSpPr>
      <xdr:spPr>
        <a:xfrm>
          <a:off x="9189720" y="2179320"/>
          <a:ext cx="306324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9</xdr:col>
      <xdr:colOff>2</xdr:colOff>
      <xdr:row>37</xdr:row>
      <xdr:rowOff>0</xdr:rowOff>
    </xdr:from>
    <xdr:to>
      <xdr:col>12</xdr:col>
      <xdr:colOff>0</xdr:colOff>
      <xdr:row>41</xdr:row>
      <xdr:rowOff>0</xdr:rowOff>
    </xdr:to>
    <xdr:sp macro="" textlink="">
      <xdr:nvSpPr>
        <xdr:cNvPr id="16" name="Textfeld 319">
          <a:extLst>
            <a:ext uri="{FF2B5EF4-FFF2-40B4-BE49-F238E27FC236}">
              <a16:creationId xmlns:a16="http://schemas.microsoft.com/office/drawing/2014/main" id="{6F25D644-B7D6-4348-AF93-A2A9A806347F}"/>
            </a:ext>
          </a:extLst>
        </xdr:cNvPr>
        <xdr:cNvSpPr txBox="1"/>
      </xdr:nvSpPr>
      <xdr:spPr>
        <a:xfrm>
          <a:off x="9189722" y="6202680"/>
          <a:ext cx="3063238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9</xdr:col>
      <xdr:colOff>1</xdr:colOff>
      <xdr:row>61</xdr:row>
      <xdr:rowOff>0</xdr:rowOff>
    </xdr:from>
    <xdr:to>
      <xdr:col>12</xdr:col>
      <xdr:colOff>0</xdr:colOff>
      <xdr:row>64</xdr:row>
      <xdr:rowOff>95249</xdr:rowOff>
    </xdr:to>
    <xdr:sp macro="" textlink="">
      <xdr:nvSpPr>
        <xdr:cNvPr id="17" name="Textfeld 319">
          <a:extLst>
            <a:ext uri="{FF2B5EF4-FFF2-40B4-BE49-F238E27FC236}">
              <a16:creationId xmlns:a16="http://schemas.microsoft.com/office/drawing/2014/main" id="{398452CE-018F-48B8-B6DF-2274F3AC0FDC}"/>
            </a:ext>
          </a:extLst>
        </xdr:cNvPr>
        <xdr:cNvSpPr txBox="1"/>
      </xdr:nvSpPr>
      <xdr:spPr>
        <a:xfrm>
          <a:off x="9189721" y="10226040"/>
          <a:ext cx="3063239" cy="59816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16</xdr:col>
      <xdr:colOff>2</xdr:colOff>
      <xdr:row>13</xdr:row>
      <xdr:rowOff>0</xdr:rowOff>
    </xdr:from>
    <xdr:to>
      <xdr:col>19</xdr:col>
      <xdr:colOff>0</xdr:colOff>
      <xdr:row>17</xdr:row>
      <xdr:rowOff>0</xdr:rowOff>
    </xdr:to>
    <xdr:sp macro="" textlink="">
      <xdr:nvSpPr>
        <xdr:cNvPr id="18" name="Textfeld 340">
          <a:extLst>
            <a:ext uri="{FF2B5EF4-FFF2-40B4-BE49-F238E27FC236}">
              <a16:creationId xmlns:a16="http://schemas.microsoft.com/office/drawing/2014/main" id="{334F4B84-E5C4-4F41-8A65-C4A498A91D92}"/>
            </a:ext>
          </a:extLst>
        </xdr:cNvPr>
        <xdr:cNvSpPr txBox="1"/>
      </xdr:nvSpPr>
      <xdr:spPr>
        <a:xfrm>
          <a:off x="16337282" y="2179320"/>
          <a:ext cx="3063238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16</xdr:col>
      <xdr:colOff>3</xdr:colOff>
      <xdr:row>37</xdr:row>
      <xdr:rowOff>0</xdr:rowOff>
    </xdr:from>
    <xdr:to>
      <xdr:col>19</xdr:col>
      <xdr:colOff>0</xdr:colOff>
      <xdr:row>41</xdr:row>
      <xdr:rowOff>0</xdr:rowOff>
    </xdr:to>
    <xdr:sp macro="" textlink="">
      <xdr:nvSpPr>
        <xdr:cNvPr id="19" name="Textfeld 319">
          <a:extLst>
            <a:ext uri="{FF2B5EF4-FFF2-40B4-BE49-F238E27FC236}">
              <a16:creationId xmlns:a16="http://schemas.microsoft.com/office/drawing/2014/main" id="{95D32985-AC18-40D5-8FE7-DCCF29505552}"/>
            </a:ext>
          </a:extLst>
        </xdr:cNvPr>
        <xdr:cNvSpPr txBox="1"/>
      </xdr:nvSpPr>
      <xdr:spPr>
        <a:xfrm>
          <a:off x="16337283" y="6202680"/>
          <a:ext cx="3063237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16</xdr:col>
      <xdr:colOff>2</xdr:colOff>
      <xdr:row>60</xdr:row>
      <xdr:rowOff>99646</xdr:rowOff>
    </xdr:from>
    <xdr:to>
      <xdr:col>19</xdr:col>
      <xdr:colOff>0</xdr:colOff>
      <xdr:row>64</xdr:row>
      <xdr:rowOff>95249</xdr:rowOff>
    </xdr:to>
    <xdr:sp macro="" textlink="">
      <xdr:nvSpPr>
        <xdr:cNvPr id="20" name="Textfeld 319">
          <a:extLst>
            <a:ext uri="{FF2B5EF4-FFF2-40B4-BE49-F238E27FC236}">
              <a16:creationId xmlns:a16="http://schemas.microsoft.com/office/drawing/2014/main" id="{A73DE639-C125-4210-8CBA-FD90C9C81E1A}"/>
            </a:ext>
          </a:extLst>
        </xdr:cNvPr>
        <xdr:cNvSpPr txBox="1"/>
      </xdr:nvSpPr>
      <xdr:spPr>
        <a:xfrm>
          <a:off x="16337282" y="10158046"/>
          <a:ext cx="3063238" cy="666163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23</xdr:col>
      <xdr:colOff>2</xdr:colOff>
      <xdr:row>13</xdr:row>
      <xdr:rowOff>0</xdr:rowOff>
    </xdr:from>
    <xdr:to>
      <xdr:col>26</xdr:col>
      <xdr:colOff>0</xdr:colOff>
      <xdr:row>17</xdr:row>
      <xdr:rowOff>0</xdr:rowOff>
    </xdr:to>
    <xdr:sp macro="" textlink="">
      <xdr:nvSpPr>
        <xdr:cNvPr id="21" name="Textfeld 340">
          <a:extLst>
            <a:ext uri="{FF2B5EF4-FFF2-40B4-BE49-F238E27FC236}">
              <a16:creationId xmlns:a16="http://schemas.microsoft.com/office/drawing/2014/main" id="{8FECB964-F99E-4C4D-83AD-1A012D349181}"/>
            </a:ext>
          </a:extLst>
        </xdr:cNvPr>
        <xdr:cNvSpPr txBox="1"/>
      </xdr:nvSpPr>
      <xdr:spPr>
        <a:xfrm>
          <a:off x="23484842" y="2179320"/>
          <a:ext cx="3063238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23</xdr:col>
      <xdr:colOff>3</xdr:colOff>
      <xdr:row>37</xdr:row>
      <xdr:rowOff>0</xdr:rowOff>
    </xdr:from>
    <xdr:to>
      <xdr:col>26</xdr:col>
      <xdr:colOff>0</xdr:colOff>
      <xdr:row>41</xdr:row>
      <xdr:rowOff>0</xdr:rowOff>
    </xdr:to>
    <xdr:sp macro="" textlink="">
      <xdr:nvSpPr>
        <xdr:cNvPr id="22" name="Textfeld 319">
          <a:extLst>
            <a:ext uri="{FF2B5EF4-FFF2-40B4-BE49-F238E27FC236}">
              <a16:creationId xmlns:a16="http://schemas.microsoft.com/office/drawing/2014/main" id="{D7AF5513-B95D-492B-A4D6-C9A12386DD19}"/>
            </a:ext>
          </a:extLst>
        </xdr:cNvPr>
        <xdr:cNvSpPr txBox="1"/>
      </xdr:nvSpPr>
      <xdr:spPr>
        <a:xfrm>
          <a:off x="23484843" y="6202680"/>
          <a:ext cx="3063237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23</xdr:col>
      <xdr:colOff>2</xdr:colOff>
      <xdr:row>61</xdr:row>
      <xdr:rowOff>0</xdr:rowOff>
    </xdr:from>
    <xdr:to>
      <xdr:col>26</xdr:col>
      <xdr:colOff>0</xdr:colOff>
      <xdr:row>64</xdr:row>
      <xdr:rowOff>95249</xdr:rowOff>
    </xdr:to>
    <xdr:sp macro="" textlink="">
      <xdr:nvSpPr>
        <xdr:cNvPr id="23" name="Textfeld 319">
          <a:extLst>
            <a:ext uri="{FF2B5EF4-FFF2-40B4-BE49-F238E27FC236}">
              <a16:creationId xmlns:a16="http://schemas.microsoft.com/office/drawing/2014/main" id="{457D37BF-EB3D-4E94-BCBE-FF54A9E0F8D2}"/>
            </a:ext>
          </a:extLst>
        </xdr:cNvPr>
        <xdr:cNvSpPr txBox="1"/>
      </xdr:nvSpPr>
      <xdr:spPr>
        <a:xfrm>
          <a:off x="23484842" y="10226040"/>
          <a:ext cx="3063238" cy="59816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30</xdr:col>
      <xdr:colOff>2</xdr:colOff>
      <xdr:row>13</xdr:row>
      <xdr:rowOff>0</xdr:rowOff>
    </xdr:from>
    <xdr:to>
      <xdr:col>33</xdr:col>
      <xdr:colOff>1</xdr:colOff>
      <xdr:row>17</xdr:row>
      <xdr:rowOff>0</xdr:rowOff>
    </xdr:to>
    <xdr:sp macro="" textlink="">
      <xdr:nvSpPr>
        <xdr:cNvPr id="24" name="Textfeld 340">
          <a:extLst>
            <a:ext uri="{FF2B5EF4-FFF2-40B4-BE49-F238E27FC236}">
              <a16:creationId xmlns:a16="http://schemas.microsoft.com/office/drawing/2014/main" id="{576F88BA-9B65-4C62-B1B5-3F70E751CBAD}"/>
            </a:ext>
          </a:extLst>
        </xdr:cNvPr>
        <xdr:cNvSpPr txBox="1"/>
      </xdr:nvSpPr>
      <xdr:spPr>
        <a:xfrm>
          <a:off x="30632402" y="2179320"/>
          <a:ext cx="306323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l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MoE</a:t>
          </a:r>
        </a:p>
      </xdr:txBody>
    </xdr:sp>
    <xdr:clientData/>
  </xdr:twoCellAnchor>
  <xdr:twoCellAnchor>
    <xdr:from>
      <xdr:col>30</xdr:col>
      <xdr:colOff>1</xdr:colOff>
      <xdr:row>37</xdr:row>
      <xdr:rowOff>0</xdr:rowOff>
    </xdr:from>
    <xdr:to>
      <xdr:col>33</xdr:col>
      <xdr:colOff>2</xdr:colOff>
      <xdr:row>41</xdr:row>
      <xdr:rowOff>0</xdr:rowOff>
    </xdr:to>
    <xdr:sp macro="" textlink="">
      <xdr:nvSpPr>
        <xdr:cNvPr id="25" name="Textfeld 319">
          <a:extLst>
            <a:ext uri="{FF2B5EF4-FFF2-40B4-BE49-F238E27FC236}">
              <a16:creationId xmlns:a16="http://schemas.microsoft.com/office/drawing/2014/main" id="{ECC7FF04-D03F-4D08-9D95-00C965EC3B71}"/>
            </a:ext>
          </a:extLst>
        </xdr:cNvPr>
        <xdr:cNvSpPr txBox="1"/>
      </xdr:nvSpPr>
      <xdr:spPr>
        <a:xfrm>
          <a:off x="30632401" y="6202680"/>
          <a:ext cx="3063241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30</xdr:col>
      <xdr:colOff>1</xdr:colOff>
      <xdr:row>61</xdr:row>
      <xdr:rowOff>1</xdr:rowOff>
    </xdr:from>
    <xdr:to>
      <xdr:col>35</xdr:col>
      <xdr:colOff>0</xdr:colOff>
      <xdr:row>65</xdr:row>
      <xdr:rowOff>0</xdr:rowOff>
    </xdr:to>
    <xdr:sp macro="" textlink="">
      <xdr:nvSpPr>
        <xdr:cNvPr id="26" name="Textfeld 319">
          <a:extLst>
            <a:ext uri="{FF2B5EF4-FFF2-40B4-BE49-F238E27FC236}">
              <a16:creationId xmlns:a16="http://schemas.microsoft.com/office/drawing/2014/main" id="{AAFAA08C-C68F-4114-851E-BB667649D5D8}"/>
            </a:ext>
          </a:extLst>
        </xdr:cNvPr>
        <xdr:cNvSpPr txBox="1"/>
      </xdr:nvSpPr>
      <xdr:spPr>
        <a:xfrm>
          <a:off x="30632401" y="10226041"/>
          <a:ext cx="5105399" cy="67055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27" name="Textfeld 340">
          <a:extLst>
            <a:ext uri="{FF2B5EF4-FFF2-40B4-BE49-F238E27FC236}">
              <a16:creationId xmlns:a16="http://schemas.microsoft.com/office/drawing/2014/main" id="{AFFE467F-3C6E-4AA2-B15E-6E7F68B88580}"/>
            </a:ext>
          </a:extLst>
        </xdr:cNvPr>
        <xdr:cNvSpPr txBox="1"/>
      </xdr:nvSpPr>
      <xdr:spPr>
        <a:xfrm>
          <a:off x="2042161" y="2179320"/>
          <a:ext cx="306323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2</xdr:col>
      <xdr:colOff>0</xdr:colOff>
      <xdr:row>60</xdr:row>
      <xdr:rowOff>99646</xdr:rowOff>
    </xdr:from>
    <xdr:to>
      <xdr:col>5</xdr:col>
      <xdr:colOff>0</xdr:colOff>
      <xdr:row>64</xdr:row>
      <xdr:rowOff>95249</xdr:rowOff>
    </xdr:to>
    <xdr:sp macro="" textlink="">
      <xdr:nvSpPr>
        <xdr:cNvPr id="28" name="Textfeld 319">
          <a:extLst>
            <a:ext uri="{FF2B5EF4-FFF2-40B4-BE49-F238E27FC236}">
              <a16:creationId xmlns:a16="http://schemas.microsoft.com/office/drawing/2014/main" id="{B63B0EDE-19A9-4A0C-BAB3-0CD54B1444F9}"/>
            </a:ext>
          </a:extLst>
        </xdr:cNvPr>
        <xdr:cNvSpPr txBox="1"/>
      </xdr:nvSpPr>
      <xdr:spPr>
        <a:xfrm>
          <a:off x="2042160" y="10158046"/>
          <a:ext cx="3063240" cy="666163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NaE</a:t>
          </a:r>
        </a:p>
      </xdr:txBody>
    </xdr:sp>
    <xdr:clientData/>
  </xdr:twoCellAnchor>
  <xdr:twoCellAnchor>
    <xdr:from>
      <xdr:col>14</xdr:col>
      <xdr:colOff>1</xdr:colOff>
      <xdr:row>35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9" name="Rechteck 302">
          <a:extLst>
            <a:ext uri="{FF2B5EF4-FFF2-40B4-BE49-F238E27FC236}">
              <a16:creationId xmlns:a16="http://schemas.microsoft.com/office/drawing/2014/main" id="{AAB257AE-A3BE-4A71-AE09-81379C523036}"/>
            </a:ext>
          </a:extLst>
        </xdr:cNvPr>
        <xdr:cNvSpPr/>
      </xdr:nvSpPr>
      <xdr:spPr bwMode="auto">
        <a:xfrm>
          <a:off x="14295121" y="5867400"/>
          <a:ext cx="1021079" cy="502920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21</xdr:col>
      <xdr:colOff>1</xdr:colOff>
      <xdr:row>35</xdr:row>
      <xdr:rowOff>0</xdr:rowOff>
    </xdr:from>
    <xdr:to>
      <xdr:col>21</xdr:col>
      <xdr:colOff>273327</xdr:colOff>
      <xdr:row>38</xdr:row>
      <xdr:rowOff>11232</xdr:rowOff>
    </xdr:to>
    <xdr:sp macro="" textlink="">
      <xdr:nvSpPr>
        <xdr:cNvPr id="30" name="Rechteck 302">
          <a:extLst>
            <a:ext uri="{FF2B5EF4-FFF2-40B4-BE49-F238E27FC236}">
              <a16:creationId xmlns:a16="http://schemas.microsoft.com/office/drawing/2014/main" id="{FC04C9A5-363A-4FD9-8AF8-1F8F4710C8C5}"/>
            </a:ext>
          </a:extLst>
        </xdr:cNvPr>
        <xdr:cNvSpPr/>
      </xdr:nvSpPr>
      <xdr:spPr bwMode="auto">
        <a:xfrm>
          <a:off x="21442681" y="5867400"/>
          <a:ext cx="273326" cy="514152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28</xdr:col>
      <xdr:colOff>1</xdr:colOff>
      <xdr:row>35</xdr:row>
      <xdr:rowOff>0</xdr:rowOff>
    </xdr:from>
    <xdr:to>
      <xdr:col>28</xdr:col>
      <xdr:colOff>273327</xdr:colOff>
      <xdr:row>38</xdr:row>
      <xdr:rowOff>11232</xdr:rowOff>
    </xdr:to>
    <xdr:sp macro="" textlink="">
      <xdr:nvSpPr>
        <xdr:cNvPr id="31" name="Rechteck 302">
          <a:extLst>
            <a:ext uri="{FF2B5EF4-FFF2-40B4-BE49-F238E27FC236}">
              <a16:creationId xmlns:a16="http://schemas.microsoft.com/office/drawing/2014/main" id="{C5CD49EB-3F82-4542-934D-94988DF050A6}"/>
            </a:ext>
          </a:extLst>
        </xdr:cNvPr>
        <xdr:cNvSpPr/>
      </xdr:nvSpPr>
      <xdr:spPr bwMode="auto">
        <a:xfrm>
          <a:off x="28590241" y="5867400"/>
          <a:ext cx="273326" cy="514152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35</xdr:col>
      <xdr:colOff>1</xdr:colOff>
      <xdr:row>35</xdr:row>
      <xdr:rowOff>0</xdr:rowOff>
    </xdr:from>
    <xdr:to>
      <xdr:col>35</xdr:col>
      <xdr:colOff>273327</xdr:colOff>
      <xdr:row>38</xdr:row>
      <xdr:rowOff>11232</xdr:rowOff>
    </xdr:to>
    <xdr:sp macro="" textlink="">
      <xdr:nvSpPr>
        <xdr:cNvPr id="32" name="Rechteck 302">
          <a:extLst>
            <a:ext uri="{FF2B5EF4-FFF2-40B4-BE49-F238E27FC236}">
              <a16:creationId xmlns:a16="http://schemas.microsoft.com/office/drawing/2014/main" id="{7AB7E2BE-DA01-402C-AD8C-247BECBE9277}"/>
            </a:ext>
          </a:extLst>
        </xdr:cNvPr>
        <xdr:cNvSpPr/>
      </xdr:nvSpPr>
      <xdr:spPr bwMode="auto">
        <a:xfrm>
          <a:off x="35737801" y="5867400"/>
          <a:ext cx="273326" cy="514152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7</xdr:col>
      <xdr:colOff>2899</xdr:colOff>
      <xdr:row>19</xdr:row>
      <xdr:rowOff>0</xdr:rowOff>
    </xdr:from>
    <xdr:to>
      <xdr:col>8</xdr:col>
      <xdr:colOff>0</xdr:colOff>
      <xdr:row>21</xdr:row>
      <xdr:rowOff>12425</xdr:rowOff>
    </xdr:to>
    <xdr:sp macro="" textlink="">
      <xdr:nvSpPr>
        <xdr:cNvPr id="33" name="Rechteck 311">
          <a:extLst>
            <a:ext uri="{FF2B5EF4-FFF2-40B4-BE49-F238E27FC236}">
              <a16:creationId xmlns:a16="http://schemas.microsoft.com/office/drawing/2014/main" id="{F12C3583-60ED-45A1-B5B8-D5AE1D7842A8}"/>
            </a:ext>
          </a:extLst>
        </xdr:cNvPr>
        <xdr:cNvSpPr/>
      </xdr:nvSpPr>
      <xdr:spPr bwMode="auto">
        <a:xfrm>
          <a:off x="7150459" y="3185160"/>
          <a:ext cx="1018181" cy="347705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35</xdr:col>
      <xdr:colOff>1</xdr:colOff>
      <xdr:row>19</xdr:row>
      <xdr:rowOff>0</xdr:rowOff>
    </xdr:from>
    <xdr:to>
      <xdr:col>35</xdr:col>
      <xdr:colOff>273327</xdr:colOff>
      <xdr:row>21</xdr:row>
      <xdr:rowOff>12425</xdr:rowOff>
    </xdr:to>
    <xdr:sp macro="" textlink="">
      <xdr:nvSpPr>
        <xdr:cNvPr id="34" name="Rechteck 311">
          <a:extLst>
            <a:ext uri="{FF2B5EF4-FFF2-40B4-BE49-F238E27FC236}">
              <a16:creationId xmlns:a16="http://schemas.microsoft.com/office/drawing/2014/main" id="{C2AC1000-B773-468A-A133-531E12B41C0B}"/>
            </a:ext>
          </a:extLst>
        </xdr:cNvPr>
        <xdr:cNvSpPr/>
      </xdr:nvSpPr>
      <xdr:spPr bwMode="auto">
        <a:xfrm>
          <a:off x="35737801" y="3185160"/>
          <a:ext cx="273326" cy="347705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28</xdr:col>
      <xdr:colOff>1</xdr:colOff>
      <xdr:row>19</xdr:row>
      <xdr:rowOff>0</xdr:rowOff>
    </xdr:from>
    <xdr:to>
      <xdr:col>28</xdr:col>
      <xdr:colOff>273327</xdr:colOff>
      <xdr:row>21</xdr:row>
      <xdr:rowOff>12425</xdr:rowOff>
    </xdr:to>
    <xdr:sp macro="" textlink="">
      <xdr:nvSpPr>
        <xdr:cNvPr id="35" name="Rechteck 311">
          <a:extLst>
            <a:ext uri="{FF2B5EF4-FFF2-40B4-BE49-F238E27FC236}">
              <a16:creationId xmlns:a16="http://schemas.microsoft.com/office/drawing/2014/main" id="{B4E2EE1A-FB09-49FD-A26F-2269C177F693}"/>
            </a:ext>
          </a:extLst>
        </xdr:cNvPr>
        <xdr:cNvSpPr/>
      </xdr:nvSpPr>
      <xdr:spPr bwMode="auto">
        <a:xfrm>
          <a:off x="28590241" y="3185160"/>
          <a:ext cx="273326" cy="347705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21</xdr:col>
      <xdr:colOff>1</xdr:colOff>
      <xdr:row>19</xdr:row>
      <xdr:rowOff>0</xdr:rowOff>
    </xdr:from>
    <xdr:to>
      <xdr:col>21</xdr:col>
      <xdr:colOff>273327</xdr:colOff>
      <xdr:row>21</xdr:row>
      <xdr:rowOff>12425</xdr:rowOff>
    </xdr:to>
    <xdr:sp macro="" textlink="">
      <xdr:nvSpPr>
        <xdr:cNvPr id="36" name="Rechteck 311">
          <a:extLst>
            <a:ext uri="{FF2B5EF4-FFF2-40B4-BE49-F238E27FC236}">
              <a16:creationId xmlns:a16="http://schemas.microsoft.com/office/drawing/2014/main" id="{65A10ADE-38D9-4326-B82E-F8F50CD4D3DA}"/>
            </a:ext>
          </a:extLst>
        </xdr:cNvPr>
        <xdr:cNvSpPr/>
      </xdr:nvSpPr>
      <xdr:spPr bwMode="auto">
        <a:xfrm>
          <a:off x="21442681" y="3185160"/>
          <a:ext cx="273326" cy="347705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14</xdr:col>
      <xdr:colOff>2899</xdr:colOff>
      <xdr:row>58</xdr:row>
      <xdr:rowOff>82825</xdr:rowOff>
    </xdr:from>
    <xdr:to>
      <xdr:col>15</xdr:col>
      <xdr:colOff>0</xdr:colOff>
      <xdr:row>61</xdr:row>
      <xdr:rowOff>0</xdr:rowOff>
    </xdr:to>
    <xdr:sp macro="" textlink="">
      <xdr:nvSpPr>
        <xdr:cNvPr id="37" name="Rechteck 311">
          <a:extLst>
            <a:ext uri="{FF2B5EF4-FFF2-40B4-BE49-F238E27FC236}">
              <a16:creationId xmlns:a16="http://schemas.microsoft.com/office/drawing/2014/main" id="{4EBFB84B-BE51-4C10-90EB-8BB1A170F8BC}"/>
            </a:ext>
          </a:extLst>
        </xdr:cNvPr>
        <xdr:cNvSpPr/>
      </xdr:nvSpPr>
      <xdr:spPr bwMode="auto">
        <a:xfrm>
          <a:off x="14298019" y="9805945"/>
          <a:ext cx="1018181" cy="420095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</xdr:col>
      <xdr:colOff>1</xdr:colOff>
      <xdr:row>17</xdr:row>
      <xdr:rowOff>1</xdr:rowOff>
    </xdr:from>
    <xdr:to>
      <xdr:col>5</xdr:col>
      <xdr:colOff>0</xdr:colOff>
      <xdr:row>18</xdr:row>
      <xdr:rowOff>1</xdr:rowOff>
    </xdr:to>
    <xdr:sp macro="" textlink="">
      <xdr:nvSpPr>
        <xdr:cNvPr id="38" name="Textfeld 52">
          <a:extLst>
            <a:ext uri="{FF2B5EF4-FFF2-40B4-BE49-F238E27FC236}">
              <a16:creationId xmlns:a16="http://schemas.microsoft.com/office/drawing/2014/main" id="{E04095C1-DC07-434D-863D-AF955BEED65A}"/>
            </a:ext>
          </a:extLst>
        </xdr:cNvPr>
        <xdr:cNvSpPr txBox="1"/>
      </xdr:nvSpPr>
      <xdr:spPr bwMode="auto">
        <a:xfrm>
          <a:off x="2042161" y="2849881"/>
          <a:ext cx="306323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9</xdr:col>
      <xdr:colOff>1</xdr:colOff>
      <xdr:row>17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39" name="Textfeld 52">
          <a:extLst>
            <a:ext uri="{FF2B5EF4-FFF2-40B4-BE49-F238E27FC236}">
              <a16:creationId xmlns:a16="http://schemas.microsoft.com/office/drawing/2014/main" id="{0DA2157F-FB81-45C3-8EF3-330D0A176E7F}"/>
            </a:ext>
          </a:extLst>
        </xdr:cNvPr>
        <xdr:cNvSpPr txBox="1"/>
      </xdr:nvSpPr>
      <xdr:spPr bwMode="auto">
        <a:xfrm>
          <a:off x="9189721" y="2849880"/>
          <a:ext cx="306323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18</xdr:col>
      <xdr:colOff>345830</xdr:colOff>
      <xdr:row>18</xdr:row>
      <xdr:rowOff>0</xdr:rowOff>
    </xdr:to>
    <xdr:sp macro="" textlink="">
      <xdr:nvSpPr>
        <xdr:cNvPr id="40" name="Textfeld 52">
          <a:extLst>
            <a:ext uri="{FF2B5EF4-FFF2-40B4-BE49-F238E27FC236}">
              <a16:creationId xmlns:a16="http://schemas.microsoft.com/office/drawing/2014/main" id="{FB6CF0B7-2725-422C-8811-E3F6247F7E18}"/>
            </a:ext>
          </a:extLst>
        </xdr:cNvPr>
        <xdr:cNvSpPr txBox="1"/>
      </xdr:nvSpPr>
      <xdr:spPr bwMode="auto">
        <a:xfrm>
          <a:off x="16337280" y="2849880"/>
          <a:ext cx="238799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23</xdr:col>
      <xdr:colOff>1</xdr:colOff>
      <xdr:row>17</xdr:row>
      <xdr:rowOff>0</xdr:rowOff>
    </xdr:from>
    <xdr:to>
      <xdr:col>26</xdr:col>
      <xdr:colOff>0</xdr:colOff>
      <xdr:row>18</xdr:row>
      <xdr:rowOff>0</xdr:rowOff>
    </xdr:to>
    <xdr:sp macro="" textlink="">
      <xdr:nvSpPr>
        <xdr:cNvPr id="41" name="Textfeld 52">
          <a:extLst>
            <a:ext uri="{FF2B5EF4-FFF2-40B4-BE49-F238E27FC236}">
              <a16:creationId xmlns:a16="http://schemas.microsoft.com/office/drawing/2014/main" id="{DD19D5E1-0CF2-477B-8973-35EE487F23C3}"/>
            </a:ext>
          </a:extLst>
        </xdr:cNvPr>
        <xdr:cNvSpPr txBox="1"/>
      </xdr:nvSpPr>
      <xdr:spPr bwMode="auto">
        <a:xfrm>
          <a:off x="23484841" y="2849880"/>
          <a:ext cx="306323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</a:t>
          </a:r>
        </a:p>
      </xdr:txBody>
    </xdr:sp>
    <xdr:clientData/>
  </xdr:twoCellAnchor>
  <xdr:twoCellAnchor>
    <xdr:from>
      <xdr:col>30</xdr:col>
      <xdr:colOff>1</xdr:colOff>
      <xdr:row>17</xdr:row>
      <xdr:rowOff>0</xdr:rowOff>
    </xdr:from>
    <xdr:to>
      <xdr:col>33</xdr:col>
      <xdr:colOff>0</xdr:colOff>
      <xdr:row>18</xdr:row>
      <xdr:rowOff>0</xdr:rowOff>
    </xdr:to>
    <xdr:sp macro="" textlink="">
      <xdr:nvSpPr>
        <xdr:cNvPr id="42" name="Textfeld 52">
          <a:extLst>
            <a:ext uri="{FF2B5EF4-FFF2-40B4-BE49-F238E27FC236}">
              <a16:creationId xmlns:a16="http://schemas.microsoft.com/office/drawing/2014/main" id="{BD7B2EB2-38F8-460E-AC96-B0AAE75AC09E}"/>
            </a:ext>
          </a:extLst>
        </xdr:cNvPr>
        <xdr:cNvSpPr txBox="1"/>
      </xdr:nvSpPr>
      <xdr:spPr bwMode="auto">
        <a:xfrm>
          <a:off x="30632401" y="2849880"/>
          <a:ext cx="306323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l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AV</a:t>
          </a:r>
        </a:p>
      </xdr:txBody>
    </xdr:sp>
    <xdr:clientData/>
  </xdr:twoCellAnchor>
  <xdr:twoCellAnchor>
    <xdr:from>
      <xdr:col>30</xdr:col>
      <xdr:colOff>1</xdr:colOff>
      <xdr:row>75</xdr:row>
      <xdr:rowOff>0</xdr:rowOff>
    </xdr:from>
    <xdr:to>
      <xdr:col>35</xdr:col>
      <xdr:colOff>0</xdr:colOff>
      <xdr:row>79</xdr:row>
      <xdr:rowOff>0</xdr:rowOff>
    </xdr:to>
    <xdr:sp macro="" textlink="">
      <xdr:nvSpPr>
        <xdr:cNvPr id="43" name="Textfeld 433">
          <a:extLst>
            <a:ext uri="{FF2B5EF4-FFF2-40B4-BE49-F238E27FC236}">
              <a16:creationId xmlns:a16="http://schemas.microsoft.com/office/drawing/2014/main" id="{72F2D369-E9C4-4130-92DA-27C9528DCC91}"/>
            </a:ext>
          </a:extLst>
        </xdr:cNvPr>
        <xdr:cNvSpPr txBox="1"/>
      </xdr:nvSpPr>
      <xdr:spPr>
        <a:xfrm>
          <a:off x="30632401" y="12573000"/>
          <a:ext cx="5105399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1</xdr:colOff>
      <xdr:row>64</xdr:row>
      <xdr:rowOff>95251</xdr:rowOff>
    </xdr:from>
    <xdr:to>
      <xdr:col>35</xdr:col>
      <xdr:colOff>0</xdr:colOff>
      <xdr:row>66</xdr:row>
      <xdr:rowOff>0</xdr:rowOff>
    </xdr:to>
    <xdr:sp macro="" textlink="">
      <xdr:nvSpPr>
        <xdr:cNvPr id="44" name="Textfeld 421">
          <a:extLst>
            <a:ext uri="{FF2B5EF4-FFF2-40B4-BE49-F238E27FC236}">
              <a16:creationId xmlns:a16="http://schemas.microsoft.com/office/drawing/2014/main" id="{A76F4D05-D45F-4593-8CAC-CA63A02E2BA1}"/>
            </a:ext>
          </a:extLst>
        </xdr:cNvPr>
        <xdr:cNvSpPr txBox="1"/>
      </xdr:nvSpPr>
      <xdr:spPr bwMode="auto">
        <a:xfrm>
          <a:off x="30632401" y="10824211"/>
          <a:ext cx="5105399" cy="24002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Besammlung Esssaal</a:t>
          </a:r>
        </a:p>
      </xdr:txBody>
    </xdr:sp>
    <xdr:clientData/>
  </xdr:twoCellAnchor>
  <xdr:twoCellAnchor>
    <xdr:from>
      <xdr:col>2</xdr:col>
      <xdr:colOff>1</xdr:colOff>
      <xdr:row>74</xdr:row>
      <xdr:rowOff>91937</xdr:rowOff>
    </xdr:from>
    <xdr:to>
      <xdr:col>5</xdr:col>
      <xdr:colOff>0</xdr:colOff>
      <xdr:row>78</xdr:row>
      <xdr:rowOff>91937</xdr:rowOff>
    </xdr:to>
    <xdr:sp macro="" textlink="">
      <xdr:nvSpPr>
        <xdr:cNvPr id="45" name="Textfeld 433">
          <a:extLst>
            <a:ext uri="{FF2B5EF4-FFF2-40B4-BE49-F238E27FC236}">
              <a16:creationId xmlns:a16="http://schemas.microsoft.com/office/drawing/2014/main" id="{A1F5F23E-A1C6-4744-A9FA-20F842777ECC}"/>
            </a:ext>
          </a:extLst>
        </xdr:cNvPr>
        <xdr:cNvSpPr txBox="1"/>
      </xdr:nvSpPr>
      <xdr:spPr>
        <a:xfrm>
          <a:off x="2042161" y="12497297"/>
          <a:ext cx="3063239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78</xdr:row>
      <xdr:rowOff>96333</xdr:rowOff>
    </xdr:from>
    <xdr:to>
      <xdr:col>5</xdr:col>
      <xdr:colOff>0</xdr:colOff>
      <xdr:row>80</xdr:row>
      <xdr:rowOff>0</xdr:rowOff>
    </xdr:to>
    <xdr:sp macro="" textlink="">
      <xdr:nvSpPr>
        <xdr:cNvPr id="46" name="Textfeld 421">
          <a:extLst>
            <a:ext uri="{FF2B5EF4-FFF2-40B4-BE49-F238E27FC236}">
              <a16:creationId xmlns:a16="http://schemas.microsoft.com/office/drawing/2014/main" id="{80FD5549-88FB-4E98-A7C1-A1387D00C6B5}"/>
            </a:ext>
          </a:extLst>
        </xdr:cNvPr>
        <xdr:cNvSpPr txBox="1"/>
      </xdr:nvSpPr>
      <xdr:spPr bwMode="auto">
        <a:xfrm>
          <a:off x="2042160" y="13172253"/>
          <a:ext cx="3063240" cy="23894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9</xdr:col>
      <xdr:colOff>1</xdr:colOff>
      <xdr:row>75</xdr:row>
      <xdr:rowOff>0</xdr:rowOff>
    </xdr:from>
    <xdr:to>
      <xdr:col>12</xdr:col>
      <xdr:colOff>0</xdr:colOff>
      <xdr:row>79</xdr:row>
      <xdr:rowOff>0</xdr:rowOff>
    </xdr:to>
    <xdr:sp macro="" textlink="">
      <xdr:nvSpPr>
        <xdr:cNvPr id="47" name="Textfeld 433">
          <a:extLst>
            <a:ext uri="{FF2B5EF4-FFF2-40B4-BE49-F238E27FC236}">
              <a16:creationId xmlns:a16="http://schemas.microsoft.com/office/drawing/2014/main" id="{F0B89B37-5167-4C5F-BAC9-7C6A5B864608}"/>
            </a:ext>
          </a:extLst>
        </xdr:cNvPr>
        <xdr:cNvSpPr txBox="1"/>
      </xdr:nvSpPr>
      <xdr:spPr>
        <a:xfrm>
          <a:off x="9189721" y="12573000"/>
          <a:ext cx="3063239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</xdr:colOff>
      <xdr:row>79</xdr:row>
      <xdr:rowOff>1</xdr:rowOff>
    </xdr:from>
    <xdr:to>
      <xdr:col>12</xdr:col>
      <xdr:colOff>0</xdr:colOff>
      <xdr:row>80</xdr:row>
      <xdr:rowOff>1</xdr:rowOff>
    </xdr:to>
    <xdr:sp macro="" textlink="">
      <xdr:nvSpPr>
        <xdr:cNvPr id="48" name="Textfeld 421">
          <a:extLst>
            <a:ext uri="{FF2B5EF4-FFF2-40B4-BE49-F238E27FC236}">
              <a16:creationId xmlns:a16="http://schemas.microsoft.com/office/drawing/2014/main" id="{C164BC5A-8705-4381-B6E3-A3E1EA69EEF0}"/>
            </a:ext>
          </a:extLst>
        </xdr:cNvPr>
        <xdr:cNvSpPr txBox="1"/>
      </xdr:nvSpPr>
      <xdr:spPr bwMode="auto">
        <a:xfrm>
          <a:off x="9189721" y="13243561"/>
          <a:ext cx="306323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16</xdr:col>
      <xdr:colOff>0</xdr:colOff>
      <xdr:row>81</xdr:row>
      <xdr:rowOff>0</xdr:rowOff>
    </xdr:from>
    <xdr:to>
      <xdr:col>18</xdr:col>
      <xdr:colOff>345830</xdr:colOff>
      <xdr:row>82</xdr:row>
      <xdr:rowOff>3313</xdr:rowOff>
    </xdr:to>
    <xdr:sp macro="" textlink="">
      <xdr:nvSpPr>
        <xdr:cNvPr id="49" name="Textfeld 421">
          <a:extLst>
            <a:ext uri="{FF2B5EF4-FFF2-40B4-BE49-F238E27FC236}">
              <a16:creationId xmlns:a16="http://schemas.microsoft.com/office/drawing/2014/main" id="{3CCB4DE9-A54B-4F44-8A13-249B0685296E}"/>
            </a:ext>
          </a:extLst>
        </xdr:cNvPr>
        <xdr:cNvSpPr txBox="1"/>
      </xdr:nvSpPr>
      <xdr:spPr bwMode="auto">
        <a:xfrm>
          <a:off x="16337280" y="13578840"/>
          <a:ext cx="238799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23</xdr:col>
      <xdr:colOff>1</xdr:colOff>
      <xdr:row>75</xdr:row>
      <xdr:rowOff>0</xdr:rowOff>
    </xdr:from>
    <xdr:to>
      <xdr:col>26</xdr:col>
      <xdr:colOff>0</xdr:colOff>
      <xdr:row>79</xdr:row>
      <xdr:rowOff>0</xdr:rowOff>
    </xdr:to>
    <xdr:sp macro="" textlink="">
      <xdr:nvSpPr>
        <xdr:cNvPr id="50" name="Textfeld 433">
          <a:extLst>
            <a:ext uri="{FF2B5EF4-FFF2-40B4-BE49-F238E27FC236}">
              <a16:creationId xmlns:a16="http://schemas.microsoft.com/office/drawing/2014/main" id="{6D1C4D2D-35B8-4B7E-AD3D-F34CF980D730}"/>
            </a:ext>
          </a:extLst>
        </xdr:cNvPr>
        <xdr:cNvSpPr txBox="1"/>
      </xdr:nvSpPr>
      <xdr:spPr>
        <a:xfrm>
          <a:off x="23484841" y="12573000"/>
          <a:ext cx="3063239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1</xdr:colOff>
      <xdr:row>79</xdr:row>
      <xdr:rowOff>1</xdr:rowOff>
    </xdr:from>
    <xdr:to>
      <xdr:col>26</xdr:col>
      <xdr:colOff>0</xdr:colOff>
      <xdr:row>80</xdr:row>
      <xdr:rowOff>1</xdr:rowOff>
    </xdr:to>
    <xdr:sp macro="" textlink="">
      <xdr:nvSpPr>
        <xdr:cNvPr id="51" name="Textfeld 421">
          <a:extLst>
            <a:ext uri="{FF2B5EF4-FFF2-40B4-BE49-F238E27FC236}">
              <a16:creationId xmlns:a16="http://schemas.microsoft.com/office/drawing/2014/main" id="{41A58A94-595C-4158-AFFA-84518F0C9B70}"/>
            </a:ext>
          </a:extLst>
        </xdr:cNvPr>
        <xdr:cNvSpPr txBox="1"/>
      </xdr:nvSpPr>
      <xdr:spPr bwMode="auto">
        <a:xfrm>
          <a:off x="23484841" y="13243561"/>
          <a:ext cx="3063239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ABV</a:t>
          </a:r>
        </a:p>
      </xdr:txBody>
    </xdr:sp>
    <xdr:clientData/>
  </xdr:twoCellAnchor>
  <xdr:twoCellAnchor>
    <xdr:from>
      <xdr:col>44</xdr:col>
      <xdr:colOff>0</xdr:colOff>
      <xdr:row>65</xdr:row>
      <xdr:rowOff>20708</xdr:rowOff>
    </xdr:from>
    <xdr:to>
      <xdr:col>49</xdr:col>
      <xdr:colOff>11000</xdr:colOff>
      <xdr:row>83</xdr:row>
      <xdr:rowOff>0</xdr:rowOff>
    </xdr:to>
    <xdr:sp macro="" textlink="">
      <xdr:nvSpPr>
        <xdr:cNvPr id="52" name="Textfeld 51">
          <a:extLst>
            <a:ext uri="{FF2B5EF4-FFF2-40B4-BE49-F238E27FC236}">
              <a16:creationId xmlns:a16="http://schemas.microsoft.com/office/drawing/2014/main" id="{42EA8419-81AA-4673-8CB2-5B34DE5085BD}"/>
            </a:ext>
          </a:extLst>
        </xdr:cNvPr>
        <xdr:cNvSpPr txBox="1"/>
      </xdr:nvSpPr>
      <xdr:spPr>
        <a:xfrm rot="10800000">
          <a:off x="44927520" y="10917308"/>
          <a:ext cx="5116400" cy="2996812"/>
        </a:xfrm>
        <a:prstGeom prst="flowChartDocument">
          <a:avLst/>
        </a:prstGeom>
        <a:solidFill>
          <a:schemeClr val="bg1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44</xdr:col>
      <xdr:colOff>42132</xdr:colOff>
      <xdr:row>74</xdr:row>
      <xdr:rowOff>27114</xdr:rowOff>
    </xdr:from>
    <xdr:to>
      <xdr:col>48</xdr:col>
      <xdr:colOff>108873</xdr:colOff>
      <xdr:row>76</xdr:row>
      <xdr:rowOff>39244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9852592-AF34-4221-B9B0-302903A199BE}"/>
            </a:ext>
          </a:extLst>
        </xdr:cNvPr>
        <xdr:cNvSpPr txBox="1"/>
      </xdr:nvSpPr>
      <xdr:spPr>
        <a:xfrm>
          <a:off x="44969652" y="12432474"/>
          <a:ext cx="4151061" cy="3474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Einrücken bis</a:t>
          </a:r>
          <a:endParaRPr lang="en-CH" sz="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CH" sz="800" baseline="0">
              <a:latin typeface="Arial" panose="020B0604020202020204" pitchFamily="34" charset="0"/>
              <a:cs typeface="Arial" panose="020B0604020202020204" pitchFamily="34" charset="0"/>
            </a:rPr>
            <a:t>2330</a:t>
          </a:r>
          <a:endParaRPr lang="en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18</xdr:row>
      <xdr:rowOff>0</xdr:rowOff>
    </xdr:from>
    <xdr:to>
      <xdr:col>12</xdr:col>
      <xdr:colOff>0</xdr:colOff>
      <xdr:row>37</xdr:row>
      <xdr:rowOff>0</xdr:rowOff>
    </xdr:to>
    <xdr:sp macro="" textlink="">
      <xdr:nvSpPr>
        <xdr:cNvPr id="54" name="Textfeld 433">
          <a:extLst>
            <a:ext uri="{FF2B5EF4-FFF2-40B4-BE49-F238E27FC236}">
              <a16:creationId xmlns:a16="http://schemas.microsoft.com/office/drawing/2014/main" id="{3BE7C92D-21A5-4AD4-A2C7-9DD78BFC00AA}"/>
            </a:ext>
          </a:extLst>
        </xdr:cNvPr>
        <xdr:cNvSpPr txBox="1"/>
      </xdr:nvSpPr>
      <xdr:spPr>
        <a:xfrm>
          <a:off x="918972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Restanzen</a:t>
          </a:r>
          <a:r>
            <a:rPr lang="de-CH" sz="8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AGA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12</xdr:col>
      <xdr:colOff>0</xdr:colOff>
      <xdr:row>61</xdr:row>
      <xdr:rowOff>0</xdr:rowOff>
    </xdr:to>
    <xdr:sp macro="" textlink="">
      <xdr:nvSpPr>
        <xdr:cNvPr id="55" name="Textfeld 433">
          <a:extLst>
            <a:ext uri="{FF2B5EF4-FFF2-40B4-BE49-F238E27FC236}">
              <a16:creationId xmlns:a16="http://schemas.microsoft.com/office/drawing/2014/main" id="{6387C3BB-2C49-4C04-A517-86AEED8AE7D2}"/>
            </a:ext>
          </a:extLst>
        </xdr:cNvPr>
        <xdr:cNvSpPr txBox="1"/>
      </xdr:nvSpPr>
      <xdr:spPr>
        <a:xfrm>
          <a:off x="918972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Restanzen</a:t>
          </a:r>
          <a:r>
            <a:rPr lang="de-CH" sz="8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AGA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65</xdr:row>
      <xdr:rowOff>0</xdr:rowOff>
    </xdr:from>
    <xdr:to>
      <xdr:col>12</xdr:col>
      <xdr:colOff>0</xdr:colOff>
      <xdr:row>75</xdr:row>
      <xdr:rowOff>0</xdr:rowOff>
    </xdr:to>
    <xdr:sp macro="" textlink="">
      <xdr:nvSpPr>
        <xdr:cNvPr id="56" name="Textfeld 433">
          <a:extLst>
            <a:ext uri="{FF2B5EF4-FFF2-40B4-BE49-F238E27FC236}">
              <a16:creationId xmlns:a16="http://schemas.microsoft.com/office/drawing/2014/main" id="{B7FD8D9E-1F52-4D67-81C5-5CBB3FA948B1}"/>
            </a:ext>
          </a:extLst>
        </xdr:cNvPr>
        <xdr:cNvSpPr txBox="1"/>
      </xdr:nvSpPr>
      <xdr:spPr>
        <a:xfrm>
          <a:off x="9189720" y="10896600"/>
          <a:ext cx="3063240" cy="16764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18</xdr:row>
      <xdr:rowOff>0</xdr:rowOff>
    </xdr:from>
    <xdr:to>
      <xdr:col>19</xdr:col>
      <xdr:colOff>0</xdr:colOff>
      <xdr:row>37</xdr:row>
      <xdr:rowOff>0</xdr:rowOff>
    </xdr:to>
    <xdr:sp macro="" textlink="">
      <xdr:nvSpPr>
        <xdr:cNvPr id="57" name="Textfeld 433">
          <a:extLst>
            <a:ext uri="{FF2B5EF4-FFF2-40B4-BE49-F238E27FC236}">
              <a16:creationId xmlns:a16="http://schemas.microsoft.com/office/drawing/2014/main" id="{22DE1821-918B-4062-9CBD-8BE5BF31CC97}"/>
            </a:ext>
          </a:extLst>
        </xdr:cNvPr>
        <xdr:cNvSpPr txBox="1"/>
      </xdr:nvSpPr>
      <xdr:spPr>
        <a:xfrm>
          <a:off x="1633728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 Log / Tech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19</xdr:col>
      <xdr:colOff>0</xdr:colOff>
      <xdr:row>61</xdr:row>
      <xdr:rowOff>0</xdr:rowOff>
    </xdr:to>
    <xdr:sp macro="" textlink="">
      <xdr:nvSpPr>
        <xdr:cNvPr id="58" name="Textfeld 433">
          <a:extLst>
            <a:ext uri="{FF2B5EF4-FFF2-40B4-BE49-F238E27FC236}">
              <a16:creationId xmlns:a16="http://schemas.microsoft.com/office/drawing/2014/main" id="{2B7BAABE-01D2-4839-ACC5-16603FC22070}"/>
            </a:ext>
          </a:extLst>
        </xdr:cNvPr>
        <xdr:cNvSpPr txBox="1"/>
      </xdr:nvSpPr>
      <xdr:spPr>
        <a:xfrm>
          <a:off x="1633728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 Log / Tech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65</xdr:row>
      <xdr:rowOff>0</xdr:rowOff>
    </xdr:from>
    <xdr:to>
      <xdr:col>26</xdr:col>
      <xdr:colOff>0</xdr:colOff>
      <xdr:row>75</xdr:row>
      <xdr:rowOff>0</xdr:rowOff>
    </xdr:to>
    <xdr:sp macro="" textlink="">
      <xdr:nvSpPr>
        <xdr:cNvPr id="59" name="Textfeld 433">
          <a:extLst>
            <a:ext uri="{FF2B5EF4-FFF2-40B4-BE49-F238E27FC236}">
              <a16:creationId xmlns:a16="http://schemas.microsoft.com/office/drawing/2014/main" id="{641747A1-37F5-4924-824D-8B4E8233BE76}"/>
            </a:ext>
          </a:extLst>
        </xdr:cNvPr>
        <xdr:cNvSpPr txBox="1"/>
      </xdr:nvSpPr>
      <xdr:spPr>
        <a:xfrm>
          <a:off x="23484840" y="10896600"/>
          <a:ext cx="3063240" cy="16764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18</xdr:row>
      <xdr:rowOff>0</xdr:rowOff>
    </xdr:from>
    <xdr:to>
      <xdr:col>33</xdr:col>
      <xdr:colOff>0</xdr:colOff>
      <xdr:row>37</xdr:row>
      <xdr:rowOff>0</xdr:rowOff>
    </xdr:to>
    <xdr:sp macro="" textlink="">
      <xdr:nvSpPr>
        <xdr:cNvPr id="60" name="Textfeld 433">
          <a:extLst>
            <a:ext uri="{FF2B5EF4-FFF2-40B4-BE49-F238E27FC236}">
              <a16:creationId xmlns:a16="http://schemas.microsoft.com/office/drawing/2014/main" id="{02064779-B58C-4AD4-BB3D-F07F9A696560}"/>
            </a:ext>
          </a:extLst>
        </xdr:cNvPr>
        <xdr:cNvSpPr txBox="1"/>
      </xdr:nvSpPr>
      <xdr:spPr>
        <a:xfrm>
          <a:off x="3063240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 Log / Tech</a:t>
          </a:r>
        </a:p>
      </xdr:txBody>
    </xdr:sp>
    <xdr:clientData/>
  </xdr:twoCellAnchor>
  <xdr:twoCellAnchor>
    <xdr:from>
      <xdr:col>30</xdr:col>
      <xdr:colOff>0</xdr:colOff>
      <xdr:row>41</xdr:row>
      <xdr:rowOff>0</xdr:rowOff>
    </xdr:from>
    <xdr:to>
      <xdr:col>33</xdr:col>
      <xdr:colOff>0</xdr:colOff>
      <xdr:row>61</xdr:row>
      <xdr:rowOff>0</xdr:rowOff>
    </xdr:to>
    <xdr:sp macro="" textlink="">
      <xdr:nvSpPr>
        <xdr:cNvPr id="61" name="Textfeld 433">
          <a:extLst>
            <a:ext uri="{FF2B5EF4-FFF2-40B4-BE49-F238E27FC236}">
              <a16:creationId xmlns:a16="http://schemas.microsoft.com/office/drawing/2014/main" id="{9ED843CC-623B-4BA7-8DFF-199F797564AF}"/>
            </a:ext>
          </a:extLst>
        </xdr:cNvPr>
        <xdr:cNvSpPr txBox="1"/>
      </xdr:nvSpPr>
      <xdr:spPr>
        <a:xfrm>
          <a:off x="3063240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 Log / Tech</a:t>
          </a:r>
        </a:p>
      </xdr:txBody>
    </xdr:sp>
    <xdr:clientData/>
  </xdr:twoCellAnchor>
  <xdr:twoCellAnchor>
    <xdr:from>
      <xdr:col>56</xdr:col>
      <xdr:colOff>0</xdr:colOff>
      <xdr:row>53</xdr:row>
      <xdr:rowOff>0</xdr:rowOff>
    </xdr:from>
    <xdr:to>
      <xdr:col>58</xdr:col>
      <xdr:colOff>6626</xdr:colOff>
      <xdr:row>56</xdr:row>
      <xdr:rowOff>12424</xdr:rowOff>
    </xdr:to>
    <xdr:sp macro="" textlink="">
      <xdr:nvSpPr>
        <xdr:cNvPr id="62" name="Textfeld 433">
          <a:extLst>
            <a:ext uri="{FF2B5EF4-FFF2-40B4-BE49-F238E27FC236}">
              <a16:creationId xmlns:a16="http://schemas.microsoft.com/office/drawing/2014/main" id="{3C60F3BF-7C3D-4BF3-9607-E4BCB3C407BB}"/>
            </a:ext>
          </a:extLst>
        </xdr:cNvPr>
        <xdr:cNvSpPr txBox="1"/>
      </xdr:nvSpPr>
      <xdr:spPr>
        <a:xfrm>
          <a:off x="57180480" y="8884920"/>
          <a:ext cx="2048786" cy="515344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5</xdr:col>
      <xdr:colOff>0</xdr:colOff>
      <xdr:row>74</xdr:row>
      <xdr:rowOff>91327</xdr:rowOff>
    </xdr:to>
    <xdr:sp macro="" textlink="">
      <xdr:nvSpPr>
        <xdr:cNvPr id="63" name="Textfeld 433">
          <a:extLst>
            <a:ext uri="{FF2B5EF4-FFF2-40B4-BE49-F238E27FC236}">
              <a16:creationId xmlns:a16="http://schemas.microsoft.com/office/drawing/2014/main" id="{6E262EF5-B4BE-495A-92F3-D997E3263253}"/>
            </a:ext>
          </a:extLst>
        </xdr:cNvPr>
        <xdr:cNvSpPr txBox="1"/>
      </xdr:nvSpPr>
      <xdr:spPr>
        <a:xfrm>
          <a:off x="2042160" y="10896600"/>
          <a:ext cx="3063240" cy="1600087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37</xdr:col>
      <xdr:colOff>0</xdr:colOff>
      <xdr:row>9</xdr:row>
      <xdr:rowOff>0</xdr:rowOff>
    </xdr:from>
    <xdr:to>
      <xdr:col>42</xdr:col>
      <xdr:colOff>0</xdr:colOff>
      <xdr:row>13</xdr:row>
      <xdr:rowOff>0</xdr:rowOff>
    </xdr:to>
    <xdr:sp macro="" textlink="">
      <xdr:nvSpPr>
        <xdr:cNvPr id="64" name="Textfeld 340">
          <a:extLst>
            <a:ext uri="{FF2B5EF4-FFF2-40B4-BE49-F238E27FC236}">
              <a16:creationId xmlns:a16="http://schemas.microsoft.com/office/drawing/2014/main" id="{5CC46809-E6C9-4A53-B185-B6E1F3AC33A4}"/>
            </a:ext>
          </a:extLst>
        </xdr:cNvPr>
        <xdr:cNvSpPr txBox="1"/>
      </xdr:nvSpPr>
      <xdr:spPr>
        <a:xfrm>
          <a:off x="37779960" y="1508760"/>
          <a:ext cx="510540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MoE</a:t>
          </a:r>
        </a:p>
      </xdr:txBody>
    </xdr:sp>
    <xdr:clientData/>
  </xdr:twoCellAnchor>
  <xdr:twoCellAnchor>
    <xdr:from>
      <xdr:col>37</xdr:col>
      <xdr:colOff>0</xdr:colOff>
      <xdr:row>15</xdr:row>
      <xdr:rowOff>99391</xdr:rowOff>
    </xdr:from>
    <xdr:to>
      <xdr:col>42</xdr:col>
      <xdr:colOff>0</xdr:colOff>
      <xdr:row>41</xdr:row>
      <xdr:rowOff>0</xdr:rowOff>
    </xdr:to>
    <xdr:sp macro="" textlink="">
      <xdr:nvSpPr>
        <xdr:cNvPr id="65" name="Textfeld 51">
          <a:extLst>
            <a:ext uri="{FF2B5EF4-FFF2-40B4-BE49-F238E27FC236}">
              <a16:creationId xmlns:a16="http://schemas.microsoft.com/office/drawing/2014/main" id="{52BB137B-4E1B-4D20-A2AF-16585D095A68}"/>
            </a:ext>
          </a:extLst>
        </xdr:cNvPr>
        <xdr:cNvSpPr txBox="1"/>
      </xdr:nvSpPr>
      <xdr:spPr>
        <a:xfrm>
          <a:off x="37779960" y="2613991"/>
          <a:ext cx="5105400" cy="4259249"/>
        </a:xfrm>
        <a:prstGeom prst="flowChartDocument">
          <a:avLst/>
        </a:prstGeom>
        <a:solidFill>
          <a:schemeClr val="bg1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Nacharbeit / Nachholer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HV spätestens 1200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</xdr:colOff>
      <xdr:row>37</xdr:row>
      <xdr:rowOff>0</xdr:rowOff>
    </xdr:from>
    <xdr:to>
      <xdr:col>5</xdr:col>
      <xdr:colOff>0</xdr:colOff>
      <xdr:row>41</xdr:row>
      <xdr:rowOff>0</xdr:rowOff>
    </xdr:to>
    <xdr:sp macro="" textlink="">
      <xdr:nvSpPr>
        <xdr:cNvPr id="68" name="Textfeld 319">
          <a:extLst>
            <a:ext uri="{FF2B5EF4-FFF2-40B4-BE49-F238E27FC236}">
              <a16:creationId xmlns:a16="http://schemas.microsoft.com/office/drawing/2014/main" id="{76F2B101-5B3D-471A-A280-38E17E12DE2B}"/>
            </a:ext>
          </a:extLst>
        </xdr:cNvPr>
        <xdr:cNvSpPr txBox="1"/>
      </xdr:nvSpPr>
      <xdr:spPr>
        <a:xfrm>
          <a:off x="2042162" y="6202680"/>
          <a:ext cx="3063238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MiE</a:t>
          </a: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5</xdr:col>
      <xdr:colOff>0</xdr:colOff>
      <xdr:row>37</xdr:row>
      <xdr:rowOff>0</xdr:rowOff>
    </xdr:to>
    <xdr:sp macro="" textlink="">
      <xdr:nvSpPr>
        <xdr:cNvPr id="69" name="Textfeld 433">
          <a:extLst>
            <a:ext uri="{FF2B5EF4-FFF2-40B4-BE49-F238E27FC236}">
              <a16:creationId xmlns:a16="http://schemas.microsoft.com/office/drawing/2014/main" id="{C79FC880-8E1F-429D-8C69-CD0F4D68907A}"/>
            </a:ext>
          </a:extLst>
        </xdr:cNvPr>
        <xdr:cNvSpPr txBox="1"/>
      </xdr:nvSpPr>
      <xdr:spPr>
        <a:xfrm>
          <a:off x="204216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70" name="Textfeld 433">
          <a:extLst>
            <a:ext uri="{FF2B5EF4-FFF2-40B4-BE49-F238E27FC236}">
              <a16:creationId xmlns:a16="http://schemas.microsoft.com/office/drawing/2014/main" id="{FE57EFCD-741C-48B2-A6D0-DB25F963DC4E}"/>
            </a:ext>
          </a:extLst>
        </xdr:cNvPr>
        <xdr:cNvSpPr txBox="1"/>
      </xdr:nvSpPr>
      <xdr:spPr>
        <a:xfrm>
          <a:off x="204216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5716</xdr:colOff>
      <xdr:row>63</xdr:row>
      <xdr:rowOff>0</xdr:rowOff>
    </xdr:from>
    <xdr:to>
      <xdr:col>8</xdr:col>
      <xdr:colOff>0</xdr:colOff>
      <xdr:row>75</xdr:row>
      <xdr:rowOff>0</xdr:rowOff>
    </xdr:to>
    <xdr:sp macro="" textlink="">
      <xdr:nvSpPr>
        <xdr:cNvPr id="71" name="Rechteck 311">
          <a:extLst>
            <a:ext uri="{FF2B5EF4-FFF2-40B4-BE49-F238E27FC236}">
              <a16:creationId xmlns:a16="http://schemas.microsoft.com/office/drawing/2014/main" id="{8A242450-7B44-4C1E-A257-FFA3EE34D86E}"/>
            </a:ext>
          </a:extLst>
        </xdr:cNvPr>
        <xdr:cNvSpPr/>
      </xdr:nvSpPr>
      <xdr:spPr bwMode="auto">
        <a:xfrm>
          <a:off x="7153276" y="10561320"/>
          <a:ext cx="1015364" cy="2011680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</a:t>
          </a:r>
        </a:p>
      </xdr:txBody>
    </xdr:sp>
    <xdr:clientData/>
  </xdr:twoCellAnchor>
  <xdr:twoCellAnchor>
    <xdr:from>
      <xdr:col>33</xdr:col>
      <xdr:colOff>0</xdr:colOff>
      <xdr:row>66</xdr:row>
      <xdr:rowOff>0</xdr:rowOff>
    </xdr:from>
    <xdr:to>
      <xdr:col>35</xdr:col>
      <xdr:colOff>0</xdr:colOff>
      <xdr:row>69</xdr:row>
      <xdr:rowOff>0</xdr:rowOff>
    </xdr:to>
    <xdr:sp macro="" textlink="">
      <xdr:nvSpPr>
        <xdr:cNvPr id="72" name="Textfeld 107">
          <a:extLst>
            <a:ext uri="{FF2B5EF4-FFF2-40B4-BE49-F238E27FC236}">
              <a16:creationId xmlns:a16="http://schemas.microsoft.com/office/drawing/2014/main" id="{18BE746C-4D1A-41BD-837A-BBC8AF1670C1}"/>
            </a:ext>
          </a:extLst>
        </xdr:cNvPr>
        <xdr:cNvSpPr txBox="1"/>
      </xdr:nvSpPr>
      <xdr:spPr>
        <a:xfrm>
          <a:off x="33695640" y="11064240"/>
          <a:ext cx="2042160" cy="5029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AAR</a:t>
          </a:r>
        </a:p>
        <a:p>
          <a:pPr marL="0" indent="0" algn="ctr"/>
          <a:r>
            <a:rPr lang="en-US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Kp Kdt</a:t>
          </a:r>
          <a:endParaRPr lang="en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42</xdr:col>
      <xdr:colOff>0</xdr:colOff>
      <xdr:row>15</xdr:row>
      <xdr:rowOff>99391</xdr:rowOff>
    </xdr:to>
    <xdr:sp macro="" textlink="">
      <xdr:nvSpPr>
        <xdr:cNvPr id="73" name="Textfeld 89">
          <a:extLst>
            <a:ext uri="{FF2B5EF4-FFF2-40B4-BE49-F238E27FC236}">
              <a16:creationId xmlns:a16="http://schemas.microsoft.com/office/drawing/2014/main" id="{16CB35B2-5BB5-4EDE-8244-D4178FADE154}"/>
            </a:ext>
          </a:extLst>
        </xdr:cNvPr>
        <xdr:cNvSpPr txBox="1"/>
      </xdr:nvSpPr>
      <xdr:spPr>
        <a:xfrm>
          <a:off x="37779960" y="2179320"/>
          <a:ext cx="5105400" cy="434671"/>
        </a:xfrm>
        <a:prstGeom prst="rect">
          <a:avLst/>
        </a:prstGeom>
        <a:solidFill>
          <a:srgbClr val="E6B9B8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Dienstbesprechung </a:t>
          </a:r>
          <a:r>
            <a:rPr lang="en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Mannschaft</a:t>
          </a:r>
          <a:r>
            <a:rPr lang="de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de-CH" sz="6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Kp Kdt</a:t>
          </a:r>
        </a:p>
      </xdr:txBody>
    </xdr:sp>
    <xdr:clientData/>
  </xdr:twoCellAnchor>
  <xdr:twoCellAnchor>
    <xdr:from>
      <xdr:col>30</xdr:col>
      <xdr:colOff>0</xdr:colOff>
      <xdr:row>69</xdr:row>
      <xdr:rowOff>0</xdr:rowOff>
    </xdr:from>
    <xdr:to>
      <xdr:col>35</xdr:col>
      <xdr:colOff>0</xdr:colOff>
      <xdr:row>75</xdr:row>
      <xdr:rowOff>0</xdr:rowOff>
    </xdr:to>
    <xdr:sp macro="" textlink="">
      <xdr:nvSpPr>
        <xdr:cNvPr id="74" name="Textfeld 247">
          <a:extLst>
            <a:ext uri="{FF2B5EF4-FFF2-40B4-BE49-F238E27FC236}">
              <a16:creationId xmlns:a16="http://schemas.microsoft.com/office/drawing/2014/main" id="{13AEC495-D850-49C9-A968-3E3A0C675A4A}"/>
            </a:ext>
          </a:extLst>
        </xdr:cNvPr>
        <xdr:cNvSpPr txBox="1"/>
      </xdr:nvSpPr>
      <xdr:spPr>
        <a:xfrm>
          <a:off x="30632400" y="11567160"/>
          <a:ext cx="5105400" cy="100584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WPD</a:t>
          </a: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Fw </a:t>
          </a:r>
          <a:r>
            <a:rPr lang="de-CH" sz="700" b="0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 Ukft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33</xdr:col>
      <xdr:colOff>0</xdr:colOff>
      <xdr:row>55</xdr:row>
      <xdr:rowOff>0</xdr:rowOff>
    </xdr:from>
    <xdr:to>
      <xdr:col>35</xdr:col>
      <xdr:colOff>0</xdr:colOff>
      <xdr:row>61</xdr:row>
      <xdr:rowOff>0</xdr:rowOff>
    </xdr:to>
    <xdr:sp macro="" textlink="">
      <xdr:nvSpPr>
        <xdr:cNvPr id="75" name="Textfeld 107">
          <a:extLst>
            <a:ext uri="{FF2B5EF4-FFF2-40B4-BE49-F238E27FC236}">
              <a16:creationId xmlns:a16="http://schemas.microsoft.com/office/drawing/2014/main" id="{FED1F3AC-DDDE-46D1-9F67-9246ADF37E1C}"/>
            </a:ext>
          </a:extLst>
        </xdr:cNvPr>
        <xdr:cNvSpPr txBox="1"/>
      </xdr:nvSpPr>
      <xdr:spPr>
        <a:xfrm>
          <a:off x="33695640" y="9220200"/>
          <a:ext cx="2042160" cy="100584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WEB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US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Kp Sapl</a:t>
          </a:r>
        </a:p>
        <a:p>
          <a:pPr marL="0" indent="0" algn="ctr"/>
          <a:r>
            <a:rPr lang="en-US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Fw</a:t>
          </a:r>
          <a:endParaRPr lang="en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66</xdr:row>
      <xdr:rowOff>0</xdr:rowOff>
    </xdr:from>
    <xdr:to>
      <xdr:col>33</xdr:col>
      <xdr:colOff>0</xdr:colOff>
      <xdr:row>69</xdr:row>
      <xdr:rowOff>0</xdr:rowOff>
    </xdr:to>
    <xdr:sp macro="" textlink="">
      <xdr:nvSpPr>
        <xdr:cNvPr id="76" name="Textfeld 107">
          <a:extLst>
            <a:ext uri="{FF2B5EF4-FFF2-40B4-BE49-F238E27FC236}">
              <a16:creationId xmlns:a16="http://schemas.microsoft.com/office/drawing/2014/main" id="{94B4A612-AD35-4EBB-8549-86A53634DF6B}"/>
            </a:ext>
          </a:extLst>
        </xdr:cNvPr>
        <xdr:cNvSpPr txBox="1"/>
      </xdr:nvSpPr>
      <xdr:spPr>
        <a:xfrm>
          <a:off x="30632400" y="11064240"/>
          <a:ext cx="3063240" cy="50292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WEB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US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Kp Sapl</a:t>
          </a:r>
        </a:p>
        <a:p>
          <a:pPr marL="0" indent="0" algn="ctr"/>
          <a:r>
            <a:rPr lang="en-US" sz="7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Einh Fw</a:t>
          </a:r>
          <a:endParaRPr lang="en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18</xdr:row>
      <xdr:rowOff>0</xdr:rowOff>
    </xdr:from>
    <xdr:to>
      <xdr:col>26</xdr:col>
      <xdr:colOff>0</xdr:colOff>
      <xdr:row>37</xdr:row>
      <xdr:rowOff>0</xdr:rowOff>
    </xdr:to>
    <xdr:sp macro="" textlink="">
      <xdr:nvSpPr>
        <xdr:cNvPr id="77" name="Textfeld 433">
          <a:extLst>
            <a:ext uri="{FF2B5EF4-FFF2-40B4-BE49-F238E27FC236}">
              <a16:creationId xmlns:a16="http://schemas.microsoft.com/office/drawing/2014/main" id="{88CF5050-1568-4D58-8203-0417860D344E}"/>
            </a:ext>
          </a:extLst>
        </xdr:cNvPr>
        <xdr:cNvSpPr txBox="1"/>
      </xdr:nvSpPr>
      <xdr:spPr>
        <a:xfrm>
          <a:off x="2348484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 Log / Tech</a:t>
          </a:r>
          <a:endParaRPr lang="de-CH" sz="7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41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78" name="Textfeld 433">
          <a:extLst>
            <a:ext uri="{FF2B5EF4-FFF2-40B4-BE49-F238E27FC236}">
              <a16:creationId xmlns:a16="http://schemas.microsoft.com/office/drawing/2014/main" id="{648433F1-A171-44D7-A7CC-3F4B2A9A6E12}"/>
            </a:ext>
          </a:extLst>
        </xdr:cNvPr>
        <xdr:cNvSpPr txBox="1"/>
      </xdr:nvSpPr>
      <xdr:spPr>
        <a:xfrm>
          <a:off x="2348484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FGA Log / Tech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193430</xdr:colOff>
      <xdr:row>83</xdr:row>
      <xdr:rowOff>0</xdr:rowOff>
    </xdr:to>
    <xdr:sp macro="" textlink="">
      <xdr:nvSpPr>
        <xdr:cNvPr id="79" name="Textfeld 107">
          <a:extLst>
            <a:ext uri="{FF2B5EF4-FFF2-40B4-BE49-F238E27FC236}">
              <a16:creationId xmlns:a16="http://schemas.microsoft.com/office/drawing/2014/main" id="{F86D4AAF-4948-4327-B71E-4E6C53BEE143}"/>
            </a:ext>
          </a:extLst>
        </xdr:cNvPr>
        <xdr:cNvSpPr txBox="1"/>
      </xdr:nvSpPr>
      <xdr:spPr>
        <a:xfrm>
          <a:off x="5105400" y="3520440"/>
          <a:ext cx="1214510" cy="1039368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Betrieb</a:t>
          </a:r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 Gs Vb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 Bat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193434</xdr:colOff>
      <xdr:row>21</xdr:row>
      <xdr:rowOff>3536</xdr:rowOff>
    </xdr:from>
    <xdr:to>
      <xdr:col>7</xdr:col>
      <xdr:colOff>0</xdr:colOff>
      <xdr:row>61</xdr:row>
      <xdr:rowOff>0</xdr:rowOff>
    </xdr:to>
    <xdr:sp macro="" textlink="">
      <xdr:nvSpPr>
        <xdr:cNvPr id="80" name="Textfeld 107">
          <a:extLst>
            <a:ext uri="{FF2B5EF4-FFF2-40B4-BE49-F238E27FC236}">
              <a16:creationId xmlns:a16="http://schemas.microsoft.com/office/drawing/2014/main" id="{7ACF5C9D-A53D-46AD-B685-44E6E82D8F64}"/>
            </a:ext>
          </a:extLst>
        </xdr:cNvPr>
        <xdr:cNvSpPr txBox="1"/>
      </xdr:nvSpPr>
      <xdr:spPr>
        <a:xfrm rot="16200000">
          <a:off x="386809" y="5185350"/>
          <a:ext cx="3840789" cy="149809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Vb Training Gruppe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7</xdr:col>
      <xdr:colOff>0</xdr:colOff>
      <xdr:row>20</xdr:row>
      <xdr:rowOff>99137</xdr:rowOff>
    </xdr:to>
    <xdr:sp macro="" textlink="">
      <xdr:nvSpPr>
        <xdr:cNvPr id="81" name="Text 279">
          <a:extLst>
            <a:ext uri="{FF2B5EF4-FFF2-40B4-BE49-F238E27FC236}">
              <a16:creationId xmlns:a16="http://schemas.microsoft.com/office/drawing/2014/main" id="{B2914242-F4D5-4756-8BDC-F8AB965AD0B0}"/>
            </a:ext>
          </a:extLst>
        </xdr:cNvPr>
        <xdr:cNvSpPr txBox="1">
          <a:spLocks noChangeArrowheads="1"/>
        </xdr:cNvSpPr>
      </xdr:nvSpPr>
      <xdr:spPr bwMode="auto">
        <a:xfrm>
          <a:off x="5105400" y="3185160"/>
          <a:ext cx="2042160" cy="266777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 rtl="0">
            <a:defRPr sz="1000"/>
          </a:pP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Frührapport / Arbeitsbeginn</a:t>
          </a:r>
          <a:endParaRPr lang="de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13</xdr:row>
      <xdr:rowOff>1</xdr:rowOff>
    </xdr:from>
    <xdr:to>
      <xdr:col>7</xdr:col>
      <xdr:colOff>0</xdr:colOff>
      <xdr:row>18</xdr:row>
      <xdr:rowOff>98882</xdr:rowOff>
    </xdr:to>
    <xdr:sp macro="" textlink="">
      <xdr:nvSpPr>
        <xdr:cNvPr id="82" name="Textfeld 107">
          <a:extLst>
            <a:ext uri="{FF2B5EF4-FFF2-40B4-BE49-F238E27FC236}">
              <a16:creationId xmlns:a16="http://schemas.microsoft.com/office/drawing/2014/main" id="{577DEC60-9ACA-4DD3-A583-FC8D049EC007}"/>
            </a:ext>
          </a:extLst>
        </xdr:cNvPr>
        <xdr:cNvSpPr txBox="1"/>
      </xdr:nvSpPr>
      <xdr:spPr>
        <a:xfrm>
          <a:off x="5105400" y="2179321"/>
          <a:ext cx="2042160" cy="93708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</a:p>
        <a:p>
          <a:pPr marL="0" indent="0" algn="ctr"/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r>
            <a:rPr lang="en-CH" sz="6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BON - Brigels</a:t>
          </a:r>
          <a:endParaRPr lang="en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20</xdr:row>
      <xdr:rowOff>99645</xdr:rowOff>
    </xdr:from>
    <xdr:to>
      <xdr:col>13</xdr:col>
      <xdr:colOff>193431</xdr:colOff>
      <xdr:row>82</xdr:row>
      <xdr:rowOff>99645</xdr:rowOff>
    </xdr:to>
    <xdr:sp macro="" textlink="">
      <xdr:nvSpPr>
        <xdr:cNvPr id="83" name="Textfeld 107">
          <a:extLst>
            <a:ext uri="{FF2B5EF4-FFF2-40B4-BE49-F238E27FC236}">
              <a16:creationId xmlns:a16="http://schemas.microsoft.com/office/drawing/2014/main" id="{351702D9-90DC-4468-8FC3-3D992ABD3786}"/>
            </a:ext>
          </a:extLst>
        </xdr:cNvPr>
        <xdr:cNvSpPr txBox="1"/>
      </xdr:nvSpPr>
      <xdr:spPr>
        <a:xfrm>
          <a:off x="12252960" y="3452445"/>
          <a:ext cx="1214511" cy="1039368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Betrieb</a:t>
          </a:r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 Gs Vb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 Bat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193435</xdr:colOff>
      <xdr:row>20</xdr:row>
      <xdr:rowOff>99643</xdr:rowOff>
    </xdr:from>
    <xdr:to>
      <xdr:col>14</xdr:col>
      <xdr:colOff>2</xdr:colOff>
      <xdr:row>82</xdr:row>
      <xdr:rowOff>99644</xdr:rowOff>
    </xdr:to>
    <xdr:sp macro="" textlink="">
      <xdr:nvSpPr>
        <xdr:cNvPr id="84" name="Textfeld 107">
          <a:extLst>
            <a:ext uri="{FF2B5EF4-FFF2-40B4-BE49-F238E27FC236}">
              <a16:creationId xmlns:a16="http://schemas.microsoft.com/office/drawing/2014/main" id="{F020285F-6741-4480-A004-B0C82E64348A}"/>
            </a:ext>
          </a:extLst>
        </xdr:cNvPr>
        <xdr:cNvSpPr txBox="1"/>
      </xdr:nvSpPr>
      <xdr:spPr>
        <a:xfrm rot="16200000">
          <a:off x="8684458" y="8235460"/>
          <a:ext cx="10393681" cy="827647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Vb Training Gruppe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18</xdr:row>
      <xdr:rowOff>99645</xdr:rowOff>
    </xdr:from>
    <xdr:to>
      <xdr:col>14</xdr:col>
      <xdr:colOff>1</xdr:colOff>
      <xdr:row>20</xdr:row>
      <xdr:rowOff>99136</xdr:rowOff>
    </xdr:to>
    <xdr:sp macro="" textlink="">
      <xdr:nvSpPr>
        <xdr:cNvPr id="85" name="Text 279">
          <a:extLst>
            <a:ext uri="{FF2B5EF4-FFF2-40B4-BE49-F238E27FC236}">
              <a16:creationId xmlns:a16="http://schemas.microsoft.com/office/drawing/2014/main" id="{8FA85ECB-9702-4E40-8973-BBFECCAFF28C}"/>
            </a:ext>
          </a:extLst>
        </xdr:cNvPr>
        <xdr:cNvSpPr txBox="1">
          <a:spLocks noChangeArrowheads="1"/>
        </xdr:cNvSpPr>
      </xdr:nvSpPr>
      <xdr:spPr bwMode="auto">
        <a:xfrm>
          <a:off x="12252960" y="3117165"/>
          <a:ext cx="2042161" cy="334771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 rtl="0">
            <a:defRPr sz="1000"/>
          </a:pP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Frührapport / Arbeitsbeginn</a:t>
          </a:r>
          <a:endParaRPr lang="de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14</xdr:col>
      <xdr:colOff>1</xdr:colOff>
      <xdr:row>18</xdr:row>
      <xdr:rowOff>98881</xdr:rowOff>
    </xdr:to>
    <xdr:sp macro="" textlink="">
      <xdr:nvSpPr>
        <xdr:cNvPr id="86" name="Textfeld 107">
          <a:extLst>
            <a:ext uri="{FF2B5EF4-FFF2-40B4-BE49-F238E27FC236}">
              <a16:creationId xmlns:a16="http://schemas.microsoft.com/office/drawing/2014/main" id="{345D8ED9-4C77-41A8-95E2-CE729E684F23}"/>
            </a:ext>
          </a:extLst>
        </xdr:cNvPr>
        <xdr:cNvSpPr txBox="1"/>
      </xdr:nvSpPr>
      <xdr:spPr>
        <a:xfrm>
          <a:off x="12252960" y="2179320"/>
          <a:ext cx="2042161" cy="93708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</a:p>
        <a:p>
          <a:pPr marL="0" indent="0" algn="ctr"/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r>
            <a:rPr lang="en-CH" sz="6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BON - Brigels</a:t>
          </a:r>
          <a:endParaRPr lang="en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21</xdr:row>
      <xdr:rowOff>2</xdr:rowOff>
    </xdr:from>
    <xdr:to>
      <xdr:col>20</xdr:col>
      <xdr:colOff>193430</xdr:colOff>
      <xdr:row>83</xdr:row>
      <xdr:rowOff>2</xdr:rowOff>
    </xdr:to>
    <xdr:sp macro="" textlink="">
      <xdr:nvSpPr>
        <xdr:cNvPr id="87" name="Textfeld 107">
          <a:extLst>
            <a:ext uri="{FF2B5EF4-FFF2-40B4-BE49-F238E27FC236}">
              <a16:creationId xmlns:a16="http://schemas.microsoft.com/office/drawing/2014/main" id="{74F79D3A-87A0-46EF-97F4-DF5F670FDE9A}"/>
            </a:ext>
          </a:extLst>
        </xdr:cNvPr>
        <xdr:cNvSpPr txBox="1"/>
      </xdr:nvSpPr>
      <xdr:spPr>
        <a:xfrm>
          <a:off x="19400520" y="3520442"/>
          <a:ext cx="1214510" cy="10393680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Betrieb</a:t>
          </a:r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 Gs Vb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 Bat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193434</xdr:colOff>
      <xdr:row>21</xdr:row>
      <xdr:rowOff>0</xdr:rowOff>
    </xdr:from>
    <xdr:to>
      <xdr:col>21</xdr:col>
      <xdr:colOff>1</xdr:colOff>
      <xdr:row>83</xdr:row>
      <xdr:rowOff>1</xdr:rowOff>
    </xdr:to>
    <xdr:sp macro="" textlink="">
      <xdr:nvSpPr>
        <xdr:cNvPr id="88" name="Textfeld 107">
          <a:extLst>
            <a:ext uri="{FF2B5EF4-FFF2-40B4-BE49-F238E27FC236}">
              <a16:creationId xmlns:a16="http://schemas.microsoft.com/office/drawing/2014/main" id="{748FD812-19FA-47D4-BEEF-4ABE1195AA77}"/>
            </a:ext>
          </a:extLst>
        </xdr:cNvPr>
        <xdr:cNvSpPr txBox="1"/>
      </xdr:nvSpPr>
      <xdr:spPr>
        <a:xfrm rot="16200000">
          <a:off x="15832017" y="8303457"/>
          <a:ext cx="10393681" cy="827647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Vb Training Gruppe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19</xdr:row>
      <xdr:rowOff>2</xdr:rowOff>
    </xdr:from>
    <xdr:to>
      <xdr:col>21</xdr:col>
      <xdr:colOff>0</xdr:colOff>
      <xdr:row>20</xdr:row>
      <xdr:rowOff>99139</xdr:rowOff>
    </xdr:to>
    <xdr:sp macro="" textlink="">
      <xdr:nvSpPr>
        <xdr:cNvPr id="89" name="Text 279">
          <a:extLst>
            <a:ext uri="{FF2B5EF4-FFF2-40B4-BE49-F238E27FC236}">
              <a16:creationId xmlns:a16="http://schemas.microsoft.com/office/drawing/2014/main" id="{2553D725-BAE2-4B61-BC5A-0CD345C3C9DF}"/>
            </a:ext>
          </a:extLst>
        </xdr:cNvPr>
        <xdr:cNvSpPr txBox="1">
          <a:spLocks noChangeArrowheads="1"/>
        </xdr:cNvSpPr>
      </xdr:nvSpPr>
      <xdr:spPr bwMode="auto">
        <a:xfrm>
          <a:off x="19400520" y="3185162"/>
          <a:ext cx="2042160" cy="266777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 rtl="0">
            <a:defRPr sz="1000"/>
          </a:pP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Frührapport / Arbeitsbeginn</a:t>
          </a:r>
          <a:endParaRPr lang="de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13</xdr:row>
      <xdr:rowOff>3</xdr:rowOff>
    </xdr:from>
    <xdr:to>
      <xdr:col>21</xdr:col>
      <xdr:colOff>0</xdr:colOff>
      <xdr:row>18</xdr:row>
      <xdr:rowOff>98884</xdr:rowOff>
    </xdr:to>
    <xdr:sp macro="" textlink="">
      <xdr:nvSpPr>
        <xdr:cNvPr id="90" name="Textfeld 107">
          <a:extLst>
            <a:ext uri="{FF2B5EF4-FFF2-40B4-BE49-F238E27FC236}">
              <a16:creationId xmlns:a16="http://schemas.microsoft.com/office/drawing/2014/main" id="{401BB46D-219F-4E40-BF7C-818B4E58CE2C}"/>
            </a:ext>
          </a:extLst>
        </xdr:cNvPr>
        <xdr:cNvSpPr txBox="1"/>
      </xdr:nvSpPr>
      <xdr:spPr>
        <a:xfrm>
          <a:off x="19400520" y="2179323"/>
          <a:ext cx="2042160" cy="93708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</a:p>
        <a:p>
          <a:pPr marL="0" indent="0" algn="ctr"/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r>
            <a:rPr lang="en-CH" sz="6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BON - Brigels</a:t>
          </a:r>
          <a:endParaRPr lang="en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0</xdr:colOff>
      <xdr:row>21</xdr:row>
      <xdr:rowOff>3538</xdr:rowOff>
    </xdr:from>
    <xdr:to>
      <xdr:col>27</xdr:col>
      <xdr:colOff>193430</xdr:colOff>
      <xdr:row>80</xdr:row>
      <xdr:rowOff>1</xdr:rowOff>
    </xdr:to>
    <xdr:sp macro="" textlink="">
      <xdr:nvSpPr>
        <xdr:cNvPr id="91" name="Textfeld 107">
          <a:extLst>
            <a:ext uri="{FF2B5EF4-FFF2-40B4-BE49-F238E27FC236}">
              <a16:creationId xmlns:a16="http://schemas.microsoft.com/office/drawing/2014/main" id="{46FA09E9-8E6E-4128-999F-6EF0DF13F18D}"/>
            </a:ext>
          </a:extLst>
        </xdr:cNvPr>
        <xdr:cNvSpPr txBox="1"/>
      </xdr:nvSpPr>
      <xdr:spPr>
        <a:xfrm>
          <a:off x="8533027" y="3339862"/>
          <a:ext cx="536673" cy="5666842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Betrieb</a:t>
          </a:r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 Gs Vb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 Bat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27</xdr:col>
      <xdr:colOff>178490</xdr:colOff>
      <xdr:row>21</xdr:row>
      <xdr:rowOff>3535</xdr:rowOff>
    </xdr:from>
    <xdr:to>
      <xdr:col>28</xdr:col>
      <xdr:colOff>2</xdr:colOff>
      <xdr:row>60</xdr:row>
      <xdr:rowOff>96107</xdr:rowOff>
    </xdr:to>
    <xdr:sp macro="" textlink="">
      <xdr:nvSpPr>
        <xdr:cNvPr id="92" name="Textfeld 107">
          <a:extLst>
            <a:ext uri="{FF2B5EF4-FFF2-40B4-BE49-F238E27FC236}">
              <a16:creationId xmlns:a16="http://schemas.microsoft.com/office/drawing/2014/main" id="{7AE1A909-BBBA-4A0A-939F-064E8C9876C7}"/>
            </a:ext>
          </a:extLst>
        </xdr:cNvPr>
        <xdr:cNvSpPr txBox="1"/>
      </xdr:nvSpPr>
      <xdr:spPr>
        <a:xfrm rot="16200000">
          <a:off x="7216743" y="5177876"/>
          <a:ext cx="3840789" cy="164756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Vb Training Gruppe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0</xdr:colOff>
      <xdr:row>18</xdr:row>
      <xdr:rowOff>99645</xdr:rowOff>
    </xdr:from>
    <xdr:to>
      <xdr:col>28</xdr:col>
      <xdr:colOff>1</xdr:colOff>
      <xdr:row>20</xdr:row>
      <xdr:rowOff>99136</xdr:rowOff>
    </xdr:to>
    <xdr:sp macro="" textlink="">
      <xdr:nvSpPr>
        <xdr:cNvPr id="93" name="Text 279">
          <a:extLst>
            <a:ext uri="{FF2B5EF4-FFF2-40B4-BE49-F238E27FC236}">
              <a16:creationId xmlns:a16="http://schemas.microsoft.com/office/drawing/2014/main" id="{50F879F8-4D76-48B5-BAA0-6BCD94792359}"/>
            </a:ext>
          </a:extLst>
        </xdr:cNvPr>
        <xdr:cNvSpPr txBox="1">
          <a:spLocks noChangeArrowheads="1"/>
        </xdr:cNvSpPr>
      </xdr:nvSpPr>
      <xdr:spPr bwMode="auto">
        <a:xfrm>
          <a:off x="26548080" y="3117165"/>
          <a:ext cx="2042161" cy="334771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 rtl="0">
            <a:defRPr sz="1000"/>
          </a:pP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Frührapport / Arbeitsbeginn</a:t>
          </a:r>
          <a:endParaRPr lang="de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28</xdr:col>
      <xdr:colOff>1</xdr:colOff>
      <xdr:row>18</xdr:row>
      <xdr:rowOff>98881</xdr:rowOff>
    </xdr:to>
    <xdr:sp macro="" textlink="">
      <xdr:nvSpPr>
        <xdr:cNvPr id="94" name="Textfeld 107">
          <a:extLst>
            <a:ext uri="{FF2B5EF4-FFF2-40B4-BE49-F238E27FC236}">
              <a16:creationId xmlns:a16="http://schemas.microsoft.com/office/drawing/2014/main" id="{229FA681-8CCC-435D-9C60-606E02F84510}"/>
            </a:ext>
          </a:extLst>
        </xdr:cNvPr>
        <xdr:cNvSpPr txBox="1"/>
      </xdr:nvSpPr>
      <xdr:spPr>
        <a:xfrm>
          <a:off x="26548080" y="2179320"/>
          <a:ext cx="2042161" cy="93708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</a:p>
        <a:p>
          <a:pPr marL="0" indent="0" algn="ctr"/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r>
            <a:rPr lang="en-CH" sz="6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BON - Brigels</a:t>
          </a:r>
          <a:endParaRPr lang="en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345829</xdr:colOff>
      <xdr:row>21</xdr:row>
      <xdr:rowOff>2</xdr:rowOff>
    </xdr:from>
    <xdr:to>
      <xdr:col>34</xdr:col>
      <xdr:colOff>193429</xdr:colOff>
      <xdr:row>55</xdr:row>
      <xdr:rowOff>0</xdr:rowOff>
    </xdr:to>
    <xdr:sp macro="" textlink="">
      <xdr:nvSpPr>
        <xdr:cNvPr id="95" name="Textfeld 107">
          <a:extLst>
            <a:ext uri="{FF2B5EF4-FFF2-40B4-BE49-F238E27FC236}">
              <a16:creationId xmlns:a16="http://schemas.microsoft.com/office/drawing/2014/main" id="{5C8F1706-8030-4D01-B509-B7C96A87D992}"/>
            </a:ext>
          </a:extLst>
        </xdr:cNvPr>
        <xdr:cNvSpPr txBox="1"/>
      </xdr:nvSpPr>
      <xdr:spPr>
        <a:xfrm>
          <a:off x="33020389" y="3520442"/>
          <a:ext cx="1889760" cy="5699758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Betrieb</a:t>
          </a:r>
          <a:r>
            <a:rPr lang="en-US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 Gs Vb</a:t>
          </a:r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&amp; Bat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34</xdr:col>
      <xdr:colOff>193433</xdr:colOff>
      <xdr:row>21</xdr:row>
      <xdr:rowOff>0</xdr:rowOff>
    </xdr:from>
    <xdr:to>
      <xdr:col>35</xdr:col>
      <xdr:colOff>0</xdr:colOff>
      <xdr:row>54</xdr:row>
      <xdr:rowOff>99646</xdr:rowOff>
    </xdr:to>
    <xdr:sp macro="" textlink="">
      <xdr:nvSpPr>
        <xdr:cNvPr id="96" name="Textfeld 107">
          <a:extLst>
            <a:ext uri="{FF2B5EF4-FFF2-40B4-BE49-F238E27FC236}">
              <a16:creationId xmlns:a16="http://schemas.microsoft.com/office/drawing/2014/main" id="{EE7A27E3-CA97-4FD3-850B-4709FAA2CD06}"/>
            </a:ext>
          </a:extLst>
        </xdr:cNvPr>
        <xdr:cNvSpPr txBox="1"/>
      </xdr:nvSpPr>
      <xdr:spPr>
        <a:xfrm rot="16200000">
          <a:off x="32508094" y="5922499"/>
          <a:ext cx="5631766" cy="827647"/>
        </a:xfrm>
        <a:prstGeom prst="rect">
          <a:avLst/>
        </a:prstGeom>
        <a:solidFill>
          <a:srgbClr val="F8CBAD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Vb Training Gruppe</a:t>
          </a:r>
          <a:endParaRPr lang="en-US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345829</xdr:colOff>
      <xdr:row>19</xdr:row>
      <xdr:rowOff>2</xdr:rowOff>
    </xdr:from>
    <xdr:to>
      <xdr:col>34</xdr:col>
      <xdr:colOff>345830</xdr:colOff>
      <xdr:row>20</xdr:row>
      <xdr:rowOff>99139</xdr:rowOff>
    </xdr:to>
    <xdr:sp macro="" textlink="">
      <xdr:nvSpPr>
        <xdr:cNvPr id="97" name="Text 279">
          <a:extLst>
            <a:ext uri="{FF2B5EF4-FFF2-40B4-BE49-F238E27FC236}">
              <a16:creationId xmlns:a16="http://schemas.microsoft.com/office/drawing/2014/main" id="{1EB83318-B10B-41BE-8A7E-605A36CCCEDC}"/>
            </a:ext>
          </a:extLst>
        </xdr:cNvPr>
        <xdr:cNvSpPr txBox="1">
          <a:spLocks noChangeArrowheads="1"/>
        </xdr:cNvSpPr>
      </xdr:nvSpPr>
      <xdr:spPr bwMode="auto">
        <a:xfrm>
          <a:off x="33020389" y="3185162"/>
          <a:ext cx="2042161" cy="266777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 rtl="0">
            <a:defRPr sz="1000"/>
          </a:pP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Frührapport / Arbeitsbeginn</a:t>
          </a:r>
          <a:endParaRPr lang="de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345829</xdr:colOff>
      <xdr:row>13</xdr:row>
      <xdr:rowOff>3</xdr:rowOff>
    </xdr:from>
    <xdr:to>
      <xdr:col>34</xdr:col>
      <xdr:colOff>345830</xdr:colOff>
      <xdr:row>18</xdr:row>
      <xdr:rowOff>98884</xdr:rowOff>
    </xdr:to>
    <xdr:sp macro="" textlink="">
      <xdr:nvSpPr>
        <xdr:cNvPr id="98" name="Textfeld 107">
          <a:extLst>
            <a:ext uri="{FF2B5EF4-FFF2-40B4-BE49-F238E27FC236}">
              <a16:creationId xmlns:a16="http://schemas.microsoft.com/office/drawing/2014/main" id="{EA0C7920-DCD5-4A74-ABE1-B13E94AEDC78}"/>
            </a:ext>
          </a:extLst>
        </xdr:cNvPr>
        <xdr:cNvSpPr txBox="1"/>
      </xdr:nvSpPr>
      <xdr:spPr>
        <a:xfrm>
          <a:off x="33020389" y="2179323"/>
          <a:ext cx="2042161" cy="93708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</a:p>
        <a:p>
          <a:pPr marL="0" indent="0" algn="ctr"/>
          <a:endParaRPr lang="en-CH" sz="6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</a:t>
          </a:r>
          <a:r>
            <a:rPr lang="en-CH" sz="6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BON - Brigels</a:t>
          </a:r>
          <a:endParaRPr lang="en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65</xdr:row>
      <xdr:rowOff>0</xdr:rowOff>
    </xdr:from>
    <xdr:to>
      <xdr:col>12</xdr:col>
      <xdr:colOff>345830</xdr:colOff>
      <xdr:row>77</xdr:row>
      <xdr:rowOff>0</xdr:rowOff>
    </xdr:to>
    <xdr:sp macro="" textlink="">
      <xdr:nvSpPr>
        <xdr:cNvPr id="99" name="Textfeld 433">
          <a:extLst>
            <a:ext uri="{FF2B5EF4-FFF2-40B4-BE49-F238E27FC236}">
              <a16:creationId xmlns:a16="http://schemas.microsoft.com/office/drawing/2014/main" id="{E5F8C4CE-01BC-4031-A1DB-78910C7AD6A7}"/>
            </a:ext>
          </a:extLst>
        </xdr:cNvPr>
        <xdr:cNvSpPr txBox="1"/>
      </xdr:nvSpPr>
      <xdr:spPr>
        <a:xfrm>
          <a:off x="12252960" y="10896600"/>
          <a:ext cx="345830" cy="201168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Ausgang</a:t>
          </a:r>
          <a:r>
            <a:rPr lang="en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gestaffelt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1</xdr:colOff>
      <xdr:row>65</xdr:row>
      <xdr:rowOff>0</xdr:rowOff>
    </xdr:from>
    <xdr:to>
      <xdr:col>20</xdr:col>
      <xdr:colOff>0</xdr:colOff>
      <xdr:row>77</xdr:row>
      <xdr:rowOff>0</xdr:rowOff>
    </xdr:to>
    <xdr:sp macro="" textlink="">
      <xdr:nvSpPr>
        <xdr:cNvPr id="100" name="Textfeld 433">
          <a:extLst>
            <a:ext uri="{FF2B5EF4-FFF2-40B4-BE49-F238E27FC236}">
              <a16:creationId xmlns:a16="http://schemas.microsoft.com/office/drawing/2014/main" id="{FE7C2DC6-AD91-4ABD-A7FE-217E6A3DE73C}"/>
            </a:ext>
          </a:extLst>
        </xdr:cNvPr>
        <xdr:cNvSpPr txBox="1"/>
      </xdr:nvSpPr>
      <xdr:spPr>
        <a:xfrm>
          <a:off x="19400521" y="10896600"/>
          <a:ext cx="1021079" cy="201168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Ausgang</a:t>
          </a:r>
          <a:r>
            <a:rPr lang="en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gestaffelt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281939</xdr:colOff>
      <xdr:row>38</xdr:row>
      <xdr:rowOff>0</xdr:rowOff>
    </xdr:to>
    <xdr:sp macro="" textlink="">
      <xdr:nvSpPr>
        <xdr:cNvPr id="101" name="Rechteck 302">
          <a:extLst>
            <a:ext uri="{FF2B5EF4-FFF2-40B4-BE49-F238E27FC236}">
              <a16:creationId xmlns:a16="http://schemas.microsoft.com/office/drawing/2014/main" id="{76408AAC-A54D-4243-80BC-9B5BF0B631F8}"/>
            </a:ext>
          </a:extLst>
        </xdr:cNvPr>
        <xdr:cNvSpPr/>
      </xdr:nvSpPr>
      <xdr:spPr bwMode="auto">
        <a:xfrm>
          <a:off x="7147560" y="5867400"/>
          <a:ext cx="281939" cy="502920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oneCellAnchor>
    <xdr:from>
      <xdr:col>57</xdr:col>
      <xdr:colOff>211711</xdr:colOff>
      <xdr:row>21</xdr:row>
      <xdr:rowOff>48206</xdr:rowOff>
    </xdr:from>
    <xdr:ext cx="16145881" cy="2127377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47CBA7B-84EA-4839-96CC-38C0056E917E}"/>
            </a:ext>
          </a:extLst>
        </xdr:cNvPr>
        <xdr:cNvSpPr/>
      </xdr:nvSpPr>
      <xdr:spPr>
        <a:xfrm rot="20516745">
          <a:off x="58413271" y="3568646"/>
          <a:ext cx="16145881" cy="212737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de-CH" sz="138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PROVISORISCH</a:t>
          </a:r>
          <a:endParaRPr lang="de-CH" sz="166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27</xdr:col>
      <xdr:colOff>0</xdr:colOff>
      <xdr:row>61</xdr:row>
      <xdr:rowOff>0</xdr:rowOff>
    </xdr:from>
    <xdr:to>
      <xdr:col>27</xdr:col>
      <xdr:colOff>343242</xdr:colOff>
      <xdr:row>79</xdr:row>
      <xdr:rowOff>96107</xdr:rowOff>
    </xdr:to>
    <xdr:sp macro="" textlink="">
      <xdr:nvSpPr>
        <xdr:cNvPr id="103" name="Textfeld 433">
          <a:extLst>
            <a:ext uri="{FF2B5EF4-FFF2-40B4-BE49-F238E27FC236}">
              <a16:creationId xmlns:a16="http://schemas.microsoft.com/office/drawing/2014/main" id="{8C1F3609-0A7C-C88E-799A-E35898CD9B83}"/>
            </a:ext>
          </a:extLst>
        </xdr:cNvPr>
        <xdr:cNvSpPr txBox="1"/>
      </xdr:nvSpPr>
      <xdr:spPr>
        <a:xfrm>
          <a:off x="8876270" y="7180649"/>
          <a:ext cx="343242" cy="1826053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</a:t>
          </a:r>
          <a:r>
            <a:rPr lang="en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bbau TK (MZH Brigels)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0</xdr:colOff>
      <xdr:row>61</xdr:row>
      <xdr:rowOff>1</xdr:rowOff>
    </xdr:from>
    <xdr:to>
      <xdr:col>6</xdr:col>
      <xdr:colOff>343242</xdr:colOff>
      <xdr:row>83</xdr:row>
      <xdr:rowOff>0</xdr:rowOff>
    </xdr:to>
    <xdr:sp macro="" textlink="">
      <xdr:nvSpPr>
        <xdr:cNvPr id="104" name="Textfeld 433">
          <a:extLst>
            <a:ext uri="{FF2B5EF4-FFF2-40B4-BE49-F238E27FC236}">
              <a16:creationId xmlns:a16="http://schemas.microsoft.com/office/drawing/2014/main" id="{9DF71653-8389-465D-A379-1F80EC128F87}"/>
            </a:ext>
          </a:extLst>
        </xdr:cNvPr>
        <xdr:cNvSpPr txBox="1"/>
      </xdr:nvSpPr>
      <xdr:spPr>
        <a:xfrm>
          <a:off x="2038865" y="7180650"/>
          <a:ext cx="343242" cy="2114377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</a:t>
          </a:r>
          <a:r>
            <a:rPr lang="en-CH" sz="7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Aufbau TK</a:t>
          </a:r>
          <a:r>
            <a:rPr lang="en-CH" sz="7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(MZH Brigels)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7</xdr:row>
      <xdr:rowOff>6980</xdr:rowOff>
    </xdr:from>
    <xdr:to>
      <xdr:col>4</xdr:col>
      <xdr:colOff>169194</xdr:colOff>
      <xdr:row>11</xdr:row>
      <xdr:rowOff>0</xdr:rowOff>
    </xdr:to>
    <xdr:sp macro="" textlink="">
      <xdr:nvSpPr>
        <xdr:cNvPr id="105" name="Textfeld 107">
          <a:extLst>
            <a:ext uri="{FF2B5EF4-FFF2-40B4-BE49-F238E27FC236}">
              <a16:creationId xmlns:a16="http://schemas.microsoft.com/office/drawing/2014/main" id="{81526A3C-A54A-4098-9986-0187B4F87B8A}"/>
            </a:ext>
          </a:extLst>
        </xdr:cNvPr>
        <xdr:cNvSpPr txBox="1"/>
      </xdr:nvSpPr>
      <xdr:spPr>
        <a:xfrm rot="5400000">
          <a:off x="892950" y="1781031"/>
          <a:ext cx="393070" cy="854994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Extern</a:t>
          </a:r>
        </a:p>
      </xdr:txBody>
    </xdr:sp>
    <xdr:clientData/>
  </xdr:twoCellAnchor>
  <xdr:twoCellAnchor>
    <xdr:from>
      <xdr:col>24</xdr:col>
      <xdr:colOff>0</xdr:colOff>
      <xdr:row>43</xdr:row>
      <xdr:rowOff>99645</xdr:rowOff>
    </xdr:from>
    <xdr:to>
      <xdr:col>24</xdr:col>
      <xdr:colOff>343437</xdr:colOff>
      <xdr:row>51</xdr:row>
      <xdr:rowOff>99645</xdr:rowOff>
    </xdr:to>
    <xdr:sp macro="" textlink="">
      <xdr:nvSpPr>
        <xdr:cNvPr id="106" name="Rechteck 311">
          <a:extLst>
            <a:ext uri="{FF2B5EF4-FFF2-40B4-BE49-F238E27FC236}">
              <a16:creationId xmlns:a16="http://schemas.microsoft.com/office/drawing/2014/main" id="{5B61E9D1-F644-4AC7-AD0B-4F0046B174E1}"/>
            </a:ext>
          </a:extLst>
        </xdr:cNvPr>
        <xdr:cNvSpPr/>
      </xdr:nvSpPr>
      <xdr:spPr bwMode="auto">
        <a:xfrm>
          <a:off x="7883769" y="5691553"/>
          <a:ext cx="343437" cy="797169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Wf Insp </a:t>
          </a: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Bat Stab</a:t>
          </a:r>
        </a:p>
        <a:p>
          <a:pPr marL="0" indent="0" algn="ctr"/>
          <a:r>
            <a:rPr lang="en-CH" sz="600" b="0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Bat KP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0</xdr:colOff>
      <xdr:row>21</xdr:row>
      <xdr:rowOff>1</xdr:rowOff>
    </xdr:from>
    <xdr:to>
      <xdr:col>9</xdr:col>
      <xdr:colOff>0</xdr:colOff>
      <xdr:row>33</xdr:row>
      <xdr:rowOff>0</xdr:rowOff>
    </xdr:to>
    <xdr:sp macro="" textlink="">
      <xdr:nvSpPr>
        <xdr:cNvPr id="107" name="Rechteck 311">
          <a:extLst>
            <a:ext uri="{FF2B5EF4-FFF2-40B4-BE49-F238E27FC236}">
              <a16:creationId xmlns:a16="http://schemas.microsoft.com/office/drawing/2014/main" id="{97F0A02A-A67B-0A2A-A5AC-4B927CB9351B}"/>
            </a:ext>
          </a:extLst>
        </xdr:cNvPr>
        <xdr:cNvSpPr/>
      </xdr:nvSpPr>
      <xdr:spPr bwMode="auto">
        <a:xfrm>
          <a:off x="2672862" y="3399693"/>
          <a:ext cx="281353" cy="1195753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</a:t>
          </a:r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36</xdr:col>
      <xdr:colOff>1</xdr:colOff>
      <xdr:row>61</xdr:row>
      <xdr:rowOff>2</xdr:rowOff>
    </xdr:from>
    <xdr:to>
      <xdr:col>37</xdr:col>
      <xdr:colOff>0</xdr:colOff>
      <xdr:row>63</xdr:row>
      <xdr:rowOff>1</xdr:rowOff>
    </xdr:to>
    <xdr:sp macro="" textlink="">
      <xdr:nvSpPr>
        <xdr:cNvPr id="108" name="Rechteck 311">
          <a:extLst>
            <a:ext uri="{FF2B5EF4-FFF2-40B4-BE49-F238E27FC236}">
              <a16:creationId xmlns:a16="http://schemas.microsoft.com/office/drawing/2014/main" id="{25F8947D-7547-1696-9095-9CE19B55825E}"/>
            </a:ext>
          </a:extLst>
        </xdr:cNvPr>
        <xdr:cNvSpPr/>
      </xdr:nvSpPr>
      <xdr:spPr bwMode="auto">
        <a:xfrm>
          <a:off x="11840309" y="7385540"/>
          <a:ext cx="281353" cy="199292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6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50</a:t>
          </a:r>
          <a:endParaRPr lang="de-CH" sz="600" b="0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236220</xdr:colOff>
      <xdr:row>6</xdr:row>
      <xdr:rowOff>0</xdr:rowOff>
    </xdr:from>
    <xdr:to>
      <xdr:col>60</xdr:col>
      <xdr:colOff>501333</xdr:colOff>
      <xdr:row>15</xdr:row>
      <xdr:rowOff>24362</xdr:rowOff>
    </xdr:to>
    <xdr:sp macro="" textlink="">
      <xdr:nvSpPr>
        <xdr:cNvPr id="2" name="Textfeld 107">
          <a:extLst>
            <a:ext uri="{FF2B5EF4-FFF2-40B4-BE49-F238E27FC236}">
              <a16:creationId xmlns:a16="http://schemas.microsoft.com/office/drawing/2014/main" id="{C4200244-7205-4A48-86CC-94F6A068DF50}"/>
            </a:ext>
          </a:extLst>
        </xdr:cNvPr>
        <xdr:cNvSpPr txBox="1"/>
      </xdr:nvSpPr>
      <xdr:spPr>
        <a:xfrm>
          <a:off x="63543180" y="1005840"/>
          <a:ext cx="265113" cy="1533122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Standard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Wer / Ort</a:t>
          </a:r>
        </a:p>
      </xdr:txBody>
    </xdr:sp>
    <xdr:clientData/>
  </xdr:twoCellAnchor>
  <xdr:twoCellAnchor>
    <xdr:from>
      <xdr:col>60</xdr:col>
      <xdr:colOff>502764</xdr:colOff>
      <xdr:row>6</xdr:row>
      <xdr:rowOff>1</xdr:rowOff>
    </xdr:from>
    <xdr:to>
      <xdr:col>60</xdr:col>
      <xdr:colOff>775562</xdr:colOff>
      <xdr:row>15</xdr:row>
      <xdr:rowOff>24363</xdr:rowOff>
    </xdr:to>
    <xdr:sp macro="" textlink="">
      <xdr:nvSpPr>
        <xdr:cNvPr id="3" name="Textfeld 107">
          <a:extLst>
            <a:ext uri="{FF2B5EF4-FFF2-40B4-BE49-F238E27FC236}">
              <a16:creationId xmlns:a16="http://schemas.microsoft.com/office/drawing/2014/main" id="{41236C07-BE90-4E23-84B4-3A77F2156D82}"/>
            </a:ext>
          </a:extLst>
        </xdr:cNvPr>
        <xdr:cNvSpPr txBox="1"/>
      </xdr:nvSpPr>
      <xdr:spPr>
        <a:xfrm>
          <a:off x="63809724" y="1005841"/>
          <a:ext cx="272798" cy="153312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FGA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60</xdr:col>
      <xdr:colOff>776598</xdr:colOff>
      <xdr:row>6</xdr:row>
      <xdr:rowOff>0</xdr:rowOff>
    </xdr:from>
    <xdr:to>
      <xdr:col>61</xdr:col>
      <xdr:colOff>28712</xdr:colOff>
      <xdr:row>15</xdr:row>
      <xdr:rowOff>24362</xdr:rowOff>
    </xdr:to>
    <xdr:sp macro="" textlink="">
      <xdr:nvSpPr>
        <xdr:cNvPr id="4" name="Textfeld 107">
          <a:extLst>
            <a:ext uri="{FF2B5EF4-FFF2-40B4-BE49-F238E27FC236}">
              <a16:creationId xmlns:a16="http://schemas.microsoft.com/office/drawing/2014/main" id="{3A6CF2F8-6734-4B99-B3FB-C325E685F23B}"/>
            </a:ext>
          </a:extLst>
        </xdr:cNvPr>
        <xdr:cNvSpPr txBox="1"/>
      </xdr:nvSpPr>
      <xdr:spPr>
        <a:xfrm>
          <a:off x="64083558" y="1005840"/>
          <a:ext cx="273194" cy="1533122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Hervorgehoben</a:t>
          </a:r>
        </a:p>
      </xdr:txBody>
    </xdr:sp>
    <xdr:clientData/>
  </xdr:twoCellAnchor>
  <xdr:twoCellAnchor>
    <xdr:from>
      <xdr:col>61</xdr:col>
      <xdr:colOff>30796</xdr:colOff>
      <xdr:row>6</xdr:row>
      <xdr:rowOff>0</xdr:rowOff>
    </xdr:from>
    <xdr:to>
      <xdr:col>61</xdr:col>
      <xdr:colOff>879484</xdr:colOff>
      <xdr:row>6</xdr:row>
      <xdr:rowOff>408344</xdr:rowOff>
    </xdr:to>
    <xdr:sp macro="" textlink="">
      <xdr:nvSpPr>
        <xdr:cNvPr id="5" name="Textfeld 107">
          <a:extLst>
            <a:ext uri="{FF2B5EF4-FFF2-40B4-BE49-F238E27FC236}">
              <a16:creationId xmlns:a16="http://schemas.microsoft.com/office/drawing/2014/main" id="{FA7CB729-3EB0-48F4-A196-2DAD5CF3747C}"/>
            </a:ext>
          </a:extLst>
        </xdr:cNvPr>
        <xdr:cNvSpPr txBox="1"/>
      </xdr:nvSpPr>
      <xdr:spPr>
        <a:xfrm rot="5400000">
          <a:off x="64700928" y="663748"/>
          <a:ext cx="164504" cy="848688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Extern</a:t>
          </a:r>
        </a:p>
      </xdr:txBody>
    </xdr:sp>
    <xdr:clientData/>
  </xdr:twoCellAnchor>
  <xdr:twoCellAnchor>
    <xdr:from>
      <xdr:col>63</xdr:col>
      <xdr:colOff>236220</xdr:colOff>
      <xdr:row>6</xdr:row>
      <xdr:rowOff>286372</xdr:rowOff>
    </xdr:from>
    <xdr:to>
      <xdr:col>65</xdr:col>
      <xdr:colOff>264235</xdr:colOff>
      <xdr:row>6</xdr:row>
      <xdr:rowOff>286372</xdr:rowOff>
    </xdr:to>
    <xdr:cxnSp macro="">
      <xdr:nvCxnSpPr>
        <xdr:cNvPr id="6" name="Gerader Verbinder 188">
          <a:extLst>
            <a:ext uri="{FF2B5EF4-FFF2-40B4-BE49-F238E27FC236}">
              <a16:creationId xmlns:a16="http://schemas.microsoft.com/office/drawing/2014/main" id="{58C13018-73DE-486B-957F-DDD310CD7915}"/>
            </a:ext>
          </a:extLst>
        </xdr:cNvPr>
        <xdr:cNvCxnSpPr/>
      </xdr:nvCxnSpPr>
      <xdr:spPr bwMode="auto">
        <a:xfrm>
          <a:off x="66606420" y="1170292"/>
          <a:ext cx="2070175" cy="0"/>
        </a:xfrm>
        <a:prstGeom prst="line">
          <a:avLst/>
        </a:prstGeom>
        <a:solidFill>
          <a:schemeClr val="bg1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63</xdr:col>
      <xdr:colOff>236220</xdr:colOff>
      <xdr:row>6</xdr:row>
      <xdr:rowOff>0</xdr:rowOff>
    </xdr:from>
    <xdr:to>
      <xdr:col>65</xdr:col>
      <xdr:colOff>264235</xdr:colOff>
      <xdr:row>6</xdr:row>
      <xdr:rowOff>191122</xdr:rowOff>
    </xdr:to>
    <xdr:sp macro="" textlink="">
      <xdr:nvSpPr>
        <xdr:cNvPr id="7" name="Textfeld 340">
          <a:extLst>
            <a:ext uri="{FF2B5EF4-FFF2-40B4-BE49-F238E27FC236}">
              <a16:creationId xmlns:a16="http://schemas.microsoft.com/office/drawing/2014/main" id="{58635B51-9BCB-4F55-A718-37C7BD5F223E}"/>
            </a:ext>
          </a:extLst>
        </xdr:cNvPr>
        <xdr:cNvSpPr txBox="1"/>
      </xdr:nvSpPr>
      <xdr:spPr>
        <a:xfrm>
          <a:off x="66606420" y="1005840"/>
          <a:ext cx="2070175" cy="168262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  <a:r>
            <a:rPr lang="de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Einh Four</a:t>
          </a:r>
          <a:r>
            <a:rPr lang="de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/ Esssaal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993429</xdr:colOff>
      <xdr:row>6</xdr:row>
      <xdr:rowOff>236408</xdr:rowOff>
    </xdr:from>
    <xdr:to>
      <xdr:col>64</xdr:col>
      <xdr:colOff>541263</xdr:colOff>
      <xdr:row>6</xdr:row>
      <xdr:rowOff>362058</xdr:rowOff>
    </xdr:to>
    <xdr:sp macro="" textlink="">
      <xdr:nvSpPr>
        <xdr:cNvPr id="8" name="Textfeld 52">
          <a:extLst>
            <a:ext uri="{FF2B5EF4-FFF2-40B4-BE49-F238E27FC236}">
              <a16:creationId xmlns:a16="http://schemas.microsoft.com/office/drawing/2014/main" id="{E4374000-B764-40B0-B13A-955F9907B5E9}"/>
            </a:ext>
          </a:extLst>
        </xdr:cNvPr>
        <xdr:cNvSpPr txBox="1"/>
      </xdr:nvSpPr>
      <xdr:spPr bwMode="auto">
        <a:xfrm>
          <a:off x="67363629" y="1173668"/>
          <a:ext cx="568914" cy="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63</xdr:col>
      <xdr:colOff>236221</xdr:colOff>
      <xdr:row>6</xdr:row>
      <xdr:rowOff>286372</xdr:rowOff>
    </xdr:from>
    <xdr:to>
      <xdr:col>65</xdr:col>
      <xdr:colOff>264236</xdr:colOff>
      <xdr:row>6</xdr:row>
      <xdr:rowOff>286372</xdr:rowOff>
    </xdr:to>
    <xdr:cxnSp macro="">
      <xdr:nvCxnSpPr>
        <xdr:cNvPr id="9" name="Gerader Verbinder 188">
          <a:extLst>
            <a:ext uri="{FF2B5EF4-FFF2-40B4-BE49-F238E27FC236}">
              <a16:creationId xmlns:a16="http://schemas.microsoft.com/office/drawing/2014/main" id="{3DAD1E90-0588-46CE-800E-F8402E69741E}"/>
            </a:ext>
          </a:extLst>
        </xdr:cNvPr>
        <xdr:cNvCxnSpPr/>
      </xdr:nvCxnSpPr>
      <xdr:spPr bwMode="auto">
        <a:xfrm>
          <a:off x="66606421" y="1170292"/>
          <a:ext cx="2070175" cy="0"/>
        </a:xfrm>
        <a:prstGeom prst="line">
          <a:avLst/>
        </a:prstGeom>
        <a:solidFill>
          <a:schemeClr val="bg1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63</xdr:col>
      <xdr:colOff>236221</xdr:colOff>
      <xdr:row>6</xdr:row>
      <xdr:rowOff>0</xdr:rowOff>
    </xdr:from>
    <xdr:to>
      <xdr:col>65</xdr:col>
      <xdr:colOff>264236</xdr:colOff>
      <xdr:row>6</xdr:row>
      <xdr:rowOff>191122</xdr:rowOff>
    </xdr:to>
    <xdr:sp macro="" textlink="">
      <xdr:nvSpPr>
        <xdr:cNvPr id="10" name="Textfeld 340">
          <a:extLst>
            <a:ext uri="{FF2B5EF4-FFF2-40B4-BE49-F238E27FC236}">
              <a16:creationId xmlns:a16="http://schemas.microsoft.com/office/drawing/2014/main" id="{E462DCAE-9AAA-4EE6-81AF-0D48BDC3A55A}"/>
            </a:ext>
          </a:extLst>
        </xdr:cNvPr>
        <xdr:cNvSpPr txBox="1"/>
      </xdr:nvSpPr>
      <xdr:spPr>
        <a:xfrm>
          <a:off x="66606421" y="1005840"/>
          <a:ext cx="2070175" cy="168262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  <a:r>
            <a:rPr lang="de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</a:t>
          </a:r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7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Einh Four</a:t>
          </a:r>
          <a:r>
            <a:rPr lang="de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/ Esssaal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993430</xdr:colOff>
      <xdr:row>6</xdr:row>
      <xdr:rowOff>236408</xdr:rowOff>
    </xdr:from>
    <xdr:to>
      <xdr:col>64</xdr:col>
      <xdr:colOff>541264</xdr:colOff>
      <xdr:row>6</xdr:row>
      <xdr:rowOff>362058</xdr:rowOff>
    </xdr:to>
    <xdr:sp macro="" textlink="">
      <xdr:nvSpPr>
        <xdr:cNvPr id="11" name="Textfeld 52">
          <a:extLst>
            <a:ext uri="{FF2B5EF4-FFF2-40B4-BE49-F238E27FC236}">
              <a16:creationId xmlns:a16="http://schemas.microsoft.com/office/drawing/2014/main" id="{C2FD3FBB-0892-4866-877B-876EF3B9BB74}"/>
            </a:ext>
          </a:extLst>
        </xdr:cNvPr>
        <xdr:cNvSpPr txBox="1"/>
      </xdr:nvSpPr>
      <xdr:spPr bwMode="auto">
        <a:xfrm>
          <a:off x="67363630" y="1173668"/>
          <a:ext cx="568914" cy="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16</xdr:col>
      <xdr:colOff>1</xdr:colOff>
      <xdr:row>13</xdr:row>
      <xdr:rowOff>0</xdr:rowOff>
    </xdr:from>
    <xdr:to>
      <xdr:col>21</xdr:col>
      <xdr:colOff>0</xdr:colOff>
      <xdr:row>17</xdr:row>
      <xdr:rowOff>0</xdr:rowOff>
    </xdr:to>
    <xdr:sp macro="" textlink="">
      <xdr:nvSpPr>
        <xdr:cNvPr id="12" name="Textfeld 340">
          <a:extLst>
            <a:ext uri="{FF2B5EF4-FFF2-40B4-BE49-F238E27FC236}">
              <a16:creationId xmlns:a16="http://schemas.microsoft.com/office/drawing/2014/main" id="{8751B8A3-F424-48FD-8D47-B93BBA0ECAB6}"/>
            </a:ext>
          </a:extLst>
        </xdr:cNvPr>
        <xdr:cNvSpPr txBox="1"/>
      </xdr:nvSpPr>
      <xdr:spPr>
        <a:xfrm>
          <a:off x="16337281" y="2179320"/>
          <a:ext cx="510539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16</xdr:col>
      <xdr:colOff>2</xdr:colOff>
      <xdr:row>37</xdr:row>
      <xdr:rowOff>0</xdr:rowOff>
    </xdr:from>
    <xdr:to>
      <xdr:col>21</xdr:col>
      <xdr:colOff>2</xdr:colOff>
      <xdr:row>41</xdr:row>
      <xdr:rowOff>0</xdr:rowOff>
    </xdr:to>
    <xdr:sp macro="" textlink="">
      <xdr:nvSpPr>
        <xdr:cNvPr id="13" name="Textfeld 319">
          <a:extLst>
            <a:ext uri="{FF2B5EF4-FFF2-40B4-BE49-F238E27FC236}">
              <a16:creationId xmlns:a16="http://schemas.microsoft.com/office/drawing/2014/main" id="{805C2EE8-BBDF-4B79-87B5-CA955C5D23AB}"/>
            </a:ext>
          </a:extLst>
        </xdr:cNvPr>
        <xdr:cNvSpPr txBox="1"/>
      </xdr:nvSpPr>
      <xdr:spPr>
        <a:xfrm>
          <a:off x="16337282" y="6202680"/>
          <a:ext cx="510540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16</xdr:col>
      <xdr:colOff>0</xdr:colOff>
      <xdr:row>61</xdr:row>
      <xdr:rowOff>1</xdr:rowOff>
    </xdr:from>
    <xdr:to>
      <xdr:col>21</xdr:col>
      <xdr:colOff>0</xdr:colOff>
      <xdr:row>65</xdr:row>
      <xdr:rowOff>0</xdr:rowOff>
    </xdr:to>
    <xdr:sp macro="" textlink="">
      <xdr:nvSpPr>
        <xdr:cNvPr id="14" name="Textfeld 319">
          <a:extLst>
            <a:ext uri="{FF2B5EF4-FFF2-40B4-BE49-F238E27FC236}">
              <a16:creationId xmlns:a16="http://schemas.microsoft.com/office/drawing/2014/main" id="{EEE4B0FE-0BE5-44A1-8D30-268C57606D53}"/>
            </a:ext>
          </a:extLst>
        </xdr:cNvPr>
        <xdr:cNvSpPr txBox="1"/>
      </xdr:nvSpPr>
      <xdr:spPr>
        <a:xfrm>
          <a:off x="16337280" y="10226041"/>
          <a:ext cx="5105400" cy="67055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14</xdr:col>
      <xdr:colOff>0</xdr:colOff>
      <xdr:row>34</xdr:row>
      <xdr:rowOff>99646</xdr:rowOff>
    </xdr:from>
    <xdr:to>
      <xdr:col>14</xdr:col>
      <xdr:colOff>278455</xdr:colOff>
      <xdr:row>38</xdr:row>
      <xdr:rowOff>15627</xdr:rowOff>
    </xdr:to>
    <xdr:sp macro="" textlink="">
      <xdr:nvSpPr>
        <xdr:cNvPr id="15" name="Rechteck 302">
          <a:extLst>
            <a:ext uri="{FF2B5EF4-FFF2-40B4-BE49-F238E27FC236}">
              <a16:creationId xmlns:a16="http://schemas.microsoft.com/office/drawing/2014/main" id="{AAD7EF70-368A-472F-9AB8-39F9FEE66CEB}"/>
            </a:ext>
          </a:extLst>
        </xdr:cNvPr>
        <xdr:cNvSpPr/>
      </xdr:nvSpPr>
      <xdr:spPr bwMode="auto">
        <a:xfrm>
          <a:off x="14295120" y="5799406"/>
          <a:ext cx="278455" cy="586541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23</xdr:col>
      <xdr:colOff>2</xdr:colOff>
      <xdr:row>13</xdr:row>
      <xdr:rowOff>0</xdr:rowOff>
    </xdr:from>
    <xdr:to>
      <xdr:col>28</xdr:col>
      <xdr:colOff>1</xdr:colOff>
      <xdr:row>17</xdr:row>
      <xdr:rowOff>0</xdr:rowOff>
    </xdr:to>
    <xdr:sp macro="" textlink="">
      <xdr:nvSpPr>
        <xdr:cNvPr id="16" name="Textfeld 340">
          <a:extLst>
            <a:ext uri="{FF2B5EF4-FFF2-40B4-BE49-F238E27FC236}">
              <a16:creationId xmlns:a16="http://schemas.microsoft.com/office/drawing/2014/main" id="{51FB7F78-20BD-476D-8325-653FE790D546}"/>
            </a:ext>
          </a:extLst>
        </xdr:cNvPr>
        <xdr:cNvSpPr txBox="1"/>
      </xdr:nvSpPr>
      <xdr:spPr>
        <a:xfrm>
          <a:off x="23484842" y="2179320"/>
          <a:ext cx="510539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23</xdr:col>
      <xdr:colOff>0</xdr:colOff>
      <xdr:row>61</xdr:row>
      <xdr:rowOff>1</xdr:rowOff>
    </xdr:from>
    <xdr:to>
      <xdr:col>28</xdr:col>
      <xdr:colOff>0</xdr:colOff>
      <xdr:row>65</xdr:row>
      <xdr:rowOff>0</xdr:rowOff>
    </xdr:to>
    <xdr:sp macro="" textlink="">
      <xdr:nvSpPr>
        <xdr:cNvPr id="17" name="Textfeld 319">
          <a:extLst>
            <a:ext uri="{FF2B5EF4-FFF2-40B4-BE49-F238E27FC236}">
              <a16:creationId xmlns:a16="http://schemas.microsoft.com/office/drawing/2014/main" id="{6E187C59-B287-4025-8BC9-05B4942885C4}"/>
            </a:ext>
          </a:extLst>
        </xdr:cNvPr>
        <xdr:cNvSpPr txBox="1"/>
      </xdr:nvSpPr>
      <xdr:spPr>
        <a:xfrm>
          <a:off x="23484840" y="10226041"/>
          <a:ext cx="5105400" cy="670559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30</xdr:col>
      <xdr:colOff>2</xdr:colOff>
      <xdr:row>13</xdr:row>
      <xdr:rowOff>0</xdr:rowOff>
    </xdr:from>
    <xdr:to>
      <xdr:col>35</xdr:col>
      <xdr:colOff>1</xdr:colOff>
      <xdr:row>17</xdr:row>
      <xdr:rowOff>0</xdr:rowOff>
    </xdr:to>
    <xdr:sp macro="" textlink="">
      <xdr:nvSpPr>
        <xdr:cNvPr id="18" name="Textfeld 340">
          <a:extLst>
            <a:ext uri="{FF2B5EF4-FFF2-40B4-BE49-F238E27FC236}">
              <a16:creationId xmlns:a16="http://schemas.microsoft.com/office/drawing/2014/main" id="{AF37D566-01B0-4D12-BC37-6F9D0A5D894C}"/>
            </a:ext>
          </a:extLst>
        </xdr:cNvPr>
        <xdr:cNvSpPr txBox="1"/>
      </xdr:nvSpPr>
      <xdr:spPr>
        <a:xfrm>
          <a:off x="30632402" y="2179320"/>
          <a:ext cx="510539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9</xdr:col>
      <xdr:colOff>1</xdr:colOff>
      <xdr:row>13</xdr:row>
      <xdr:rowOff>0</xdr:rowOff>
    </xdr:from>
    <xdr:to>
      <xdr:col>12</xdr:col>
      <xdr:colOff>1</xdr:colOff>
      <xdr:row>17</xdr:row>
      <xdr:rowOff>0</xdr:rowOff>
    </xdr:to>
    <xdr:sp macro="" textlink="">
      <xdr:nvSpPr>
        <xdr:cNvPr id="19" name="Textfeld 340">
          <a:extLst>
            <a:ext uri="{FF2B5EF4-FFF2-40B4-BE49-F238E27FC236}">
              <a16:creationId xmlns:a16="http://schemas.microsoft.com/office/drawing/2014/main" id="{85B8A020-F060-42CD-A023-738688D00170}"/>
            </a:ext>
          </a:extLst>
        </xdr:cNvPr>
        <xdr:cNvSpPr txBox="1"/>
      </xdr:nvSpPr>
      <xdr:spPr>
        <a:xfrm>
          <a:off x="9189721" y="2179320"/>
          <a:ext cx="306324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9</xdr:col>
      <xdr:colOff>2</xdr:colOff>
      <xdr:row>37</xdr:row>
      <xdr:rowOff>0</xdr:rowOff>
    </xdr:from>
    <xdr:to>
      <xdr:col>12</xdr:col>
      <xdr:colOff>1</xdr:colOff>
      <xdr:row>41</xdr:row>
      <xdr:rowOff>0</xdr:rowOff>
    </xdr:to>
    <xdr:sp macro="" textlink="">
      <xdr:nvSpPr>
        <xdr:cNvPr id="20" name="Textfeld 319">
          <a:extLst>
            <a:ext uri="{FF2B5EF4-FFF2-40B4-BE49-F238E27FC236}">
              <a16:creationId xmlns:a16="http://schemas.microsoft.com/office/drawing/2014/main" id="{64823F08-E7EF-4A2F-A9CB-7D28E5794C4E}"/>
            </a:ext>
          </a:extLst>
        </xdr:cNvPr>
        <xdr:cNvSpPr txBox="1"/>
      </xdr:nvSpPr>
      <xdr:spPr>
        <a:xfrm>
          <a:off x="9189722" y="6202680"/>
          <a:ext cx="306323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21</xdr:col>
      <xdr:colOff>2900</xdr:colOff>
      <xdr:row>35</xdr:row>
      <xdr:rowOff>0</xdr:rowOff>
    </xdr:from>
    <xdr:to>
      <xdr:col>22</xdr:col>
      <xdr:colOff>1</xdr:colOff>
      <xdr:row>38</xdr:row>
      <xdr:rowOff>11232</xdr:rowOff>
    </xdr:to>
    <xdr:sp macro="" textlink="">
      <xdr:nvSpPr>
        <xdr:cNvPr id="21" name="Rechteck 302">
          <a:extLst>
            <a:ext uri="{FF2B5EF4-FFF2-40B4-BE49-F238E27FC236}">
              <a16:creationId xmlns:a16="http://schemas.microsoft.com/office/drawing/2014/main" id="{19180805-8634-4816-A408-38F04990411C}"/>
            </a:ext>
          </a:extLst>
        </xdr:cNvPr>
        <xdr:cNvSpPr/>
      </xdr:nvSpPr>
      <xdr:spPr bwMode="auto">
        <a:xfrm>
          <a:off x="21445580" y="5867400"/>
          <a:ext cx="1018181" cy="514152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14</xdr:col>
      <xdr:colOff>1</xdr:colOff>
      <xdr:row>19</xdr:row>
      <xdr:rowOff>0</xdr:rowOff>
    </xdr:from>
    <xdr:to>
      <xdr:col>14</xdr:col>
      <xdr:colOff>273327</xdr:colOff>
      <xdr:row>21</xdr:row>
      <xdr:rowOff>12425</xdr:rowOff>
    </xdr:to>
    <xdr:sp macro="" textlink="">
      <xdr:nvSpPr>
        <xdr:cNvPr id="24" name="Rechteck 311">
          <a:extLst>
            <a:ext uri="{FF2B5EF4-FFF2-40B4-BE49-F238E27FC236}">
              <a16:creationId xmlns:a16="http://schemas.microsoft.com/office/drawing/2014/main" id="{3383D3C8-3CDB-4155-938E-DEF76A2BF9C2}"/>
            </a:ext>
          </a:extLst>
        </xdr:cNvPr>
        <xdr:cNvSpPr/>
      </xdr:nvSpPr>
      <xdr:spPr bwMode="auto">
        <a:xfrm>
          <a:off x="14295121" y="3185160"/>
          <a:ext cx="273326" cy="347705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21</xdr:col>
      <xdr:colOff>1</xdr:colOff>
      <xdr:row>19</xdr:row>
      <xdr:rowOff>1</xdr:rowOff>
    </xdr:from>
    <xdr:to>
      <xdr:col>22</xdr:col>
      <xdr:colOff>0</xdr:colOff>
      <xdr:row>21</xdr:row>
      <xdr:rowOff>1</xdr:rowOff>
    </xdr:to>
    <xdr:sp macro="" textlink="">
      <xdr:nvSpPr>
        <xdr:cNvPr id="27" name="Rechteck 311">
          <a:extLst>
            <a:ext uri="{FF2B5EF4-FFF2-40B4-BE49-F238E27FC236}">
              <a16:creationId xmlns:a16="http://schemas.microsoft.com/office/drawing/2014/main" id="{D3488B44-8D5E-41B0-BA89-BC8AD1D4B8D6}"/>
            </a:ext>
          </a:extLst>
        </xdr:cNvPr>
        <xdr:cNvSpPr/>
      </xdr:nvSpPr>
      <xdr:spPr bwMode="auto">
        <a:xfrm>
          <a:off x="6885215" y="3231697"/>
          <a:ext cx="278946" cy="204108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9</xdr:col>
      <xdr:colOff>2</xdr:colOff>
      <xdr:row>17</xdr:row>
      <xdr:rowOff>1</xdr:rowOff>
    </xdr:from>
    <xdr:to>
      <xdr:col>12</xdr:col>
      <xdr:colOff>3</xdr:colOff>
      <xdr:row>18</xdr:row>
      <xdr:rowOff>1</xdr:rowOff>
    </xdr:to>
    <xdr:sp macro="" textlink="">
      <xdr:nvSpPr>
        <xdr:cNvPr id="28" name="Textfeld 52">
          <a:extLst>
            <a:ext uri="{FF2B5EF4-FFF2-40B4-BE49-F238E27FC236}">
              <a16:creationId xmlns:a16="http://schemas.microsoft.com/office/drawing/2014/main" id="{D9093A38-4D47-425F-BF7B-73420239A47F}"/>
            </a:ext>
          </a:extLst>
        </xdr:cNvPr>
        <xdr:cNvSpPr txBox="1"/>
      </xdr:nvSpPr>
      <xdr:spPr bwMode="auto">
        <a:xfrm>
          <a:off x="9189722" y="2849881"/>
          <a:ext cx="3063241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16</xdr:col>
      <xdr:colOff>1</xdr:colOff>
      <xdr:row>17</xdr:row>
      <xdr:rowOff>0</xdr:rowOff>
    </xdr:from>
    <xdr:to>
      <xdr:col>21</xdr:col>
      <xdr:colOff>1</xdr:colOff>
      <xdr:row>18</xdr:row>
      <xdr:rowOff>0</xdr:rowOff>
    </xdr:to>
    <xdr:sp macro="" textlink="">
      <xdr:nvSpPr>
        <xdr:cNvPr id="29" name="Textfeld 52">
          <a:extLst>
            <a:ext uri="{FF2B5EF4-FFF2-40B4-BE49-F238E27FC236}">
              <a16:creationId xmlns:a16="http://schemas.microsoft.com/office/drawing/2014/main" id="{F7732685-5A0A-481D-B958-74A0E29E6C9E}"/>
            </a:ext>
          </a:extLst>
        </xdr:cNvPr>
        <xdr:cNvSpPr txBox="1"/>
      </xdr:nvSpPr>
      <xdr:spPr bwMode="auto">
        <a:xfrm>
          <a:off x="16337281" y="284988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23</xdr:col>
      <xdr:colOff>1</xdr:colOff>
      <xdr:row>17</xdr:row>
      <xdr:rowOff>0</xdr:rowOff>
    </xdr:from>
    <xdr:to>
      <xdr:col>28</xdr:col>
      <xdr:colOff>1</xdr:colOff>
      <xdr:row>18</xdr:row>
      <xdr:rowOff>0</xdr:rowOff>
    </xdr:to>
    <xdr:sp macro="" textlink="">
      <xdr:nvSpPr>
        <xdr:cNvPr id="30" name="Textfeld 52">
          <a:extLst>
            <a:ext uri="{FF2B5EF4-FFF2-40B4-BE49-F238E27FC236}">
              <a16:creationId xmlns:a16="http://schemas.microsoft.com/office/drawing/2014/main" id="{FBE3AAD9-1884-468B-A041-19CF318687F9}"/>
            </a:ext>
          </a:extLst>
        </xdr:cNvPr>
        <xdr:cNvSpPr txBox="1"/>
      </xdr:nvSpPr>
      <xdr:spPr bwMode="auto">
        <a:xfrm>
          <a:off x="23484841" y="284988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30</xdr:col>
      <xdr:colOff>1</xdr:colOff>
      <xdr:row>17</xdr:row>
      <xdr:rowOff>0</xdr:rowOff>
    </xdr:from>
    <xdr:to>
      <xdr:col>35</xdr:col>
      <xdr:colOff>1</xdr:colOff>
      <xdr:row>18</xdr:row>
      <xdr:rowOff>0</xdr:rowOff>
    </xdr:to>
    <xdr:sp macro="" textlink="">
      <xdr:nvSpPr>
        <xdr:cNvPr id="31" name="Textfeld 52">
          <a:extLst>
            <a:ext uri="{FF2B5EF4-FFF2-40B4-BE49-F238E27FC236}">
              <a16:creationId xmlns:a16="http://schemas.microsoft.com/office/drawing/2014/main" id="{DFBCCBBA-601F-4F5B-9FE8-9CC0BDF2443E}"/>
            </a:ext>
          </a:extLst>
        </xdr:cNvPr>
        <xdr:cNvSpPr txBox="1"/>
      </xdr:nvSpPr>
      <xdr:spPr bwMode="auto">
        <a:xfrm>
          <a:off x="30632401" y="284988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14</xdr:col>
      <xdr:colOff>0</xdr:colOff>
      <xdr:row>82</xdr:row>
      <xdr:rowOff>3313</xdr:rowOff>
    </xdr:to>
    <xdr:sp macro="" textlink="">
      <xdr:nvSpPr>
        <xdr:cNvPr id="32" name="Textfeld 421">
          <a:extLst>
            <a:ext uri="{FF2B5EF4-FFF2-40B4-BE49-F238E27FC236}">
              <a16:creationId xmlns:a16="http://schemas.microsoft.com/office/drawing/2014/main" id="{C2460690-4F6D-43A4-A5BB-CEDF0EC02464}"/>
            </a:ext>
          </a:extLst>
        </xdr:cNvPr>
        <xdr:cNvSpPr txBox="1"/>
      </xdr:nvSpPr>
      <xdr:spPr bwMode="auto">
        <a:xfrm>
          <a:off x="9189720" y="13578840"/>
          <a:ext cx="510540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16</xdr:col>
      <xdr:colOff>1</xdr:colOff>
      <xdr:row>75</xdr:row>
      <xdr:rowOff>0</xdr:rowOff>
    </xdr:from>
    <xdr:to>
      <xdr:col>21</xdr:col>
      <xdr:colOff>1</xdr:colOff>
      <xdr:row>79</xdr:row>
      <xdr:rowOff>0</xdr:rowOff>
    </xdr:to>
    <xdr:sp macro="" textlink="">
      <xdr:nvSpPr>
        <xdr:cNvPr id="33" name="Textfeld 433">
          <a:extLst>
            <a:ext uri="{FF2B5EF4-FFF2-40B4-BE49-F238E27FC236}">
              <a16:creationId xmlns:a16="http://schemas.microsoft.com/office/drawing/2014/main" id="{32853A0C-C020-4F3D-A9EB-660597B2E8BE}"/>
            </a:ext>
          </a:extLst>
        </xdr:cNvPr>
        <xdr:cNvSpPr txBox="1"/>
      </xdr:nvSpPr>
      <xdr:spPr>
        <a:xfrm>
          <a:off x="16337281" y="12573000"/>
          <a:ext cx="510540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</xdr:colOff>
      <xdr:row>79</xdr:row>
      <xdr:rowOff>0</xdr:rowOff>
    </xdr:from>
    <xdr:to>
      <xdr:col>21</xdr:col>
      <xdr:colOff>1</xdr:colOff>
      <xdr:row>80</xdr:row>
      <xdr:rowOff>3313</xdr:rowOff>
    </xdr:to>
    <xdr:sp macro="" textlink="">
      <xdr:nvSpPr>
        <xdr:cNvPr id="34" name="Textfeld 421">
          <a:extLst>
            <a:ext uri="{FF2B5EF4-FFF2-40B4-BE49-F238E27FC236}">
              <a16:creationId xmlns:a16="http://schemas.microsoft.com/office/drawing/2014/main" id="{D4BF5AFB-58A0-438F-92F7-625A087473F0}"/>
            </a:ext>
          </a:extLst>
        </xdr:cNvPr>
        <xdr:cNvSpPr txBox="1"/>
      </xdr:nvSpPr>
      <xdr:spPr bwMode="auto">
        <a:xfrm>
          <a:off x="16337281" y="13243560"/>
          <a:ext cx="510540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23</xdr:col>
      <xdr:colOff>1</xdr:colOff>
      <xdr:row>75</xdr:row>
      <xdr:rowOff>0</xdr:rowOff>
    </xdr:from>
    <xdr:to>
      <xdr:col>28</xdr:col>
      <xdr:colOff>1</xdr:colOff>
      <xdr:row>79</xdr:row>
      <xdr:rowOff>0</xdr:rowOff>
    </xdr:to>
    <xdr:sp macro="" textlink="">
      <xdr:nvSpPr>
        <xdr:cNvPr id="35" name="Textfeld 433">
          <a:extLst>
            <a:ext uri="{FF2B5EF4-FFF2-40B4-BE49-F238E27FC236}">
              <a16:creationId xmlns:a16="http://schemas.microsoft.com/office/drawing/2014/main" id="{F8CC02D5-756E-4310-986A-17617990C38D}"/>
            </a:ext>
          </a:extLst>
        </xdr:cNvPr>
        <xdr:cNvSpPr txBox="1"/>
      </xdr:nvSpPr>
      <xdr:spPr>
        <a:xfrm>
          <a:off x="23484841" y="12573000"/>
          <a:ext cx="510540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</xdr:colOff>
      <xdr:row>79</xdr:row>
      <xdr:rowOff>0</xdr:rowOff>
    </xdr:from>
    <xdr:to>
      <xdr:col>28</xdr:col>
      <xdr:colOff>1</xdr:colOff>
      <xdr:row>80</xdr:row>
      <xdr:rowOff>3313</xdr:rowOff>
    </xdr:to>
    <xdr:sp macro="" textlink="">
      <xdr:nvSpPr>
        <xdr:cNvPr id="36" name="Textfeld 421">
          <a:extLst>
            <a:ext uri="{FF2B5EF4-FFF2-40B4-BE49-F238E27FC236}">
              <a16:creationId xmlns:a16="http://schemas.microsoft.com/office/drawing/2014/main" id="{E5A570B1-FABC-4526-AB77-39996DCAFBB5}"/>
            </a:ext>
          </a:extLst>
        </xdr:cNvPr>
        <xdr:cNvSpPr txBox="1"/>
      </xdr:nvSpPr>
      <xdr:spPr bwMode="auto">
        <a:xfrm>
          <a:off x="23484841" y="13243560"/>
          <a:ext cx="5105400" cy="17095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ABV</a:t>
          </a:r>
        </a:p>
      </xdr:txBody>
    </xdr:sp>
    <xdr:clientData/>
  </xdr:twoCellAnchor>
  <xdr:twoCellAnchor>
    <xdr:from>
      <xdr:col>9</xdr:col>
      <xdr:colOff>0</xdr:colOff>
      <xdr:row>18</xdr:row>
      <xdr:rowOff>0</xdr:rowOff>
    </xdr:from>
    <xdr:to>
      <xdr:col>12</xdr:col>
      <xdr:colOff>0</xdr:colOff>
      <xdr:row>37</xdr:row>
      <xdr:rowOff>0</xdr:rowOff>
    </xdr:to>
    <xdr:sp macro="" textlink="">
      <xdr:nvSpPr>
        <xdr:cNvPr id="37" name="Textfeld 433">
          <a:extLst>
            <a:ext uri="{FF2B5EF4-FFF2-40B4-BE49-F238E27FC236}">
              <a16:creationId xmlns:a16="http://schemas.microsoft.com/office/drawing/2014/main" id="{43AF94C8-97DE-4801-85F9-A528B5939A34}"/>
            </a:ext>
          </a:extLst>
        </xdr:cNvPr>
        <xdr:cNvSpPr txBox="1"/>
      </xdr:nvSpPr>
      <xdr:spPr>
        <a:xfrm>
          <a:off x="9189720" y="3017520"/>
          <a:ext cx="3063240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Rückbau Ter-Gitter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12</xdr:col>
      <xdr:colOff>0</xdr:colOff>
      <xdr:row>61</xdr:row>
      <xdr:rowOff>0</xdr:rowOff>
    </xdr:to>
    <xdr:sp macro="" textlink="">
      <xdr:nvSpPr>
        <xdr:cNvPr id="38" name="Textfeld 433">
          <a:extLst>
            <a:ext uri="{FF2B5EF4-FFF2-40B4-BE49-F238E27FC236}">
              <a16:creationId xmlns:a16="http://schemas.microsoft.com/office/drawing/2014/main" id="{227060E0-4487-4548-83CB-AAE3437456B0}"/>
            </a:ext>
          </a:extLst>
        </xdr:cNvPr>
        <xdr:cNvSpPr txBox="1"/>
      </xdr:nvSpPr>
      <xdr:spPr>
        <a:xfrm>
          <a:off x="9189720" y="6873240"/>
          <a:ext cx="306324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</a:p>
        <a:p>
          <a:pPr marL="0" indent="0" algn="ctr"/>
          <a:endParaRPr lang="de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de-CH" sz="8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Rückbau Ter-Gitter,</a:t>
          </a:r>
          <a:endParaRPr lang="de-CH" sz="8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Vorbereitung Kp Abend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61</xdr:row>
      <xdr:rowOff>0</xdr:rowOff>
    </xdr:from>
    <xdr:to>
      <xdr:col>14</xdr:col>
      <xdr:colOff>0</xdr:colOff>
      <xdr:row>81</xdr:row>
      <xdr:rowOff>0</xdr:rowOff>
    </xdr:to>
    <xdr:sp macro="" textlink="">
      <xdr:nvSpPr>
        <xdr:cNvPr id="39" name="Textfeld 433">
          <a:extLst>
            <a:ext uri="{FF2B5EF4-FFF2-40B4-BE49-F238E27FC236}">
              <a16:creationId xmlns:a16="http://schemas.microsoft.com/office/drawing/2014/main" id="{5BCE3EBE-DEEB-4DB6-92CF-18D0F65D9748}"/>
            </a:ext>
          </a:extLst>
        </xdr:cNvPr>
        <xdr:cNvSpPr txBox="1"/>
      </xdr:nvSpPr>
      <xdr:spPr>
        <a:xfrm>
          <a:off x="9189720" y="10226040"/>
          <a:ext cx="5105400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Kp Abend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281353</xdr:colOff>
      <xdr:row>18</xdr:row>
      <xdr:rowOff>0</xdr:rowOff>
    </xdr:from>
    <xdr:to>
      <xdr:col>20</xdr:col>
      <xdr:colOff>181707</xdr:colOff>
      <xdr:row>37</xdr:row>
      <xdr:rowOff>0</xdr:rowOff>
    </xdr:to>
    <xdr:sp macro="" textlink="">
      <xdr:nvSpPr>
        <xdr:cNvPr id="40" name="Textfeld 433">
          <a:extLst>
            <a:ext uri="{FF2B5EF4-FFF2-40B4-BE49-F238E27FC236}">
              <a16:creationId xmlns:a16="http://schemas.microsoft.com/office/drawing/2014/main" id="{AA14481C-6FA6-467D-A971-072BFBD6E0EE}"/>
            </a:ext>
          </a:extLst>
        </xdr:cNvPr>
        <xdr:cNvSpPr txBox="1"/>
      </xdr:nvSpPr>
      <xdr:spPr>
        <a:xfrm>
          <a:off x="15597553" y="3017520"/>
          <a:ext cx="5005754" cy="31851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GPD Mat &amp; Fz</a:t>
          </a:r>
        </a:p>
      </xdr:txBody>
    </xdr:sp>
    <xdr:clientData/>
  </xdr:twoCellAnchor>
  <xdr:twoCellAnchor>
    <xdr:from>
      <xdr:col>16</xdr:col>
      <xdr:colOff>0</xdr:colOff>
      <xdr:row>51</xdr:row>
      <xdr:rowOff>0</xdr:rowOff>
    </xdr:from>
    <xdr:to>
      <xdr:col>21</xdr:col>
      <xdr:colOff>0</xdr:colOff>
      <xdr:row>57</xdr:row>
      <xdr:rowOff>1</xdr:rowOff>
    </xdr:to>
    <xdr:sp macro="" textlink="">
      <xdr:nvSpPr>
        <xdr:cNvPr id="41" name="Textfeld 433">
          <a:extLst>
            <a:ext uri="{FF2B5EF4-FFF2-40B4-BE49-F238E27FC236}">
              <a16:creationId xmlns:a16="http://schemas.microsoft.com/office/drawing/2014/main" id="{A6540602-9A54-426C-A349-C096E741E962}"/>
            </a:ext>
          </a:extLst>
        </xdr:cNvPr>
        <xdr:cNvSpPr txBox="1"/>
      </xdr:nvSpPr>
      <xdr:spPr>
        <a:xfrm>
          <a:off x="16337280" y="8549640"/>
          <a:ext cx="5105400" cy="1005841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Standartenabgabe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21</xdr:col>
      <xdr:colOff>0</xdr:colOff>
      <xdr:row>75</xdr:row>
      <xdr:rowOff>0</xdr:rowOff>
    </xdr:to>
    <xdr:sp macro="" textlink="">
      <xdr:nvSpPr>
        <xdr:cNvPr id="42" name="Textfeld 433">
          <a:extLst>
            <a:ext uri="{FF2B5EF4-FFF2-40B4-BE49-F238E27FC236}">
              <a16:creationId xmlns:a16="http://schemas.microsoft.com/office/drawing/2014/main" id="{08C46729-1FBC-487D-B3DF-7E60D5D4B429}"/>
            </a:ext>
          </a:extLst>
        </xdr:cNvPr>
        <xdr:cNvSpPr txBox="1"/>
      </xdr:nvSpPr>
      <xdr:spPr>
        <a:xfrm>
          <a:off x="16337280" y="10896600"/>
          <a:ext cx="5105400" cy="16764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 WEME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18</xdr:row>
      <xdr:rowOff>0</xdr:rowOff>
    </xdr:from>
    <xdr:to>
      <xdr:col>35</xdr:col>
      <xdr:colOff>0</xdr:colOff>
      <xdr:row>53</xdr:row>
      <xdr:rowOff>0</xdr:rowOff>
    </xdr:to>
    <xdr:sp macro="" textlink="">
      <xdr:nvSpPr>
        <xdr:cNvPr id="43" name="Textfeld 107">
          <a:extLst>
            <a:ext uri="{FF2B5EF4-FFF2-40B4-BE49-F238E27FC236}">
              <a16:creationId xmlns:a16="http://schemas.microsoft.com/office/drawing/2014/main" id="{F6EA9B33-C24C-4BC8-BC1B-2E9D9D486BD9}"/>
            </a:ext>
          </a:extLst>
        </xdr:cNvPr>
        <xdr:cNvSpPr txBox="1"/>
      </xdr:nvSpPr>
      <xdr:spPr>
        <a:xfrm rot="5400000">
          <a:off x="30251400" y="3398520"/>
          <a:ext cx="5867400" cy="510540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WEME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Kp Kdt</a:t>
          </a:r>
        </a:p>
      </xdr:txBody>
    </xdr:sp>
    <xdr:clientData/>
  </xdr:twoCellAnchor>
  <xdr:twoCellAnchor>
    <xdr:from>
      <xdr:col>23</xdr:col>
      <xdr:colOff>0</xdr:colOff>
      <xdr:row>18</xdr:row>
      <xdr:rowOff>0</xdr:rowOff>
    </xdr:from>
    <xdr:to>
      <xdr:col>28</xdr:col>
      <xdr:colOff>0</xdr:colOff>
      <xdr:row>61</xdr:row>
      <xdr:rowOff>2</xdr:rowOff>
    </xdr:to>
    <xdr:sp macro="" textlink="">
      <xdr:nvSpPr>
        <xdr:cNvPr id="44" name="Textfeld 107">
          <a:extLst>
            <a:ext uri="{FF2B5EF4-FFF2-40B4-BE49-F238E27FC236}">
              <a16:creationId xmlns:a16="http://schemas.microsoft.com/office/drawing/2014/main" id="{2E687EDA-32B5-44B6-AB6B-CB06B1DB1A24}"/>
            </a:ext>
          </a:extLst>
        </xdr:cNvPr>
        <xdr:cNvSpPr txBox="1"/>
      </xdr:nvSpPr>
      <xdr:spPr>
        <a:xfrm rot="5400000">
          <a:off x="22433279" y="4069081"/>
          <a:ext cx="7208522" cy="5105400"/>
        </a:xfrm>
        <a:prstGeom prst="rect">
          <a:avLst/>
        </a:prstGeom>
        <a:solidFill>
          <a:srgbClr val="C6D9F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WEME</a:t>
          </a:r>
        </a:p>
        <a:p>
          <a:pPr marL="0" indent="0" algn="ctr"/>
          <a:r>
            <a:rPr lang="de-CH" sz="8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Kp Kdt</a:t>
          </a:r>
        </a:p>
      </xdr:txBody>
    </xdr:sp>
    <xdr:clientData/>
  </xdr:twoCellAnchor>
  <xdr:twoCellAnchor>
    <xdr:from>
      <xdr:col>23</xdr:col>
      <xdr:colOff>0</xdr:colOff>
      <xdr:row>65</xdr:row>
      <xdr:rowOff>0</xdr:rowOff>
    </xdr:from>
    <xdr:to>
      <xdr:col>28</xdr:col>
      <xdr:colOff>0</xdr:colOff>
      <xdr:row>75</xdr:row>
      <xdr:rowOff>0</xdr:rowOff>
    </xdr:to>
    <xdr:sp macro="" textlink="">
      <xdr:nvSpPr>
        <xdr:cNvPr id="45" name="Textfeld 107">
          <a:extLst>
            <a:ext uri="{FF2B5EF4-FFF2-40B4-BE49-F238E27FC236}">
              <a16:creationId xmlns:a16="http://schemas.microsoft.com/office/drawing/2014/main" id="{F79B70A3-131B-4E48-846C-FA2F7371D4F0}"/>
            </a:ext>
          </a:extLst>
        </xdr:cNvPr>
        <xdr:cNvSpPr txBox="1"/>
      </xdr:nvSpPr>
      <xdr:spPr>
        <a:xfrm>
          <a:off x="23484840" y="10896600"/>
          <a:ext cx="5105400" cy="16764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+mn-cs"/>
            </a:rPr>
            <a:t>AVOR WEME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+mn-cs"/>
            </a:rPr>
            <a:t>Einh Fw</a:t>
          </a:r>
          <a:endParaRPr lang="de-CH" sz="8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53</xdr:row>
      <xdr:rowOff>0</xdr:rowOff>
    </xdr:from>
    <xdr:to>
      <xdr:col>35</xdr:col>
      <xdr:colOff>0</xdr:colOff>
      <xdr:row>69</xdr:row>
      <xdr:rowOff>0</xdr:rowOff>
    </xdr:to>
    <xdr:sp macro="" textlink="">
      <xdr:nvSpPr>
        <xdr:cNvPr id="46" name="Textfeld 51">
          <a:extLst>
            <a:ext uri="{FF2B5EF4-FFF2-40B4-BE49-F238E27FC236}">
              <a16:creationId xmlns:a16="http://schemas.microsoft.com/office/drawing/2014/main" id="{21E73884-A1A9-4EF0-9C9B-907155D3E2A2}"/>
            </a:ext>
          </a:extLst>
        </xdr:cNvPr>
        <xdr:cNvSpPr txBox="1"/>
      </xdr:nvSpPr>
      <xdr:spPr>
        <a:xfrm>
          <a:off x="30632400" y="8884920"/>
          <a:ext cx="5105400" cy="2682240"/>
        </a:xfrm>
        <a:prstGeom prst="flowChartDocument">
          <a:avLst/>
        </a:prstGeom>
        <a:solidFill>
          <a:schemeClr val="bg1"/>
        </a:solidFill>
        <a:ln w="952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+mn-cs"/>
            </a:rPr>
            <a:t>Entlassung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+mn-cs"/>
            </a:rPr>
            <a:t>nach Stand der Arbeiten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5130</xdr:colOff>
      <xdr:row>65</xdr:row>
      <xdr:rowOff>0</xdr:rowOff>
    </xdr:from>
    <xdr:to>
      <xdr:col>8</xdr:col>
      <xdr:colOff>0</xdr:colOff>
      <xdr:row>77</xdr:row>
      <xdr:rowOff>0</xdr:rowOff>
    </xdr:to>
    <xdr:sp macro="" textlink="">
      <xdr:nvSpPr>
        <xdr:cNvPr id="47" name="Rechteck 311">
          <a:extLst>
            <a:ext uri="{FF2B5EF4-FFF2-40B4-BE49-F238E27FC236}">
              <a16:creationId xmlns:a16="http://schemas.microsoft.com/office/drawing/2014/main" id="{B8FA2FEF-D951-4DC0-91E8-408D2623A38C}"/>
            </a:ext>
          </a:extLst>
        </xdr:cNvPr>
        <xdr:cNvSpPr/>
      </xdr:nvSpPr>
      <xdr:spPr bwMode="auto">
        <a:xfrm>
          <a:off x="7152690" y="10896600"/>
          <a:ext cx="1015950" cy="2011680"/>
        </a:xfrm>
        <a:prstGeom prst="rect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 </a:t>
          </a:r>
        </a:p>
      </xdr:txBody>
    </xdr:sp>
    <xdr:clientData/>
  </xdr:twoCellAnchor>
  <xdr:twoCellAnchor>
    <xdr:from>
      <xdr:col>16</xdr:col>
      <xdr:colOff>0</xdr:colOff>
      <xdr:row>57</xdr:row>
      <xdr:rowOff>0</xdr:rowOff>
    </xdr:from>
    <xdr:to>
      <xdr:col>21</xdr:col>
      <xdr:colOff>0</xdr:colOff>
      <xdr:row>61</xdr:row>
      <xdr:rowOff>0</xdr:rowOff>
    </xdr:to>
    <xdr:sp macro="" textlink="">
      <xdr:nvSpPr>
        <xdr:cNvPr id="48" name="Textfeld 433">
          <a:extLst>
            <a:ext uri="{FF2B5EF4-FFF2-40B4-BE49-F238E27FC236}">
              <a16:creationId xmlns:a16="http://schemas.microsoft.com/office/drawing/2014/main" id="{5199799A-2DA8-49CA-AFCE-6551D2037832}"/>
            </a:ext>
          </a:extLst>
        </xdr:cNvPr>
        <xdr:cNvSpPr txBox="1"/>
      </xdr:nvSpPr>
      <xdr:spPr>
        <a:xfrm>
          <a:off x="16337280" y="9555480"/>
          <a:ext cx="5105400" cy="67056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 WEME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21</xdr:col>
      <xdr:colOff>0</xdr:colOff>
      <xdr:row>51</xdr:row>
      <xdr:rowOff>0</xdr:rowOff>
    </xdr:to>
    <xdr:sp macro="" textlink="">
      <xdr:nvSpPr>
        <xdr:cNvPr id="49" name="Textfeld 433">
          <a:extLst>
            <a:ext uri="{FF2B5EF4-FFF2-40B4-BE49-F238E27FC236}">
              <a16:creationId xmlns:a16="http://schemas.microsoft.com/office/drawing/2014/main" id="{3574208F-1B57-4EFF-964C-1918CFE1AD43}"/>
            </a:ext>
          </a:extLst>
        </xdr:cNvPr>
        <xdr:cNvSpPr txBox="1"/>
      </xdr:nvSpPr>
      <xdr:spPr>
        <a:xfrm>
          <a:off x="16337280" y="6873240"/>
          <a:ext cx="5105400" cy="16764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AVOR WEME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17</xdr:row>
      <xdr:rowOff>102053</xdr:rowOff>
    </xdr:from>
    <xdr:to>
      <xdr:col>11</xdr:col>
      <xdr:colOff>0</xdr:colOff>
      <xdr:row>26</xdr:row>
      <xdr:rowOff>0</xdr:rowOff>
    </xdr:to>
    <xdr:sp macro="" textlink="">
      <xdr:nvSpPr>
        <xdr:cNvPr id="50" name="Rechteck 311">
          <a:extLst>
            <a:ext uri="{FF2B5EF4-FFF2-40B4-BE49-F238E27FC236}">
              <a16:creationId xmlns:a16="http://schemas.microsoft.com/office/drawing/2014/main" id="{3229CC68-95A8-4383-AF4A-D7B4E8538E66}"/>
            </a:ext>
          </a:extLst>
        </xdr:cNvPr>
        <xdr:cNvSpPr/>
      </xdr:nvSpPr>
      <xdr:spPr bwMode="auto">
        <a:xfrm>
          <a:off x="3265714" y="3129642"/>
          <a:ext cx="340179" cy="816429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Wf Insp</a:t>
          </a:r>
          <a:r>
            <a:rPr lang="de-CH" sz="7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Si Kp</a:t>
          </a:r>
          <a:endParaRPr lang="en-CH" sz="700" b="1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700" b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Wpl Chur</a:t>
          </a:r>
          <a:endParaRPr lang="de-CH" sz="7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333374</xdr:colOff>
      <xdr:row>18</xdr:row>
      <xdr:rowOff>0</xdr:rowOff>
    </xdr:from>
    <xdr:to>
      <xdr:col>17</xdr:col>
      <xdr:colOff>333374</xdr:colOff>
      <xdr:row>25</xdr:row>
      <xdr:rowOff>0</xdr:rowOff>
    </xdr:to>
    <xdr:sp macro="" textlink="">
      <xdr:nvSpPr>
        <xdr:cNvPr id="51" name="Rechteck 311">
          <a:extLst>
            <a:ext uri="{FF2B5EF4-FFF2-40B4-BE49-F238E27FC236}">
              <a16:creationId xmlns:a16="http://schemas.microsoft.com/office/drawing/2014/main" id="{F2106FD7-3CC6-456D-BDC0-9F67DBF3B276}"/>
            </a:ext>
          </a:extLst>
        </xdr:cNvPr>
        <xdr:cNvSpPr/>
      </xdr:nvSpPr>
      <xdr:spPr bwMode="auto">
        <a:xfrm>
          <a:off x="16670654" y="3017520"/>
          <a:ext cx="1021080" cy="1173480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Wf Insp</a:t>
          </a:r>
          <a:r>
            <a:rPr lang="de-CH" sz="6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marL="0" indent="0" algn="ctr"/>
          <a:r>
            <a:rPr lang="de-CH" sz="6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Stabskp</a:t>
          </a:r>
          <a:endParaRPr lang="de-CH" sz="6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165652</xdr:colOff>
      <xdr:row>18</xdr:row>
      <xdr:rowOff>0</xdr:rowOff>
    </xdr:from>
    <xdr:to>
      <xdr:col>20</xdr:col>
      <xdr:colOff>344556</xdr:colOff>
      <xdr:row>36</xdr:row>
      <xdr:rowOff>99391</xdr:rowOff>
    </xdr:to>
    <xdr:sp macro="" textlink="">
      <xdr:nvSpPr>
        <xdr:cNvPr id="52" name="Rechteck 311">
          <a:extLst>
            <a:ext uri="{FF2B5EF4-FFF2-40B4-BE49-F238E27FC236}">
              <a16:creationId xmlns:a16="http://schemas.microsoft.com/office/drawing/2014/main" id="{AE800A6D-5AA4-4FDF-B316-3219A9896A1B}"/>
            </a:ext>
          </a:extLst>
        </xdr:cNvPr>
        <xdr:cNvSpPr/>
      </xdr:nvSpPr>
      <xdr:spPr bwMode="auto">
        <a:xfrm>
          <a:off x="6791739" y="3101009"/>
          <a:ext cx="178904" cy="1888434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ctr" upright="1"/>
        <a:lstStyle/>
        <a:p>
          <a:pPr marL="0" indent="0" algn="ctr"/>
          <a:r>
            <a:rPr lang="de-CH" sz="7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Rest. Reinigung und Rückgabe</a:t>
          </a:r>
          <a:r>
            <a:rPr lang="de-CH" sz="7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CH" sz="7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Brigels</a:t>
          </a:r>
          <a:endParaRPr lang="de-CH" sz="700" b="1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7</xdr:col>
      <xdr:colOff>0</xdr:colOff>
      <xdr:row>83</xdr:row>
      <xdr:rowOff>0</xdr:rowOff>
    </xdr:to>
    <xdr:sp macro="" textlink="">
      <xdr:nvSpPr>
        <xdr:cNvPr id="53" name="Textfeld 107">
          <a:extLst>
            <a:ext uri="{FF2B5EF4-FFF2-40B4-BE49-F238E27FC236}">
              <a16:creationId xmlns:a16="http://schemas.microsoft.com/office/drawing/2014/main" id="{4CD0D5A9-79DA-4EF5-9771-9189D3AD9151}"/>
            </a:ext>
          </a:extLst>
        </xdr:cNvPr>
        <xdr:cNvSpPr txBox="1"/>
      </xdr:nvSpPr>
      <xdr:spPr>
        <a:xfrm>
          <a:off x="5105400" y="4191000"/>
          <a:ext cx="2042160" cy="97231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endParaRPr lang="en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U OPERATIO</a:t>
          </a:r>
        </a:p>
        <a:p>
          <a:pPr marL="0" indent="0" algn="ctr"/>
          <a:endParaRPr lang="en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Weiterbetrieb</a:t>
          </a:r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HQ Brigels</a:t>
          </a:r>
        </a:p>
        <a:p>
          <a:pPr marL="0" indent="0" algn="ctr"/>
          <a:endParaRPr lang="en-CH" sz="700" b="0" i="0" u="none" baseline="0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Fokus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viele kurze Übungen / Sequenzen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Betrieb HQ</a:t>
          </a:r>
        </a:p>
        <a:p>
          <a:pPr marL="0" indent="0" algn="ctr"/>
          <a:endParaRPr lang="en-CH" sz="700" b="0" i="0" u="none" baseline="0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Beispiele: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Stromausfall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Alarm (FUOCO, ATTACO)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Unfall/Verletzung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Hochbetrieb (Überlastung Kanzlei/Infopoint)</a:t>
          </a:r>
          <a:endParaRPr lang="en-US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13</xdr:row>
      <xdr:rowOff>99848</xdr:rowOff>
    </xdr:from>
    <xdr:to>
      <xdr:col>7</xdr:col>
      <xdr:colOff>0</xdr:colOff>
      <xdr:row>24</xdr:row>
      <xdr:rowOff>99848</xdr:rowOff>
    </xdr:to>
    <xdr:sp macro="" textlink="">
      <xdr:nvSpPr>
        <xdr:cNvPr id="54" name="Textfeld 433">
          <a:extLst>
            <a:ext uri="{FF2B5EF4-FFF2-40B4-BE49-F238E27FC236}">
              <a16:creationId xmlns:a16="http://schemas.microsoft.com/office/drawing/2014/main" id="{F36DCCF3-9A6D-449B-9375-5981F9B78302}"/>
            </a:ext>
          </a:extLst>
        </xdr:cNvPr>
        <xdr:cNvSpPr txBox="1"/>
      </xdr:nvSpPr>
      <xdr:spPr>
        <a:xfrm>
          <a:off x="5105400" y="2279168"/>
          <a:ext cx="2042160" cy="184404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EV &amp;</a:t>
          </a:r>
          <a:r>
            <a:rPr lang="en-CH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Bf Ausg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6</xdr:col>
      <xdr:colOff>342899</xdr:colOff>
      <xdr:row>13</xdr:row>
      <xdr:rowOff>0</xdr:rowOff>
    </xdr:to>
    <xdr:sp macro="" textlink="">
      <xdr:nvSpPr>
        <xdr:cNvPr id="55" name="Textfeld 340">
          <a:extLst>
            <a:ext uri="{FF2B5EF4-FFF2-40B4-BE49-F238E27FC236}">
              <a16:creationId xmlns:a16="http://schemas.microsoft.com/office/drawing/2014/main" id="{F8F0EC50-6E46-4167-8DB3-D704DC60B517}"/>
            </a:ext>
          </a:extLst>
        </xdr:cNvPr>
        <xdr:cNvSpPr txBox="1"/>
      </xdr:nvSpPr>
      <xdr:spPr>
        <a:xfrm>
          <a:off x="2042160" y="1508760"/>
          <a:ext cx="4427219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MoE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56" name="Textfeld 52">
          <a:extLst>
            <a:ext uri="{FF2B5EF4-FFF2-40B4-BE49-F238E27FC236}">
              <a16:creationId xmlns:a16="http://schemas.microsoft.com/office/drawing/2014/main" id="{062DFE90-1091-4967-B3B7-869AA1ED262D}"/>
            </a:ext>
          </a:extLst>
        </xdr:cNvPr>
        <xdr:cNvSpPr txBox="1"/>
      </xdr:nvSpPr>
      <xdr:spPr bwMode="auto">
        <a:xfrm>
          <a:off x="2042160" y="2179320"/>
          <a:ext cx="5105400" cy="167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horzOverflow="clip" wrap="square" lIns="27432" tIns="18288" rIns="27432" bIns="18288" rtlCol="0" anchor="ctr" upright="1"/>
        <a:lstStyle/>
        <a:p>
          <a:pPr marL="0" indent="0" algn="ctr" rtl="0"/>
          <a:r>
            <a:rPr lang="de-CH" sz="7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AV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14</xdr:col>
      <xdr:colOff>1</xdr:colOff>
      <xdr:row>50</xdr:row>
      <xdr:rowOff>0</xdr:rowOff>
    </xdr:to>
    <xdr:sp macro="" textlink="">
      <xdr:nvSpPr>
        <xdr:cNvPr id="57" name="Textfeld 107">
          <a:extLst>
            <a:ext uri="{FF2B5EF4-FFF2-40B4-BE49-F238E27FC236}">
              <a16:creationId xmlns:a16="http://schemas.microsoft.com/office/drawing/2014/main" id="{47F990F8-6246-4198-AB37-AC1F35882D3D}"/>
            </a:ext>
          </a:extLst>
        </xdr:cNvPr>
        <xdr:cNvSpPr txBox="1"/>
      </xdr:nvSpPr>
      <xdr:spPr>
        <a:xfrm>
          <a:off x="12252960" y="1173480"/>
          <a:ext cx="2042161" cy="72085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endParaRPr lang="en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U OPERATIO</a:t>
          </a:r>
        </a:p>
        <a:p>
          <a:pPr marL="0" indent="0" algn="ctr"/>
          <a:endParaRPr lang="en-CH" sz="7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0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Weiterbetrieb</a:t>
          </a:r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 HQ Brigels</a:t>
          </a:r>
        </a:p>
        <a:p>
          <a:pPr marL="0" indent="0" algn="ctr"/>
          <a:endParaRPr lang="en-CH" sz="700" b="0" i="0" u="none" baseline="0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Fokus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viele kurze Übungen / Sequenzen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Betrieb HQ</a:t>
          </a:r>
        </a:p>
        <a:p>
          <a:pPr marL="0" indent="0" algn="ctr"/>
          <a:endParaRPr lang="en-CH" sz="700" b="0" i="0" u="none" baseline="0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Beispiele: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Stromausfall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Alarm (FUOCO, ATTACO)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Unfall/Verletzung</a:t>
          </a:r>
        </a:p>
        <a:p>
          <a:pPr marL="0" indent="0" algn="ctr"/>
          <a:r>
            <a:rPr lang="en-CH" sz="7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- Hochbetrieb (Überlastung Kanzlei/Infopoint)</a:t>
          </a:r>
          <a:endParaRPr lang="en-US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57</xdr:row>
      <xdr:rowOff>1</xdr:rowOff>
    </xdr:from>
    <xdr:to>
      <xdr:col>13</xdr:col>
      <xdr:colOff>341586</xdr:colOff>
      <xdr:row>61</xdr:row>
      <xdr:rowOff>0</xdr:rowOff>
    </xdr:to>
    <xdr:sp macro="" textlink="">
      <xdr:nvSpPr>
        <xdr:cNvPr id="58" name="Textfeld 433">
          <a:extLst>
            <a:ext uri="{FF2B5EF4-FFF2-40B4-BE49-F238E27FC236}">
              <a16:creationId xmlns:a16="http://schemas.microsoft.com/office/drawing/2014/main" id="{5779E3A6-C865-45A1-9E01-C4EC5DD6747D}"/>
            </a:ext>
          </a:extLst>
        </xdr:cNvPr>
        <xdr:cNvSpPr txBox="1"/>
      </xdr:nvSpPr>
      <xdr:spPr>
        <a:xfrm>
          <a:off x="12252960" y="9555481"/>
          <a:ext cx="1362666" cy="670559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PD/ID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50</xdr:row>
      <xdr:rowOff>0</xdr:rowOff>
    </xdr:from>
    <xdr:to>
      <xdr:col>13</xdr:col>
      <xdr:colOff>341586</xdr:colOff>
      <xdr:row>56</xdr:row>
      <xdr:rowOff>99848</xdr:rowOff>
    </xdr:to>
    <xdr:sp macro="" textlink="">
      <xdr:nvSpPr>
        <xdr:cNvPr id="59" name="Textfeld 433">
          <a:extLst>
            <a:ext uri="{FF2B5EF4-FFF2-40B4-BE49-F238E27FC236}">
              <a16:creationId xmlns:a16="http://schemas.microsoft.com/office/drawing/2014/main" id="{DC4E1755-C369-4F97-AAA5-828DD8FEA8A7}"/>
            </a:ext>
          </a:extLst>
        </xdr:cNvPr>
        <xdr:cNvSpPr txBox="1"/>
      </xdr:nvSpPr>
      <xdr:spPr>
        <a:xfrm>
          <a:off x="12252960" y="8382000"/>
          <a:ext cx="1362666" cy="1105688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7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Kp Sapl / AAR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</xdr:colOff>
      <xdr:row>37</xdr:row>
      <xdr:rowOff>0</xdr:rowOff>
    </xdr:from>
    <xdr:to>
      <xdr:col>5</xdr:col>
      <xdr:colOff>2</xdr:colOff>
      <xdr:row>41</xdr:row>
      <xdr:rowOff>0</xdr:rowOff>
    </xdr:to>
    <xdr:sp macro="" textlink="">
      <xdr:nvSpPr>
        <xdr:cNvPr id="60" name="Textfeld 319">
          <a:extLst>
            <a:ext uri="{FF2B5EF4-FFF2-40B4-BE49-F238E27FC236}">
              <a16:creationId xmlns:a16="http://schemas.microsoft.com/office/drawing/2014/main" id="{28E89D6C-9A24-4F84-BC1F-5FC04ED8540C}"/>
            </a:ext>
          </a:extLst>
        </xdr:cNvPr>
        <xdr:cNvSpPr txBox="1"/>
      </xdr:nvSpPr>
      <xdr:spPr>
        <a:xfrm>
          <a:off x="2042162" y="6202680"/>
          <a:ext cx="3063240" cy="670560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MiE</a:t>
          </a:r>
        </a:p>
      </xdr:txBody>
    </xdr:sp>
    <xdr:clientData/>
  </xdr:twoCellAnchor>
  <xdr:twoCellAnchor>
    <xdr:from>
      <xdr:col>2</xdr:col>
      <xdr:colOff>0</xdr:colOff>
      <xdr:row>14</xdr:row>
      <xdr:rowOff>1</xdr:rowOff>
    </xdr:from>
    <xdr:to>
      <xdr:col>5</xdr:col>
      <xdr:colOff>1</xdr:colOff>
      <xdr:row>37</xdr:row>
      <xdr:rowOff>1</xdr:rowOff>
    </xdr:to>
    <xdr:sp macro="" textlink="">
      <xdr:nvSpPr>
        <xdr:cNvPr id="61" name="Textfeld 433">
          <a:extLst>
            <a:ext uri="{FF2B5EF4-FFF2-40B4-BE49-F238E27FC236}">
              <a16:creationId xmlns:a16="http://schemas.microsoft.com/office/drawing/2014/main" id="{72667413-F67C-4FD3-A667-73FB3A043AE3}"/>
            </a:ext>
          </a:extLst>
        </xdr:cNvPr>
        <xdr:cNvSpPr txBox="1"/>
      </xdr:nvSpPr>
      <xdr:spPr>
        <a:xfrm>
          <a:off x="2042160" y="2346961"/>
          <a:ext cx="3063241" cy="385572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5</xdr:col>
      <xdr:colOff>1</xdr:colOff>
      <xdr:row>61</xdr:row>
      <xdr:rowOff>0</xdr:rowOff>
    </xdr:to>
    <xdr:sp macro="" textlink="">
      <xdr:nvSpPr>
        <xdr:cNvPr id="62" name="Textfeld 433">
          <a:extLst>
            <a:ext uri="{FF2B5EF4-FFF2-40B4-BE49-F238E27FC236}">
              <a16:creationId xmlns:a16="http://schemas.microsoft.com/office/drawing/2014/main" id="{A6A78AA2-9E2F-437D-89C3-FB9A76BD6B39}"/>
            </a:ext>
          </a:extLst>
        </xdr:cNvPr>
        <xdr:cNvSpPr txBox="1"/>
      </xdr:nvSpPr>
      <xdr:spPr>
        <a:xfrm>
          <a:off x="2042160" y="6873240"/>
          <a:ext cx="3063241" cy="335280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en-CH" sz="800" b="1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  <a:p>
          <a:pPr marL="0" indent="0" algn="ctr"/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</xdr:colOff>
      <xdr:row>61</xdr:row>
      <xdr:rowOff>0</xdr:rowOff>
    </xdr:from>
    <xdr:to>
      <xdr:col>5</xdr:col>
      <xdr:colOff>1</xdr:colOff>
      <xdr:row>64</xdr:row>
      <xdr:rowOff>99848</xdr:rowOff>
    </xdr:to>
    <xdr:sp macro="" textlink="">
      <xdr:nvSpPr>
        <xdr:cNvPr id="63" name="Textfeld 319">
          <a:extLst>
            <a:ext uri="{FF2B5EF4-FFF2-40B4-BE49-F238E27FC236}">
              <a16:creationId xmlns:a16="http://schemas.microsoft.com/office/drawing/2014/main" id="{1E4F6085-C57B-47FD-BBF7-4C2765760F4A}"/>
            </a:ext>
          </a:extLst>
        </xdr:cNvPr>
        <xdr:cNvSpPr txBox="1"/>
      </xdr:nvSpPr>
      <xdr:spPr>
        <a:xfrm>
          <a:off x="2042161" y="10226040"/>
          <a:ext cx="3063240" cy="602768"/>
        </a:xfrm>
        <a:prstGeom prst="rect">
          <a:avLst/>
        </a:prstGeom>
        <a:solidFill>
          <a:srgbClr val="C3D69B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NaE</a:t>
          </a: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5</xdr:col>
      <xdr:colOff>1</xdr:colOff>
      <xdr:row>83</xdr:row>
      <xdr:rowOff>0</xdr:rowOff>
    </xdr:to>
    <xdr:sp macro="" textlink="">
      <xdr:nvSpPr>
        <xdr:cNvPr id="64" name="Textfeld 433">
          <a:extLst>
            <a:ext uri="{FF2B5EF4-FFF2-40B4-BE49-F238E27FC236}">
              <a16:creationId xmlns:a16="http://schemas.microsoft.com/office/drawing/2014/main" id="{CFB407C0-F612-4224-B1AC-51574748ED55}"/>
            </a:ext>
          </a:extLst>
        </xdr:cNvPr>
        <xdr:cNvSpPr txBox="1"/>
      </xdr:nvSpPr>
      <xdr:spPr>
        <a:xfrm>
          <a:off x="2042160" y="10896600"/>
          <a:ext cx="3063241" cy="3017520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de-CH" sz="800" b="1" i="0" u="none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Dienstbetrieb</a:t>
          </a:r>
          <a:endParaRPr lang="de-CH" sz="700" b="0" i="0" u="none">
            <a:solidFill>
              <a:sysClr val="windowText" lastClr="000000"/>
            </a:solidFill>
            <a:latin typeface="Arial"/>
            <a:ea typeface="+mn-ea"/>
            <a:cs typeface="+mn-cs"/>
          </a:endParaRPr>
        </a:p>
      </xdr:txBody>
    </xdr:sp>
    <xdr:clientData/>
  </xdr:twoCellAnchor>
  <xdr:oneCellAnchor>
    <xdr:from>
      <xdr:col>57</xdr:col>
      <xdr:colOff>8965</xdr:colOff>
      <xdr:row>17</xdr:row>
      <xdr:rowOff>15433</xdr:rowOff>
    </xdr:from>
    <xdr:ext cx="16145881" cy="2252604"/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6BCDF61-41B0-480E-9E38-5222B10A366E}"/>
            </a:ext>
          </a:extLst>
        </xdr:cNvPr>
        <xdr:cNvSpPr/>
      </xdr:nvSpPr>
      <xdr:spPr>
        <a:xfrm rot="20516745">
          <a:off x="60252685" y="2865313"/>
          <a:ext cx="16145881" cy="22526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de-CH" sz="138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PROVISORISCH</a:t>
          </a:r>
          <a:endParaRPr lang="de-CH" sz="166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  <xdr:twoCellAnchor>
    <xdr:from>
      <xdr:col>2</xdr:col>
      <xdr:colOff>333374</xdr:colOff>
      <xdr:row>50</xdr:row>
      <xdr:rowOff>0</xdr:rowOff>
    </xdr:from>
    <xdr:to>
      <xdr:col>3</xdr:col>
      <xdr:colOff>333374</xdr:colOff>
      <xdr:row>58</xdr:row>
      <xdr:rowOff>0</xdr:rowOff>
    </xdr:to>
    <xdr:sp macro="" textlink="">
      <xdr:nvSpPr>
        <xdr:cNvPr id="66" name="Rechteck 311">
          <a:extLst>
            <a:ext uri="{FF2B5EF4-FFF2-40B4-BE49-F238E27FC236}">
              <a16:creationId xmlns:a16="http://schemas.microsoft.com/office/drawing/2014/main" id="{ACE8FE97-FD15-45C1-B81A-1B70C990704E}"/>
            </a:ext>
          </a:extLst>
        </xdr:cNvPr>
        <xdr:cNvSpPr/>
      </xdr:nvSpPr>
      <xdr:spPr bwMode="auto">
        <a:xfrm>
          <a:off x="1000124" y="6395357"/>
          <a:ext cx="340179" cy="816429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Wf Insp</a:t>
          </a:r>
          <a:r>
            <a:rPr lang="de-CH" sz="6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CH" sz="6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Uem</a:t>
          </a:r>
          <a:r>
            <a:rPr lang="de-CH" sz="600" b="1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Kp</a:t>
          </a:r>
          <a:endParaRPr lang="en-CH" sz="600" b="1" baseline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/>
          <a:r>
            <a:rPr lang="en-CH" sz="600" b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TUK Thusis</a:t>
          </a:r>
          <a:endParaRPr lang="de-CH" sz="6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61</xdr:row>
      <xdr:rowOff>1</xdr:rowOff>
    </xdr:from>
    <xdr:to>
      <xdr:col>23</xdr:col>
      <xdr:colOff>0</xdr:colOff>
      <xdr:row>63</xdr:row>
      <xdr:rowOff>1</xdr:rowOff>
    </xdr:to>
    <xdr:sp macro="" textlink="">
      <xdr:nvSpPr>
        <xdr:cNvPr id="67" name="Rechteck 311">
          <a:extLst>
            <a:ext uri="{FF2B5EF4-FFF2-40B4-BE49-F238E27FC236}">
              <a16:creationId xmlns:a16="http://schemas.microsoft.com/office/drawing/2014/main" id="{EDEAEECA-6872-9844-712D-BA2206810D54}"/>
            </a:ext>
          </a:extLst>
        </xdr:cNvPr>
        <xdr:cNvSpPr/>
      </xdr:nvSpPr>
      <xdr:spPr bwMode="auto">
        <a:xfrm>
          <a:off x="7164161" y="7517947"/>
          <a:ext cx="278946" cy="204108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</a:t>
          </a:r>
          <a:endParaRPr lang="de-CH" sz="6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142875</xdr:colOff>
      <xdr:row>37</xdr:row>
      <xdr:rowOff>0</xdr:rowOff>
    </xdr:to>
    <xdr:sp macro="" textlink="">
      <xdr:nvSpPr>
        <xdr:cNvPr id="68" name="Rechteck 311">
          <a:extLst>
            <a:ext uri="{FF2B5EF4-FFF2-40B4-BE49-F238E27FC236}">
              <a16:creationId xmlns:a16="http://schemas.microsoft.com/office/drawing/2014/main" id="{52CABB4A-4904-6561-E35A-76544399C4E8}"/>
            </a:ext>
          </a:extLst>
        </xdr:cNvPr>
        <xdr:cNvSpPr/>
      </xdr:nvSpPr>
      <xdr:spPr bwMode="auto">
        <a:xfrm>
          <a:off x="7164161" y="3027589"/>
          <a:ext cx="142875" cy="2041072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endParaRPr lang="de-CH" sz="6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142874</xdr:colOff>
      <xdr:row>23</xdr:row>
      <xdr:rowOff>0</xdr:rowOff>
    </xdr:from>
    <xdr:to>
      <xdr:col>22</xdr:col>
      <xdr:colOff>278945</xdr:colOff>
      <xdr:row>29</xdr:row>
      <xdr:rowOff>0</xdr:rowOff>
    </xdr:to>
    <xdr:sp macro="" textlink="">
      <xdr:nvSpPr>
        <xdr:cNvPr id="69" name="Rechteck 311">
          <a:extLst>
            <a:ext uri="{FF2B5EF4-FFF2-40B4-BE49-F238E27FC236}">
              <a16:creationId xmlns:a16="http://schemas.microsoft.com/office/drawing/2014/main" id="{0A598EEF-C769-0D89-8712-68393DB1864A}"/>
            </a:ext>
          </a:extLst>
        </xdr:cNvPr>
        <xdr:cNvSpPr/>
      </xdr:nvSpPr>
      <xdr:spPr bwMode="auto">
        <a:xfrm>
          <a:off x="7307035" y="3639911"/>
          <a:ext cx="136071" cy="612321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</a:t>
          </a:r>
          <a:endParaRPr lang="de-CH" sz="6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142875</xdr:colOff>
      <xdr:row>17</xdr:row>
      <xdr:rowOff>0</xdr:rowOff>
    </xdr:from>
    <xdr:to>
      <xdr:col>23</xdr:col>
      <xdr:colOff>0</xdr:colOff>
      <xdr:row>21</xdr:row>
      <xdr:rowOff>0</xdr:rowOff>
    </xdr:to>
    <xdr:sp macro="" textlink="">
      <xdr:nvSpPr>
        <xdr:cNvPr id="70" name="Rechteck 311">
          <a:extLst>
            <a:ext uri="{FF2B5EF4-FFF2-40B4-BE49-F238E27FC236}">
              <a16:creationId xmlns:a16="http://schemas.microsoft.com/office/drawing/2014/main" id="{52A18484-B3CA-4C16-74A0-37C2C6E8AB57}"/>
            </a:ext>
          </a:extLst>
        </xdr:cNvPr>
        <xdr:cNvSpPr/>
      </xdr:nvSpPr>
      <xdr:spPr bwMode="auto">
        <a:xfrm>
          <a:off x="7307036" y="3027589"/>
          <a:ext cx="136071" cy="408215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endParaRPr lang="de-CH" sz="6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142875</xdr:colOff>
      <xdr:row>28</xdr:row>
      <xdr:rowOff>102052</xdr:rowOff>
    </xdr:from>
    <xdr:to>
      <xdr:col>23</xdr:col>
      <xdr:colOff>0</xdr:colOff>
      <xdr:row>33</xdr:row>
      <xdr:rowOff>0</xdr:rowOff>
    </xdr:to>
    <xdr:sp macro="" textlink="">
      <xdr:nvSpPr>
        <xdr:cNvPr id="71" name="Rechteck 311">
          <a:extLst>
            <a:ext uri="{FF2B5EF4-FFF2-40B4-BE49-F238E27FC236}">
              <a16:creationId xmlns:a16="http://schemas.microsoft.com/office/drawing/2014/main" id="{FFE12E95-BC7C-263F-39D1-FB9E6694E223}"/>
            </a:ext>
          </a:extLst>
        </xdr:cNvPr>
        <xdr:cNvSpPr/>
      </xdr:nvSpPr>
      <xdr:spPr bwMode="auto">
        <a:xfrm>
          <a:off x="7307036" y="4252231"/>
          <a:ext cx="136071" cy="408215"/>
        </a:xfrm>
        <a:prstGeom prst="rect">
          <a:avLst/>
        </a:prstGeom>
        <a:solidFill>
          <a:schemeClr val="bg1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horz" wrap="square" lIns="18288" tIns="0" rIns="0" bIns="0" rtlCol="0" anchor="ctr" upright="1"/>
        <a:lstStyle/>
        <a:p>
          <a:pPr marL="0" indent="0" algn="ctr"/>
          <a:r>
            <a:rPr lang="de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CH" sz="6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endParaRPr lang="de-CH" sz="600" b="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14</xdr:col>
      <xdr:colOff>0</xdr:colOff>
      <xdr:row>9</xdr:row>
      <xdr:rowOff>99390</xdr:rowOff>
    </xdr:to>
    <xdr:sp macro="" textlink="">
      <xdr:nvSpPr>
        <xdr:cNvPr id="73" name="Textfeld 89">
          <a:extLst>
            <a:ext uri="{FF2B5EF4-FFF2-40B4-BE49-F238E27FC236}">
              <a16:creationId xmlns:a16="http://schemas.microsoft.com/office/drawing/2014/main" id="{FFA74746-23F8-4D68-BD58-B24E5A896BD8}"/>
            </a:ext>
          </a:extLst>
        </xdr:cNvPr>
        <xdr:cNvSpPr txBox="1"/>
      </xdr:nvSpPr>
      <xdr:spPr>
        <a:xfrm>
          <a:off x="2955235" y="2007704"/>
          <a:ext cx="1722782" cy="298173"/>
        </a:xfrm>
        <a:prstGeom prst="rect">
          <a:avLst/>
        </a:prstGeom>
        <a:solidFill>
          <a:srgbClr val="E6B9B8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CH" sz="900" b="1" i="0" u="none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Sicherheitstag "CHARLIE"</a:t>
          </a:r>
          <a:endParaRPr lang="de-CH" sz="900" b="1" i="0" u="none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684</xdr:colOff>
      <xdr:row>0</xdr:row>
      <xdr:rowOff>0</xdr:rowOff>
    </xdr:from>
    <xdr:to>
      <xdr:col>3</xdr:col>
      <xdr:colOff>1057274</xdr:colOff>
      <xdr:row>0</xdr:row>
      <xdr:rowOff>704850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E22562F-5590-4EEB-954C-CC91075C4A59}"/>
            </a:ext>
          </a:extLst>
        </xdr:cNvPr>
        <xdr:cNvSpPr txBox="1">
          <a:spLocks noChangeArrowheads="1"/>
        </xdr:cNvSpPr>
      </xdr:nvSpPr>
      <xdr:spPr bwMode="auto">
        <a:xfrm>
          <a:off x="3524934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1132434</xdr:colOff>
      <xdr:row>69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E7DB9-3EC4-48CB-ACE0-D68DCB2DE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0458450"/>
          <a:ext cx="1132434" cy="476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74B9A7-577D-4C79-98EC-A0822188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oneCellAnchor>
    <xdr:from>
      <xdr:col>0</xdr:col>
      <xdr:colOff>403768</xdr:colOff>
      <xdr:row>20</xdr:row>
      <xdr:rowOff>128859</xdr:rowOff>
    </xdr:from>
    <xdr:ext cx="6185583" cy="301076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3B1D64-DB21-4DDD-94B9-604A1022B60D}"/>
            </a:ext>
          </a:extLst>
        </xdr:cNvPr>
        <xdr:cNvSpPr/>
      </xdr:nvSpPr>
      <xdr:spPr>
        <a:xfrm rot="20516745">
          <a:off x="403768" y="4011746"/>
          <a:ext cx="6185583" cy="301076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CH" sz="96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SPARATE</a:t>
          </a:r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DATEI</a:t>
          </a:r>
          <a:endParaRPr lang="de-CH" sz="115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684</xdr:colOff>
      <xdr:row>0</xdr:row>
      <xdr:rowOff>0</xdr:rowOff>
    </xdr:from>
    <xdr:to>
      <xdr:col>3</xdr:col>
      <xdr:colOff>1057274</xdr:colOff>
      <xdr:row>0</xdr:row>
      <xdr:rowOff>704850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782109" y="0"/>
          <a:ext cx="2628215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1132434</xdr:colOff>
      <xdr:row>75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5487650"/>
          <a:ext cx="1127672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CA4AB0-A8F7-4A9F-9AF1-8981B1934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375" cy="479720"/>
        </a:xfrm>
        <a:prstGeom prst="rect">
          <a:avLst/>
        </a:prstGeom>
      </xdr:spPr>
    </xdr:pic>
    <xdr:clientData/>
  </xdr:twoCellAnchor>
  <xdr:oneCellAnchor>
    <xdr:from>
      <xdr:col>0</xdr:col>
      <xdr:colOff>314265</xdr:colOff>
      <xdr:row>21</xdr:row>
      <xdr:rowOff>128335</xdr:rowOff>
    </xdr:from>
    <xdr:ext cx="6185583" cy="301076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6F0C8B9-378A-4CF9-BDAF-F41DD49F93DE}"/>
            </a:ext>
          </a:extLst>
        </xdr:cNvPr>
        <xdr:cNvSpPr/>
      </xdr:nvSpPr>
      <xdr:spPr>
        <a:xfrm rot="20516745">
          <a:off x="314265" y="4227093"/>
          <a:ext cx="6185583" cy="301076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CH" sz="96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SPARATE</a:t>
          </a:r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DATEI</a:t>
          </a:r>
          <a:endParaRPr lang="de-CH" sz="115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56</xdr:row>
      <xdr:rowOff>0</xdr:rowOff>
    </xdr:from>
    <xdr:to>
      <xdr:col>2</xdr:col>
      <xdr:colOff>1132434</xdr:colOff>
      <xdr:row>58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5487650"/>
          <a:ext cx="1127672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C3195E-8FDC-B631-4812-78CA5605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375" cy="47972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589306A-C92C-4026-BAB3-5ABC770F0D73}"/>
            </a:ext>
          </a:extLst>
        </xdr:cNvPr>
        <xdr:cNvSpPr txBox="1">
          <a:spLocks noChangeArrowheads="1"/>
        </xdr:cNvSpPr>
      </xdr:nvSpPr>
      <xdr:spPr bwMode="auto">
        <a:xfrm>
          <a:off x="3781425" y="0"/>
          <a:ext cx="2628215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314265</xdr:colOff>
      <xdr:row>20</xdr:row>
      <xdr:rowOff>134816</xdr:rowOff>
    </xdr:from>
    <xdr:ext cx="6185583" cy="301076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C8E447-F3D5-4870-AC50-0C01C1611DDF}"/>
            </a:ext>
          </a:extLst>
        </xdr:cNvPr>
        <xdr:cNvSpPr/>
      </xdr:nvSpPr>
      <xdr:spPr>
        <a:xfrm rot="20516745">
          <a:off x="314265" y="4067908"/>
          <a:ext cx="6185583" cy="301076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CH" sz="96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SPARATE</a:t>
          </a:r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DATEI</a:t>
          </a:r>
          <a:endParaRPr lang="de-CH" sz="115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74</xdr:row>
      <xdr:rowOff>0</xdr:rowOff>
    </xdr:from>
    <xdr:to>
      <xdr:col>2</xdr:col>
      <xdr:colOff>1132434</xdr:colOff>
      <xdr:row>76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5487650"/>
          <a:ext cx="1127672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FDAEE9-88C8-4C64-A134-A0908C9E6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375" cy="47972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A6938B9-F37D-4E52-B6F8-38516C015ACC}"/>
            </a:ext>
          </a:extLst>
        </xdr:cNvPr>
        <xdr:cNvSpPr txBox="1">
          <a:spLocks noChangeArrowheads="1"/>
        </xdr:cNvSpPr>
      </xdr:nvSpPr>
      <xdr:spPr bwMode="auto">
        <a:xfrm>
          <a:off x="3781425" y="0"/>
          <a:ext cx="2628215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314264</xdr:colOff>
      <xdr:row>35</xdr:row>
      <xdr:rowOff>158260</xdr:rowOff>
    </xdr:from>
    <xdr:ext cx="6185583" cy="301076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6654EE-2C0D-474E-9066-2C25AA3AB95C}"/>
            </a:ext>
          </a:extLst>
        </xdr:cNvPr>
        <xdr:cNvSpPr/>
      </xdr:nvSpPr>
      <xdr:spPr>
        <a:xfrm rot="20516745">
          <a:off x="314264" y="6641122"/>
          <a:ext cx="6185583" cy="301076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CH" sz="96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SPARATE</a:t>
          </a:r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DATEI</a:t>
          </a:r>
          <a:endParaRPr lang="de-CH" sz="115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45</xdr:row>
      <xdr:rowOff>0</xdr:rowOff>
    </xdr:from>
    <xdr:to>
      <xdr:col>2</xdr:col>
      <xdr:colOff>1132434</xdr:colOff>
      <xdr:row>47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CEC45-BFAF-42BC-BAA8-00098702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2877800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89D66C-8FB1-44C8-9E1F-9906E5A25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62A3AED-CE96-45DC-94BF-636598292728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314266</xdr:colOff>
      <xdr:row>16</xdr:row>
      <xdr:rowOff>117231</xdr:rowOff>
    </xdr:from>
    <xdr:ext cx="6185583" cy="301076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311068-F03D-4DF2-B75B-9929F4B54F2B}"/>
            </a:ext>
          </a:extLst>
        </xdr:cNvPr>
        <xdr:cNvSpPr/>
      </xdr:nvSpPr>
      <xdr:spPr>
        <a:xfrm rot="20516745">
          <a:off x="314266" y="3382108"/>
          <a:ext cx="6185583" cy="301076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CH" sz="96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SPARATE</a:t>
          </a:r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DATEI</a:t>
          </a:r>
          <a:endParaRPr lang="de-CH" sz="115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2</xdr:col>
      <xdr:colOff>1132434</xdr:colOff>
      <xdr:row>32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0A20E-EB19-4971-AF3D-F5113735D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2877800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8C445-8542-4B43-933B-F605C21D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1C2733D0-6241-46F3-886D-1C3E27B95026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314265</xdr:colOff>
      <xdr:row>5</xdr:row>
      <xdr:rowOff>38100</xdr:rowOff>
    </xdr:from>
    <xdr:ext cx="6185583" cy="301076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78A671-B8A8-4D28-970D-0FFF8F599FC4}"/>
            </a:ext>
          </a:extLst>
        </xdr:cNvPr>
        <xdr:cNvSpPr/>
      </xdr:nvSpPr>
      <xdr:spPr>
        <a:xfrm rot="20516745">
          <a:off x="314265" y="1516380"/>
          <a:ext cx="6185583" cy="301076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CH" sz="9600" b="1" cap="none" spc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SPARATE</a:t>
          </a:r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CH" sz="9600" b="1" cap="none" spc="0" baseline="0">
              <a:ln w="0">
                <a:noFill/>
              </a:ln>
              <a:solidFill>
                <a:schemeClr val="tx1">
                  <a:alpha val="2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DATEI</a:t>
          </a:r>
          <a:endParaRPr lang="de-CH" sz="11500" b="1" cap="none" spc="0">
            <a:ln w="0">
              <a:noFill/>
            </a:ln>
            <a:solidFill>
              <a:schemeClr val="tx1">
                <a:alpha val="20000"/>
              </a:schemeClr>
            </a:solidFill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2</xdr:col>
      <xdr:colOff>1132434</xdr:colOff>
      <xdr:row>32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573FA-0546-4770-B6A7-F348C3C3D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2877800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816014-3B0C-4783-9222-BC11E1451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1E3A9C49-E556-42B3-89AD-D6909213A099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34</xdr:row>
      <xdr:rowOff>0</xdr:rowOff>
    </xdr:from>
    <xdr:to>
      <xdr:col>3</xdr:col>
      <xdr:colOff>1132434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75E44-D261-425A-96B5-624FE80AD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5172075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670A7-D6E6-4E81-AA5C-317B6DF2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4B4F507-AFEE-4815-98F9-3257648BD60D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3EA722-A06A-46E8-B914-5EC2BD04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7BE25C-E840-434C-9900-30B10CB6C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3106EA-0710-4D9A-BC94-19AF4D99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1F5CF5-1689-48B6-96D3-5AEBF069D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D37199-F335-4759-8FB9-DC74102F7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5A47BC-7D8A-4F7F-A5C1-4A188CC3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35</xdr:row>
      <xdr:rowOff>0</xdr:rowOff>
    </xdr:from>
    <xdr:to>
      <xdr:col>3</xdr:col>
      <xdr:colOff>1132434</xdr:colOff>
      <xdr:row>37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3CB09-E66F-4836-9C16-F11307233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5934075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42FE79-C78F-4148-841E-EAE893101610}"/>
            </a:ext>
            <a:ext uri="{147F2762-F138-4A5C-976F-8EAC2B608ADB}">
              <a16:predDERef xmlns:a16="http://schemas.microsoft.com/office/drawing/2014/main" pred="{DD83CB09-E66F-4836-9C16-F11307233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705C7B2-493D-4CC8-925B-09B28EC5D1E9}"/>
            </a:ext>
            <a:ext uri="{147F2762-F138-4A5C-976F-8EAC2B608ADB}">
              <a16:predDERef xmlns:a16="http://schemas.microsoft.com/office/drawing/2014/main" pred="{0142FE79-C78F-4148-841E-EAE893101610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32</xdr:row>
      <xdr:rowOff>0</xdr:rowOff>
    </xdr:from>
    <xdr:to>
      <xdr:col>3</xdr:col>
      <xdr:colOff>1132434</xdr:colOff>
      <xdr:row>34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A0DAA-FCF1-4D6A-AAA1-86DBA369C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9820275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492B5-0B77-458F-8B20-1700CFD748B9}"/>
            </a:ext>
            <a:ext uri="{147F2762-F138-4A5C-976F-8EAC2B608ADB}">
              <a16:predDERef xmlns:a16="http://schemas.microsoft.com/office/drawing/2014/main" pred="{566A0DAA-FCF1-4D6A-AAA1-86DBA369C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1A72E7E5-6A78-44FA-8186-AC4076B92F65}"/>
            </a:ext>
            <a:ext uri="{147F2762-F138-4A5C-976F-8EAC2B608ADB}">
              <a16:predDERef xmlns:a16="http://schemas.microsoft.com/office/drawing/2014/main" pred="{5A2492B5-0B77-458F-8B20-1700CFD748B9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07B8BB-3D08-4CC8-A2D5-3F2194A8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887729</xdr:colOff>
      <xdr:row>1</xdr:row>
      <xdr:rowOff>8232</xdr:rowOff>
    </xdr:to>
    <xdr:pic>
      <xdr:nvPicPr>
        <xdr:cNvPr id="11" name="Picture 9">
          <a:extLst>
            <a:ext uri="{FF2B5EF4-FFF2-40B4-BE49-F238E27FC236}">
              <a16:creationId xmlns:a16="http://schemas.microsoft.com/office/drawing/2014/main" id="{D3B2F924-5335-40DF-8A51-DF7135DF64AC}"/>
            </a:ext>
            <a:ext uri="{147F2762-F138-4A5C-976F-8EAC2B608ADB}">
              <a16:predDERef xmlns:a16="http://schemas.microsoft.com/office/drawing/2014/main" pred="{61E4E98E-275C-4DCC-89ED-094BF725F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1</xdr:col>
      <xdr:colOff>2686050</xdr:colOff>
      <xdr:row>0</xdr:row>
      <xdr:rowOff>0</xdr:rowOff>
    </xdr:from>
    <xdr:to>
      <xdr:col>3</xdr:col>
      <xdr:colOff>1060400</xdr:colOff>
      <xdr:row>2</xdr:row>
      <xdr:rowOff>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A9FFA39B-11DB-4F01-B597-5EEF2BDE0B1D}"/>
            </a:ext>
            <a:ext uri="{147F2762-F138-4A5C-976F-8EAC2B608ADB}">
              <a16:predDERef xmlns:a16="http://schemas.microsoft.com/office/drawing/2014/main" pred="{56F7DF4E-012C-42D5-822F-2E9DD9727B75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F7174-F4F6-412F-8A54-5B2BD92F4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7201EB-C48D-4C29-A661-A1A7945F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DF88C19-E199-403A-84D8-CEA5AA39DB08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5802F-DF06-4959-9EC4-FDAAE930D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4CF8FB-078C-44A8-8135-2254A6B56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15B82678-4AA5-4990-9145-874EBD88B886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27C24-E4BA-430C-8790-57B2A863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04DDE-7F81-446B-A402-736E0212E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D63C023-4355-4023-B3CC-4489E03C8045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7E50C-7DBB-4F03-BB02-3F8A7FFDD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5D3D9E-5896-41A1-AB3F-98B34E74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B756B7A2-90A3-40C8-A315-026280408EF3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36</xdr:row>
      <xdr:rowOff>0</xdr:rowOff>
    </xdr:from>
    <xdr:to>
      <xdr:col>3</xdr:col>
      <xdr:colOff>1132434</xdr:colOff>
      <xdr:row>38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C36E9-1FEF-4D3B-B84E-C77463FF4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10296525"/>
          <a:ext cx="113243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0531AE-ED38-4ECB-BCB3-F02B94CA1022}"/>
            </a:ext>
            <a:ext uri="{147F2762-F138-4A5C-976F-8EAC2B608ADB}">
              <a16:predDERef xmlns:a16="http://schemas.microsoft.com/office/drawing/2014/main" pred="{A49C36E9-1FEF-4D3B-B84E-C77463FF4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4181D6E-97B4-47A0-AD6E-0D501BB8C08C}"/>
            </a:ext>
            <a:ext uri="{147F2762-F138-4A5C-976F-8EAC2B608ADB}">
              <a16:predDERef xmlns:a16="http://schemas.microsoft.com/office/drawing/2014/main" pred="{9F0531AE-ED38-4ECB-BCB3-F02B94CA1022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A3239E-C6A0-49E3-90F6-334240DB5337}"/>
            </a:ext>
            <a:ext uri="{147F2762-F138-4A5C-976F-8EAC2B608ADB}">
              <a16:predDERef xmlns:a16="http://schemas.microsoft.com/office/drawing/2014/main" pred="{E3E24733-D772-4913-8CC9-E7F5333D9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154D7A7-9B35-4579-843E-B76FF46C4A18}"/>
            </a:ext>
            <a:ext uri="{147F2762-F138-4A5C-976F-8EAC2B608ADB}">
              <a16:predDERef xmlns:a16="http://schemas.microsoft.com/office/drawing/2014/main" pred="{DAA3239E-C6A0-49E3-90F6-334240DB5337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1132434</xdr:colOff>
      <xdr:row>36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C3557E-DD73-45D8-9C00-ECCE7BD0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5448300"/>
          <a:ext cx="1132434" cy="4762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58</xdr:row>
      <xdr:rowOff>0</xdr:rowOff>
    </xdr:from>
    <xdr:to>
      <xdr:col>3</xdr:col>
      <xdr:colOff>1132434</xdr:colOff>
      <xdr:row>61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AF39-9F29-44CB-A5A0-A7FC0893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D27C0D-312C-45E4-A591-F72E75939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B6D08F1-067E-4F34-B163-CF6AB92ADD8B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50A5D-177F-4199-A4B9-B9E33A823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CF6429-4446-41D1-A251-FEE12BE7C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1CB00306-FF8F-4130-A348-EF04FE7F49E4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63DC2-15CC-4772-93F8-5F5C2317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75E209-E427-4EBB-9E82-60C42E74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A27F80E-8867-4E5A-872A-9886565E19A3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58</xdr:row>
      <xdr:rowOff>0</xdr:rowOff>
    </xdr:from>
    <xdr:to>
      <xdr:col>3</xdr:col>
      <xdr:colOff>1132434</xdr:colOff>
      <xdr:row>61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50279-217C-4A90-8A04-77203A7DC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AA2176-8E55-462C-85D1-4B00C9760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233A123-F6D6-4391-BD8F-1830F2FBD3D5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3</xdr:col>
      <xdr:colOff>1132434</xdr:colOff>
      <xdr:row>62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F5DAE-FD03-4F28-AD67-F33ED9D13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0035540"/>
          <a:ext cx="1132434" cy="487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973454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5F95B-CC20-463C-9693-CF5103A1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1179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95250</xdr:colOff>
      <xdr:row>0</xdr:row>
      <xdr:rowOff>0</xdr:rowOff>
    </xdr:from>
    <xdr:to>
      <xdr:col>3</xdr:col>
      <xdr:colOff>1193750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0A9719C-5042-4400-A7EA-BDDBBF652EFA}"/>
            </a:ext>
          </a:extLst>
        </xdr:cNvPr>
        <xdr:cNvSpPr txBox="1">
          <a:spLocks noChangeArrowheads="1"/>
        </xdr:cNvSpPr>
      </xdr:nvSpPr>
      <xdr:spPr bwMode="auto">
        <a:xfrm>
          <a:off x="3619500" y="0"/>
          <a:ext cx="2565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59</xdr:row>
      <xdr:rowOff>0</xdr:rowOff>
    </xdr:from>
    <xdr:ext cx="1132434" cy="487680"/>
    <xdr:pic>
      <xdr:nvPicPr>
        <xdr:cNvPr id="7" name="Picture 1">
          <a:extLst>
            <a:ext uri="{FF2B5EF4-FFF2-40B4-BE49-F238E27FC236}">
              <a16:creationId xmlns:a16="http://schemas.microsoft.com/office/drawing/2014/main" id="{A8557019-BCDB-472E-A512-0294A631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0035540"/>
          <a:ext cx="1132434" cy="48768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952499</xdr:colOff>
      <xdr:row>0</xdr:row>
      <xdr:rowOff>484482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053B05-B1CE-4AA8-81CA-7F2D9740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224" cy="484482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1056590</xdr:colOff>
      <xdr:row>0</xdr:row>
      <xdr:rowOff>704850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AEA15C8-ED22-496A-A1E3-4B3A8FCC0E02}"/>
            </a:ext>
          </a:extLst>
        </xdr:cNvPr>
        <xdr:cNvSpPr txBox="1">
          <a:spLocks noChangeArrowheads="1"/>
        </xdr:cNvSpPr>
      </xdr:nvSpPr>
      <xdr:spPr bwMode="auto">
        <a:xfrm>
          <a:off x="3524250" y="0"/>
          <a:ext cx="252344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Eidgenössisches Departement für Verteidigung,</a:t>
          </a: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Bevölkerungsschutz und Sport VBS</a:t>
          </a:r>
        </a:p>
        <a:p>
          <a:pPr algn="l" rtl="0">
            <a:defRPr sz="1000"/>
          </a:pPr>
          <a:endParaRPr lang="de-CH" sz="3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1" i="0" u="none" strike="noStrike" baseline="0">
              <a:solidFill>
                <a:srgbClr val="000000"/>
              </a:solidFill>
              <a:latin typeface="Arial"/>
              <a:cs typeface="Arial"/>
            </a:rPr>
            <a:t>Schweizer Armee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Kommando Operationen</a:t>
          </a:r>
        </a:p>
        <a:p>
          <a:pPr algn="l" rtl="0">
            <a:defRPr sz="1000"/>
          </a:pPr>
          <a:r>
            <a:rPr lang="en-CH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Territorialdivision 3</a:t>
          </a:r>
          <a:endParaRPr lang="de-CH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mee2030.sharepoint.com/sites/TerDivStabskp3-Kdo/Shared%20Documents/Kommando/Planung/WAP%20&amp;%20TBf/Wochenarbeitspl&#228;ne%202026.xlsx" TargetMode="External"/><Relationship Id="rId1" Type="http://schemas.openxmlformats.org/officeDocument/2006/relationships/externalLinkPath" Target="Wochenarbeitspl&#228;n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RLAGE"/>
      <sheetName val="Einstellungen"/>
      <sheetName val="KVK"/>
      <sheetName val="Woche 1"/>
      <sheetName val="Woche 2"/>
      <sheetName val="Woche 3"/>
    </sheetNames>
    <sheetDataSet>
      <sheetData sheetId="0"/>
      <sheetData sheetId="1" refreshError="1"/>
      <sheetData sheetId="2"/>
      <sheetData sheetId="3"/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7A0B5-E4F2-4969-BB84-F35584BA7062}" name="Wochenstart" displayName="Wochenstart" ref="B23:D27" totalsRowShown="0" headerRowDxfId="131" dataDxfId="130">
  <autoFilter ref="B23:D27" xr:uid="{A0E7A0B5-E4F2-4969-BB84-F35584BA7062}"/>
  <tableColumns count="3">
    <tableColumn id="1" xr3:uid="{AA88B766-7E1D-482F-B46B-B6D7D07FDE12}" name="Woche" dataDxfId="129"/>
    <tableColumn id="2" xr3:uid="{0CD2A9BC-0A5D-4C5B-8B6B-BD3BD7B2718E}" name="Datum" dataDxfId="128"/>
    <tableColumn id="3" xr3:uid="{EDC32AEF-5180-497B-9774-D39AA35BCA67}" name="Nr" dataDxfId="1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BEFEB-8D0A-4A46-9CC8-61C759DC945E}" name="Tagesof" displayName="Tagesof" ref="G34:H60" headerRowDxfId="126" dataDxfId="125" totalsRowDxfId="124">
  <autoFilter ref="G34:H60" xr:uid="{17DBEFEB-8D0A-4A46-9CC8-61C759DC945E}"/>
  <tableColumns count="2">
    <tableColumn id="1" xr3:uid="{9C8FC489-880D-4850-B22B-5E76D587A058}" name="Datum" totalsRowLabel="Total" dataDxfId="123" totalsRowDxfId="122"/>
    <tableColumn id="2" xr3:uid="{924955CF-7A5E-413F-B9F5-FC8ACECD2778}" name="Wer" totalsRowFunction="count" dataDxfId="121" totalsRowDxfId="120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24D077-FF76-4D12-9F80-82D526C8C10B}" name="Wachtof" displayName="Wachtof" ref="J34:K38" totalsRowShown="0" headerRowDxfId="119" dataDxfId="117" headerRowBorderDxfId="118" tableBorderDxfId="116">
  <autoFilter ref="J34:K38" xr:uid="{9124D077-FF76-4D12-9F80-82D526C8C10B}"/>
  <tableColumns count="2">
    <tableColumn id="1" xr3:uid="{BCFD1E58-3377-4DEF-A675-B2ACD59DA9A8}" name="Woche" dataDxfId="115"/>
    <tableColumn id="2" xr3:uid="{E20FFB32-BF7A-4946-A0E9-1AC8516AB374}" name="Wer" dataDxfId="11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058BA1-B3E5-4C0C-92F3-E3633E807B1B}" name="Wachtof_WoE" displayName="Wachtof_WoE" ref="M34:N38" totalsRowShown="0" headerRowDxfId="113" dataDxfId="111" headerRowBorderDxfId="112" tableBorderDxfId="110">
  <autoFilter ref="M34:N38" xr:uid="{EC058BA1-B3E5-4C0C-92F3-E3633E807B1B}"/>
  <tableColumns count="2">
    <tableColumn id="1" xr3:uid="{123FA303-5853-4D21-B5B5-B1350E1D1A84}" name="Woche" dataDxfId="109"/>
    <tableColumn id="2" xr3:uid="{0DFF5D4E-F647-4B63-871F-A3DBD99B25AD}" name="Wer" dataDxfId="10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35CD06-C446-441B-8585-222A64BE47E6}" name="Text_Tatigkeiten" displayName="Text_Tatigkeiten" ref="B70:B84" totalsRowShown="0">
  <autoFilter ref="B70:B84" xr:uid="{9E35CD06-C446-441B-8585-222A64BE47E6}"/>
  <tableColumns count="1">
    <tableColumn id="1" xr3:uid="{9211A96F-9708-441D-8F18-95A16357EA2D}" name="Tätigkeiten: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CF0AED-E3F2-417F-9174-ED7B19A95DF5}" name="Text_Rapporte" displayName="Text_Rapporte" ref="E70:E74" totalsRowShown="0">
  <autoFilter ref="E70:E74" xr:uid="{F4CF0AED-E3F2-417F-9174-ED7B19A95DF5}"/>
  <tableColumns count="1">
    <tableColumn id="1" xr3:uid="{74B0C17E-4805-4F9E-81A3-116D7DAB649A}" name="Rapporte: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57CFC3-2FBD-4A92-8511-997513D76F0F}" name="Text_Raumlichkeiten" displayName="Text_Raumlichkeiten" ref="H70:H86" totalsRowShown="0">
  <autoFilter ref="H70:H86" xr:uid="{1A57CFC3-2FBD-4A92-8511-997513D76F0F}"/>
  <tableColumns count="1">
    <tableColumn id="1" xr3:uid="{0025D67E-1226-473D-8C06-5DD19B403109}" name="Räumlichkeiten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EBA3D1-5FA8-43D9-AB19-C86AAD27152E}" name="Text_Verantwortung" displayName="Text_Verantwortung" ref="K70:K75" totalsRowShown="0">
  <autoFilter ref="K70:K75" xr:uid="{14EBA3D1-5FA8-43D9-AB19-C86AAD27152E}"/>
  <tableColumns count="1">
    <tableColumn id="1" xr3:uid="{94C82833-9F42-4605-B94A-4B761057C813}" name="Verantwortung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D2383A-3C45-4607-8A13-AA2DD500ED17}" name="Text_Status" displayName="Text_Status" ref="N70:N74" totalsRowShown="0">
  <autoFilter ref="N70:N74" xr:uid="{6ED2383A-3C45-4607-8A13-AA2DD500ED17}"/>
  <tableColumns count="1">
    <tableColumn id="1" xr3:uid="{26FE2DA0-5809-4C9F-86FD-9216E215B4E2}" name="Bearbeitungs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0C198F-566D-4840-9595-1793B0AC39AB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4e3299d-4aef-471d-a025-a3eee34bdb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2909-8FD9-44EE-A83F-658C76935D74}">
  <dimension ref="B1:R89"/>
  <sheetViews>
    <sheetView showGridLines="0" tabSelected="1" zoomScaleNormal="100" workbookViewId="0">
      <selection activeCell="K38" sqref="K38"/>
    </sheetView>
  </sheetViews>
  <sheetFormatPr defaultColWidth="9" defaultRowHeight="13.2" x14ac:dyDescent="0.25"/>
  <cols>
    <col min="2" max="2" width="21.6640625" customWidth="1"/>
    <col min="3" max="3" width="16.109375" customWidth="1"/>
    <col min="4" max="4" width="13.44140625" customWidth="1"/>
    <col min="5" max="5" width="12" customWidth="1"/>
    <col min="6" max="6" width="12.6640625" customWidth="1"/>
    <col min="7" max="7" width="12" customWidth="1"/>
    <col min="8" max="8" width="17.33203125" customWidth="1"/>
    <col min="9" max="9" width="12.109375" customWidth="1"/>
    <col min="11" max="11" width="16.5546875" customWidth="1"/>
    <col min="14" max="14" width="20.33203125" customWidth="1"/>
    <col min="16" max="16" width="15.6640625" customWidth="1"/>
    <col min="18" max="18" width="16" customWidth="1"/>
  </cols>
  <sheetData>
    <row r="1" spans="2:13" s="71" customFormat="1" x14ac:dyDescent="0.25"/>
    <row r="2" spans="2:13" s="71" customFormat="1" ht="21" x14ac:dyDescent="0.25">
      <c r="B2" s="72" t="s">
        <v>0</v>
      </c>
    </row>
    <row r="3" spans="2:13" s="71" customFormat="1" x14ac:dyDescent="0.25"/>
    <row r="4" spans="2:13" s="71" customFormat="1" x14ac:dyDescent="0.25">
      <c r="B4" s="73" t="s">
        <v>1</v>
      </c>
      <c r="C4" s="74"/>
      <c r="D4" s="74"/>
      <c r="H4" s="74"/>
      <c r="L4" s="74"/>
    </row>
    <row r="5" spans="2:13" s="71" customFormat="1" x14ac:dyDescent="0.25">
      <c r="B5" s="108" t="s">
        <v>2</v>
      </c>
      <c r="C5" s="109" t="s">
        <v>3</v>
      </c>
      <c r="D5" s="74"/>
      <c r="H5" s="74"/>
      <c r="J5" s="74"/>
      <c r="L5" s="74"/>
    </row>
    <row r="6" spans="2:13" s="71" customFormat="1" x14ac:dyDescent="0.25">
      <c r="B6" s="108" t="s">
        <v>4</v>
      </c>
      <c r="C6" s="110">
        <v>46286</v>
      </c>
      <c r="D6" s="74"/>
      <c r="H6" s="74"/>
      <c r="J6" s="74"/>
      <c r="L6" s="74"/>
    </row>
    <row r="7" spans="2:13" s="71" customFormat="1" x14ac:dyDescent="0.25">
      <c r="B7" s="74"/>
      <c r="C7" s="74"/>
      <c r="D7" s="74"/>
      <c r="H7" s="74"/>
      <c r="J7" s="74"/>
      <c r="L7" s="74"/>
    </row>
    <row r="8" spans="2:13" s="71" customFormat="1" x14ac:dyDescent="0.25">
      <c r="B8" s="74"/>
      <c r="C8" s="74"/>
      <c r="D8" s="74"/>
      <c r="H8" s="74"/>
      <c r="J8" s="74"/>
      <c r="L8" s="74"/>
      <c r="M8" s="74"/>
    </row>
    <row r="9" spans="2:13" s="71" customFormat="1" x14ac:dyDescent="0.25">
      <c r="B9" s="73" t="s">
        <v>5</v>
      </c>
      <c r="C9" s="74"/>
      <c r="D9" s="74"/>
      <c r="E9" s="74"/>
      <c r="F9" s="74"/>
      <c r="G9" s="74"/>
      <c r="H9" s="74"/>
      <c r="J9" s="74"/>
      <c r="K9" s="74"/>
      <c r="L9" s="74"/>
      <c r="M9" s="74"/>
    </row>
    <row r="10" spans="2:13" s="71" customFormat="1" x14ac:dyDescent="0.25">
      <c r="B10" s="108" t="s">
        <v>6</v>
      </c>
      <c r="C10" s="109" t="s">
        <v>7</v>
      </c>
      <c r="D10" s="74"/>
      <c r="E10" s="74"/>
      <c r="F10" s="74"/>
      <c r="G10" s="74"/>
      <c r="H10" s="74"/>
      <c r="J10" s="74"/>
      <c r="K10" s="74"/>
      <c r="L10" s="74"/>
      <c r="M10" s="74"/>
    </row>
    <row r="11" spans="2:13" s="71" customFormat="1" x14ac:dyDescent="0.25">
      <c r="B11" s="108" t="s">
        <v>8</v>
      </c>
      <c r="C11" s="109" t="s">
        <v>9</v>
      </c>
      <c r="D11" s="74"/>
      <c r="E11" s="74"/>
      <c r="F11" s="74"/>
      <c r="G11" s="74"/>
      <c r="H11" s="74"/>
      <c r="J11" s="74"/>
      <c r="L11" s="74"/>
      <c r="M11" s="74"/>
    </row>
    <row r="12" spans="2:13" s="71" customFormat="1" x14ac:dyDescent="0.25">
      <c r="B12" s="108" t="s">
        <v>10</v>
      </c>
      <c r="C12" s="109" t="s">
        <v>11</v>
      </c>
      <c r="D12" s="74"/>
      <c r="E12" s="74"/>
      <c r="F12" s="74"/>
      <c r="G12" s="74"/>
      <c r="H12" s="74"/>
      <c r="J12" s="74"/>
      <c r="L12" s="75"/>
      <c r="M12" s="74"/>
    </row>
    <row r="13" spans="2:13" s="71" customFormat="1" x14ac:dyDescent="0.25">
      <c r="B13" s="108" t="s">
        <v>12</v>
      </c>
      <c r="C13" s="109" t="s">
        <v>13</v>
      </c>
      <c r="D13" s="74"/>
      <c r="E13" s="74"/>
      <c r="F13" s="74"/>
      <c r="G13" s="74"/>
      <c r="H13" s="74"/>
      <c r="J13" s="74"/>
      <c r="L13" s="74"/>
      <c r="M13" s="74"/>
    </row>
    <row r="14" spans="2:13" s="71" customFormat="1" x14ac:dyDescent="0.25">
      <c r="B14" s="108" t="s">
        <v>14</v>
      </c>
      <c r="C14" s="109" t="s">
        <v>15</v>
      </c>
      <c r="D14" s="74"/>
      <c r="E14" s="74"/>
      <c r="F14" s="74"/>
      <c r="G14" s="74"/>
      <c r="H14" s="74"/>
      <c r="J14" s="74"/>
      <c r="L14" s="74"/>
      <c r="M14" s="74"/>
    </row>
    <row r="15" spans="2:13" s="71" customFormat="1" x14ac:dyDescent="0.25">
      <c r="B15" s="108" t="s">
        <v>16</v>
      </c>
      <c r="C15" s="109" t="s">
        <v>17</v>
      </c>
      <c r="D15" s="74"/>
      <c r="E15" s="74"/>
      <c r="F15" s="74"/>
      <c r="G15" s="74"/>
      <c r="H15" s="74"/>
      <c r="J15" s="74"/>
      <c r="L15" s="74"/>
      <c r="M15" s="74"/>
    </row>
    <row r="16" spans="2:13" s="71" customFormat="1" x14ac:dyDescent="0.25">
      <c r="B16" s="108" t="s">
        <v>18</v>
      </c>
      <c r="C16" s="109" t="s">
        <v>19</v>
      </c>
      <c r="D16" s="74"/>
      <c r="E16" s="74"/>
      <c r="F16" s="74"/>
      <c r="G16" s="74"/>
      <c r="H16" s="74"/>
      <c r="J16" s="74"/>
      <c r="K16" s="74"/>
      <c r="L16" s="74"/>
      <c r="M16" s="74"/>
    </row>
    <row r="17" spans="2:13" s="71" customFormat="1" x14ac:dyDescent="0.25">
      <c r="B17" s="108" t="s">
        <v>20</v>
      </c>
      <c r="C17" s="109" t="s">
        <v>21</v>
      </c>
      <c r="D17" s="74"/>
      <c r="E17" s="74"/>
      <c r="F17" s="74"/>
      <c r="G17" s="74"/>
      <c r="H17" s="74"/>
      <c r="J17" s="74"/>
      <c r="K17" s="74"/>
      <c r="L17" s="74"/>
      <c r="M17" s="74"/>
    </row>
    <row r="18" spans="2:13" s="71" customFormat="1" x14ac:dyDescent="0.25">
      <c r="B18" s="108" t="s">
        <v>22</v>
      </c>
      <c r="C18" s="109" t="s">
        <v>23</v>
      </c>
      <c r="D18" s="74"/>
      <c r="E18" s="74"/>
      <c r="F18" s="74"/>
      <c r="G18" s="74"/>
      <c r="H18" s="74"/>
      <c r="K18" s="74"/>
      <c r="L18" s="74"/>
      <c r="M18" s="74"/>
    </row>
    <row r="19" spans="2:13" s="71" customFormat="1" x14ac:dyDescent="0.25">
      <c r="B19" s="108" t="s">
        <v>24</v>
      </c>
      <c r="C19" s="109" t="s">
        <v>25</v>
      </c>
      <c r="D19" s="74"/>
      <c r="E19" s="74"/>
      <c r="F19" s="74"/>
      <c r="G19" s="74"/>
      <c r="H19" s="74"/>
      <c r="K19" s="74"/>
      <c r="L19" s="74"/>
      <c r="M19" s="74"/>
    </row>
    <row r="20" spans="2:13" s="71" customFormat="1" x14ac:dyDescent="0.25">
      <c r="B20" s="73"/>
      <c r="C20" s="74"/>
      <c r="D20" s="74"/>
      <c r="E20" s="74"/>
      <c r="F20" s="74"/>
      <c r="G20" s="74"/>
      <c r="H20" s="74"/>
      <c r="J20" s="74"/>
      <c r="K20" s="74"/>
      <c r="L20" s="74"/>
      <c r="M20" s="74"/>
    </row>
    <row r="21" spans="2:13" s="71" customFormat="1" x14ac:dyDescent="0.25">
      <c r="B21" s="76"/>
      <c r="C21" s="74"/>
      <c r="D21" s="74"/>
      <c r="E21" s="74"/>
      <c r="F21" s="74"/>
      <c r="G21" s="74"/>
      <c r="H21" s="74"/>
      <c r="J21" s="74"/>
      <c r="K21" s="74"/>
      <c r="L21" s="74"/>
      <c r="M21" s="74"/>
    </row>
    <row r="22" spans="2:13" s="71" customFormat="1" x14ac:dyDescent="0.25">
      <c r="B22" s="77" t="s">
        <v>26</v>
      </c>
      <c r="C22" s="78"/>
      <c r="D22" s="78"/>
      <c r="E22" s="74"/>
      <c r="F22" s="74"/>
      <c r="G22" s="74"/>
      <c r="H22" s="74"/>
      <c r="J22" s="74"/>
      <c r="K22" s="74"/>
      <c r="L22" s="74"/>
      <c r="M22" s="74"/>
    </row>
    <row r="23" spans="2:13" s="71" customFormat="1" x14ac:dyDescent="0.25">
      <c r="B23" s="79" t="s">
        <v>27</v>
      </c>
      <c r="C23" s="79" t="s">
        <v>28</v>
      </c>
      <c r="D23" s="79" t="s">
        <v>29</v>
      </c>
      <c r="E23" s="74"/>
      <c r="F23" s="74"/>
      <c r="G23" s="74"/>
      <c r="H23" s="74"/>
      <c r="J23" s="74"/>
      <c r="K23" s="74"/>
      <c r="L23" s="74"/>
      <c r="M23" s="74"/>
    </row>
    <row r="24" spans="2:13" s="71" customFormat="1" x14ac:dyDescent="0.25">
      <c r="B24" s="106" t="s">
        <v>30</v>
      </c>
      <c r="C24" s="103">
        <v>46286</v>
      </c>
      <c r="D24" s="106">
        <v>0</v>
      </c>
      <c r="E24" s="74"/>
      <c r="F24" s="74"/>
      <c r="G24" s="74"/>
      <c r="H24" s="74"/>
      <c r="I24" s="80"/>
      <c r="J24" s="74"/>
      <c r="K24" s="74"/>
      <c r="L24" s="74"/>
      <c r="M24" s="74"/>
    </row>
    <row r="25" spans="2:13" s="71" customFormat="1" x14ac:dyDescent="0.25">
      <c r="B25" s="106" t="s">
        <v>31</v>
      </c>
      <c r="C25" s="103">
        <v>46293</v>
      </c>
      <c r="D25" s="106">
        <v>7</v>
      </c>
      <c r="E25" s="74"/>
      <c r="F25" s="74"/>
      <c r="G25" s="74"/>
      <c r="H25" s="74"/>
      <c r="J25" s="74"/>
      <c r="K25" s="74"/>
      <c r="L25" s="74"/>
      <c r="M25" s="74"/>
    </row>
    <row r="26" spans="2:13" s="71" customFormat="1" x14ac:dyDescent="0.25">
      <c r="B26" s="106" t="s">
        <v>32</v>
      </c>
      <c r="C26" s="103">
        <v>46300</v>
      </c>
      <c r="D26" s="106">
        <v>14</v>
      </c>
      <c r="E26" s="74"/>
      <c r="F26" s="74"/>
      <c r="G26" s="74"/>
      <c r="H26" s="74"/>
      <c r="J26" s="74"/>
      <c r="K26" s="74"/>
      <c r="L26" s="74"/>
      <c r="M26" s="74"/>
    </row>
    <row r="27" spans="2:13" s="71" customFormat="1" x14ac:dyDescent="0.25">
      <c r="B27" s="106" t="s">
        <v>33</v>
      </c>
      <c r="C27" s="103">
        <v>46307</v>
      </c>
      <c r="D27" s="106">
        <v>21</v>
      </c>
      <c r="E27" s="74"/>
      <c r="F27" s="74"/>
      <c r="G27" s="74"/>
      <c r="H27" s="74"/>
      <c r="J27" s="74"/>
      <c r="K27" s="74"/>
      <c r="L27" s="74"/>
      <c r="M27" s="74"/>
    </row>
    <row r="28" spans="2:13" s="71" customFormat="1" x14ac:dyDescent="0.25">
      <c r="B28" s="74"/>
      <c r="C28" s="74"/>
      <c r="D28" s="74"/>
      <c r="E28" s="74"/>
      <c r="F28" s="74"/>
      <c r="G28" s="74"/>
      <c r="H28" s="74"/>
      <c r="J28" s="74"/>
      <c r="K28" s="74"/>
      <c r="L28" s="74"/>
      <c r="M28" s="74"/>
    </row>
    <row r="29" spans="2:13" s="71" customFormat="1" x14ac:dyDescent="0.25">
      <c r="B29" s="74"/>
      <c r="C29" s="74"/>
      <c r="D29" s="74"/>
      <c r="E29" s="74"/>
      <c r="F29" s="74"/>
      <c r="G29" s="74"/>
      <c r="H29" s="74"/>
      <c r="J29" s="74"/>
      <c r="K29" s="74"/>
      <c r="L29" s="74"/>
      <c r="M29" s="74"/>
    </row>
    <row r="30" spans="2:13" s="83" customFormat="1" x14ac:dyDescent="0.25">
      <c r="B30" s="81"/>
      <c r="C30" s="82"/>
      <c r="D30" s="82"/>
      <c r="E30" s="82"/>
      <c r="F30" s="82"/>
      <c r="G30" s="82"/>
      <c r="H30" s="82"/>
      <c r="J30" s="82"/>
      <c r="K30" s="82"/>
      <c r="L30" s="82"/>
      <c r="M30" s="82"/>
    </row>
    <row r="31" spans="2:13" s="83" customFormat="1" ht="21" x14ac:dyDescent="0.25">
      <c r="B31" s="84" t="s">
        <v>34</v>
      </c>
      <c r="C31" s="82"/>
      <c r="D31" s="82"/>
      <c r="E31" s="82"/>
      <c r="F31" s="82"/>
      <c r="G31" s="82"/>
      <c r="H31" s="82"/>
      <c r="J31" s="82"/>
      <c r="K31" s="82"/>
      <c r="L31" s="82"/>
      <c r="M31" s="82"/>
    </row>
    <row r="32" spans="2:13" s="83" customFormat="1" x14ac:dyDescent="0.25">
      <c r="B32" s="85"/>
      <c r="C32" s="82"/>
      <c r="D32" s="82"/>
      <c r="E32" s="82"/>
      <c r="F32" s="82"/>
      <c r="G32" s="82"/>
      <c r="H32" s="82"/>
      <c r="J32" s="82"/>
      <c r="K32" s="82"/>
      <c r="L32" s="82"/>
      <c r="M32" s="82"/>
    </row>
    <row r="33" spans="2:18" s="85" customFormat="1" x14ac:dyDescent="0.25">
      <c r="B33" s="86" t="s">
        <v>35</v>
      </c>
      <c r="C33" s="87"/>
      <c r="D33" s="81" t="s">
        <v>36</v>
      </c>
      <c r="G33" s="81" t="s">
        <v>37</v>
      </c>
      <c r="J33" s="81" t="s">
        <v>38</v>
      </c>
      <c r="M33" s="81" t="s">
        <v>39</v>
      </c>
      <c r="P33" s="81" t="s">
        <v>40</v>
      </c>
      <c r="R33" s="81" t="s">
        <v>41</v>
      </c>
    </row>
    <row r="34" spans="2:18" s="85" customFormat="1" x14ac:dyDescent="0.25">
      <c r="B34" s="105" t="s">
        <v>42</v>
      </c>
      <c r="C34" s="87"/>
      <c r="D34" s="105" t="s">
        <v>43</v>
      </c>
      <c r="E34" s="92"/>
      <c r="G34" s="89" t="s">
        <v>28</v>
      </c>
      <c r="H34" s="89" t="s">
        <v>44</v>
      </c>
      <c r="J34" s="90" t="s">
        <v>27</v>
      </c>
      <c r="K34" s="90" t="s">
        <v>44</v>
      </c>
      <c r="M34" s="90" t="s">
        <v>27</v>
      </c>
      <c r="N34" s="90" t="s">
        <v>44</v>
      </c>
      <c r="P34" s="105" t="s">
        <v>45</v>
      </c>
      <c r="R34" s="105" t="s">
        <v>45</v>
      </c>
    </row>
    <row r="35" spans="2:18" s="85" customFormat="1" x14ac:dyDescent="0.25">
      <c r="B35" s="88"/>
      <c r="C35" s="87"/>
      <c r="D35" s="105" t="s">
        <v>46</v>
      </c>
      <c r="E35" s="91"/>
      <c r="G35" s="103">
        <v>46286</v>
      </c>
      <c r="H35" s="104" t="s">
        <v>46</v>
      </c>
      <c r="J35" s="106" t="s">
        <v>30</v>
      </c>
      <c r="K35" s="107" t="s">
        <v>60</v>
      </c>
      <c r="M35" s="106" t="s">
        <v>30</v>
      </c>
      <c r="N35" s="107" t="s">
        <v>48</v>
      </c>
    </row>
    <row r="36" spans="2:18" s="85" customFormat="1" x14ac:dyDescent="0.25">
      <c r="B36" s="86" t="s">
        <v>49</v>
      </c>
      <c r="C36" s="87"/>
      <c r="D36" s="105" t="s">
        <v>50</v>
      </c>
      <c r="E36" s="91"/>
      <c r="G36" s="103">
        <v>46287</v>
      </c>
      <c r="H36" s="104" t="s">
        <v>51</v>
      </c>
      <c r="J36" s="106" t="s">
        <v>31</v>
      </c>
      <c r="K36" s="107" t="s">
        <v>60</v>
      </c>
      <c r="M36" s="106" t="s">
        <v>31</v>
      </c>
      <c r="N36" s="214" t="s">
        <v>52</v>
      </c>
      <c r="P36" s="81" t="s">
        <v>53</v>
      </c>
      <c r="R36" s="81" t="s">
        <v>54</v>
      </c>
    </row>
    <row r="37" spans="2:18" s="85" customFormat="1" x14ac:dyDescent="0.25">
      <c r="B37" s="105" t="s">
        <v>55</v>
      </c>
      <c r="C37" s="87"/>
      <c r="D37" s="105" t="s">
        <v>51</v>
      </c>
      <c r="E37" s="91"/>
      <c r="G37" s="103">
        <v>46288</v>
      </c>
      <c r="H37" s="104" t="s">
        <v>56</v>
      </c>
      <c r="J37" s="106" t="s">
        <v>32</v>
      </c>
      <c r="K37" s="107" t="s">
        <v>60</v>
      </c>
      <c r="M37" s="106" t="s">
        <v>32</v>
      </c>
      <c r="N37" s="214" t="s">
        <v>57</v>
      </c>
      <c r="P37" s="105" t="s">
        <v>45</v>
      </c>
      <c r="R37" s="105" t="s">
        <v>45</v>
      </c>
    </row>
    <row r="38" spans="2:18" s="85" customFormat="1" x14ac:dyDescent="0.2">
      <c r="D38" s="105" t="s">
        <v>47</v>
      </c>
      <c r="E38" s="91"/>
      <c r="G38" s="103">
        <v>46289</v>
      </c>
      <c r="H38" s="104" t="s">
        <v>57</v>
      </c>
      <c r="J38" s="106" t="s">
        <v>33</v>
      </c>
      <c r="K38" s="107" t="s">
        <v>60</v>
      </c>
      <c r="M38" s="106" t="s">
        <v>33</v>
      </c>
      <c r="N38" s="107" t="s">
        <v>58</v>
      </c>
    </row>
    <row r="39" spans="2:18" s="85" customFormat="1" x14ac:dyDescent="0.25">
      <c r="B39" s="86" t="s">
        <v>59</v>
      </c>
      <c r="D39" s="105" t="s">
        <v>60</v>
      </c>
      <c r="E39" s="91"/>
      <c r="G39" s="103">
        <v>46290</v>
      </c>
      <c r="H39" s="104" t="s">
        <v>60</v>
      </c>
    </row>
    <row r="40" spans="2:18" s="85" customFormat="1" x14ac:dyDescent="0.2">
      <c r="B40" s="105" t="s">
        <v>61</v>
      </c>
      <c r="D40" s="105" t="s">
        <v>52</v>
      </c>
      <c r="E40" s="91"/>
      <c r="G40" s="101">
        <v>46291</v>
      </c>
      <c r="H40" s="102" t="s">
        <v>48</v>
      </c>
    </row>
    <row r="41" spans="2:18" s="85" customFormat="1" x14ac:dyDescent="0.25">
      <c r="B41" s="105" t="s">
        <v>62</v>
      </c>
      <c r="C41" s="95"/>
      <c r="D41" s="105" t="s">
        <v>57</v>
      </c>
      <c r="E41" s="91"/>
      <c r="G41" s="101">
        <v>46292</v>
      </c>
      <c r="H41" s="102" t="s">
        <v>48</v>
      </c>
      <c r="J41" s="86"/>
      <c r="K41" s="94"/>
      <c r="L41" s="94"/>
    </row>
    <row r="42" spans="2:18" s="85" customFormat="1" x14ac:dyDescent="0.25">
      <c r="B42" s="105" t="s">
        <v>63</v>
      </c>
      <c r="C42" s="96"/>
      <c r="D42" s="105" t="s">
        <v>56</v>
      </c>
      <c r="E42" s="91"/>
      <c r="G42" s="103">
        <v>46293</v>
      </c>
      <c r="H42" s="104" t="s">
        <v>46</v>
      </c>
      <c r="J42" s="93"/>
      <c r="L42" s="94"/>
    </row>
    <row r="43" spans="2:18" s="85" customFormat="1" x14ac:dyDescent="0.25">
      <c r="B43" s="105" t="s">
        <v>64</v>
      </c>
      <c r="D43" s="105" t="s">
        <v>65</v>
      </c>
      <c r="E43" s="91"/>
      <c r="G43" s="103">
        <v>46294</v>
      </c>
      <c r="H43" s="104" t="s">
        <v>51</v>
      </c>
      <c r="J43" s="93"/>
      <c r="L43" s="94"/>
    </row>
    <row r="44" spans="2:18" s="85" customFormat="1" x14ac:dyDescent="0.25">
      <c r="B44" s="105" t="s">
        <v>66</v>
      </c>
      <c r="D44" s="105" t="s">
        <v>67</v>
      </c>
      <c r="E44" s="91"/>
      <c r="G44" s="103">
        <v>46295</v>
      </c>
      <c r="H44" s="104" t="s">
        <v>56</v>
      </c>
      <c r="J44" s="93"/>
      <c r="L44" s="94"/>
    </row>
    <row r="45" spans="2:18" s="85" customFormat="1" ht="12.75" customHeight="1" x14ac:dyDescent="0.25">
      <c r="B45" s="89"/>
      <c r="D45" s="105" t="s">
        <v>45</v>
      </c>
      <c r="E45" s="91"/>
      <c r="G45" s="103">
        <v>46296</v>
      </c>
      <c r="H45" s="104" t="s">
        <v>57</v>
      </c>
      <c r="J45" s="93"/>
      <c r="L45" s="94"/>
    </row>
    <row r="46" spans="2:18" s="85" customFormat="1" x14ac:dyDescent="0.25">
      <c r="B46" s="81" t="s">
        <v>68</v>
      </c>
      <c r="D46" s="88"/>
      <c r="E46" s="91"/>
      <c r="G46" s="103">
        <v>46297</v>
      </c>
      <c r="H46" s="104" t="s">
        <v>60</v>
      </c>
      <c r="J46" s="94"/>
    </row>
    <row r="47" spans="2:18" s="85" customFormat="1" x14ac:dyDescent="0.25">
      <c r="B47" s="105" t="s">
        <v>69</v>
      </c>
      <c r="E47" s="91"/>
      <c r="G47" s="101">
        <v>46298</v>
      </c>
      <c r="H47" s="102" t="s">
        <v>52</v>
      </c>
      <c r="J47" s="94"/>
    </row>
    <row r="48" spans="2:18" s="85" customFormat="1" x14ac:dyDescent="0.25">
      <c r="B48" s="89"/>
      <c r="C48" s="95"/>
      <c r="G48" s="101">
        <v>46299</v>
      </c>
      <c r="H48" s="102" t="s">
        <v>52</v>
      </c>
      <c r="J48" s="94"/>
    </row>
    <row r="49" spans="2:10" s="85" customFormat="1" x14ac:dyDescent="0.25">
      <c r="B49" s="89"/>
      <c r="C49" s="95"/>
      <c r="G49" s="103">
        <v>46300</v>
      </c>
      <c r="H49" s="104" t="s">
        <v>46</v>
      </c>
      <c r="J49" s="94"/>
    </row>
    <row r="50" spans="2:10" s="85" customFormat="1" x14ac:dyDescent="0.25">
      <c r="B50" s="89"/>
      <c r="C50" s="95"/>
      <c r="G50" s="103">
        <v>46301</v>
      </c>
      <c r="H50" s="104" t="s">
        <v>51</v>
      </c>
      <c r="J50" s="94"/>
    </row>
    <row r="51" spans="2:10" s="85" customFormat="1" x14ac:dyDescent="0.25">
      <c r="B51" s="89"/>
      <c r="C51" s="95"/>
      <c r="G51" s="103">
        <v>46302</v>
      </c>
      <c r="H51" s="104" t="s">
        <v>56</v>
      </c>
      <c r="J51" s="94"/>
    </row>
    <row r="52" spans="2:10" s="85" customFormat="1" x14ac:dyDescent="0.25">
      <c r="B52" s="89"/>
      <c r="C52" s="95"/>
      <c r="G52" s="103">
        <v>46303</v>
      </c>
      <c r="H52" s="104" t="s">
        <v>57</v>
      </c>
    </row>
    <row r="53" spans="2:10" s="85" customFormat="1" x14ac:dyDescent="0.25">
      <c r="B53" s="89"/>
      <c r="C53" s="95"/>
      <c r="G53" s="103">
        <v>46304</v>
      </c>
      <c r="H53" s="104" t="s">
        <v>60</v>
      </c>
    </row>
    <row r="54" spans="2:10" s="85" customFormat="1" x14ac:dyDescent="0.25">
      <c r="B54" s="89"/>
      <c r="C54" s="95"/>
      <c r="E54" s="91"/>
      <c r="G54" s="101">
        <v>46305</v>
      </c>
      <c r="H54" s="102" t="s">
        <v>57</v>
      </c>
    </row>
    <row r="55" spans="2:10" s="85" customFormat="1" x14ac:dyDescent="0.25">
      <c r="E55" s="91"/>
      <c r="G55" s="101">
        <v>46306</v>
      </c>
      <c r="H55" s="102" t="s">
        <v>57</v>
      </c>
    </row>
    <row r="56" spans="2:10" s="85" customFormat="1" x14ac:dyDescent="0.25">
      <c r="E56" s="91"/>
      <c r="G56" s="103">
        <v>46307</v>
      </c>
      <c r="H56" s="104" t="s">
        <v>46</v>
      </c>
    </row>
    <row r="57" spans="2:10" s="85" customFormat="1" x14ac:dyDescent="0.25">
      <c r="B57" s="81"/>
      <c r="E57" s="91"/>
      <c r="G57" s="103">
        <v>46308</v>
      </c>
      <c r="H57" s="104" t="s">
        <v>51</v>
      </c>
    </row>
    <row r="58" spans="2:10" s="85" customFormat="1" x14ac:dyDescent="0.25">
      <c r="C58" s="95"/>
      <c r="E58" s="91"/>
      <c r="G58" s="103">
        <v>46309</v>
      </c>
      <c r="H58" s="104" t="s">
        <v>56</v>
      </c>
    </row>
    <row r="59" spans="2:10" s="85" customFormat="1" x14ac:dyDescent="0.25">
      <c r="C59" s="95"/>
      <c r="E59" s="91"/>
      <c r="G59" s="103">
        <v>46310</v>
      </c>
      <c r="H59" s="104" t="s">
        <v>57</v>
      </c>
    </row>
    <row r="60" spans="2:10" s="85" customFormat="1" x14ac:dyDescent="0.25">
      <c r="C60" s="95"/>
      <c r="E60" s="91"/>
      <c r="G60" s="103">
        <v>46311</v>
      </c>
      <c r="H60" s="104" t="s">
        <v>60</v>
      </c>
    </row>
    <row r="61" spans="2:10" s="85" customFormat="1" x14ac:dyDescent="0.25">
      <c r="C61" s="95"/>
    </row>
    <row r="62" spans="2:10" s="85" customFormat="1" x14ac:dyDescent="0.25">
      <c r="C62" s="95"/>
    </row>
    <row r="63" spans="2:10" s="85" customFormat="1" x14ac:dyDescent="0.25">
      <c r="C63" s="95"/>
    </row>
    <row r="64" spans="2:10" s="85" customFormat="1" x14ac:dyDescent="0.25">
      <c r="C64" s="95"/>
    </row>
    <row r="65" spans="2:15" s="85" customFormat="1" x14ac:dyDescent="0.25"/>
    <row r="66" spans="2:15" s="83" customFormat="1" x14ac:dyDescent="0.25">
      <c r="B66" s="85"/>
      <c r="C66" s="82"/>
      <c r="D66" s="82"/>
      <c r="E66" s="82"/>
      <c r="F66" s="82"/>
      <c r="G66" s="82"/>
      <c r="H66" s="82"/>
      <c r="J66" s="82"/>
      <c r="K66" s="82"/>
      <c r="L66" s="82"/>
      <c r="M66" s="82"/>
    </row>
    <row r="67" spans="2:15" s="99" customFormat="1" x14ac:dyDescent="0.25">
      <c r="B67" s="97"/>
      <c r="C67" s="98"/>
      <c r="D67" s="98"/>
      <c r="E67" s="98"/>
      <c r="F67" s="98"/>
      <c r="G67" s="98"/>
      <c r="H67" s="98"/>
      <c r="J67" s="98"/>
      <c r="K67" s="98"/>
      <c r="L67" s="98"/>
      <c r="M67" s="98"/>
    </row>
    <row r="68" spans="2:15" s="99" customFormat="1" ht="21" x14ac:dyDescent="0.25">
      <c r="B68" s="100" t="s">
        <v>70</v>
      </c>
      <c r="C68" s="98"/>
      <c r="D68" s="98"/>
      <c r="E68" s="98"/>
      <c r="F68" s="98"/>
      <c r="G68" s="98"/>
      <c r="H68" s="98"/>
      <c r="J68" s="98"/>
      <c r="K68" s="98"/>
      <c r="L68" s="98"/>
      <c r="M68" s="98"/>
    </row>
    <row r="69" spans="2:15" s="99" customFormat="1" x14ac:dyDescent="0.25">
      <c r="B69" s="97"/>
      <c r="C69" s="98"/>
      <c r="D69" s="98"/>
      <c r="E69" s="98"/>
      <c r="F69" s="98"/>
      <c r="G69" s="98"/>
      <c r="H69" s="98"/>
      <c r="J69" s="98"/>
      <c r="K69" s="98"/>
      <c r="L69" s="98"/>
      <c r="M69" s="98"/>
    </row>
    <row r="70" spans="2:15" s="99" customFormat="1" x14ac:dyDescent="0.25">
      <c r="B70" t="s">
        <v>71</v>
      </c>
      <c r="C70"/>
      <c r="D70"/>
      <c r="E70" t="s">
        <v>72</v>
      </c>
      <c r="F70"/>
      <c r="G70"/>
      <c r="H70" t="s">
        <v>73</v>
      </c>
      <c r="I70"/>
      <c r="J70"/>
      <c r="K70" t="s">
        <v>74</v>
      </c>
      <c r="L70"/>
      <c r="M70"/>
      <c r="N70" t="s">
        <v>75</v>
      </c>
      <c r="O70" s="98"/>
    </row>
    <row r="71" spans="2:15" s="99" customFormat="1" x14ac:dyDescent="0.25">
      <c r="B71" t="s">
        <v>76</v>
      </c>
      <c r="C71"/>
      <c r="D71"/>
      <c r="E71" t="s">
        <v>77</v>
      </c>
      <c r="F71"/>
      <c r="G71"/>
      <c r="H71" s="3" t="s">
        <v>78</v>
      </c>
      <c r="I71"/>
      <c r="J71"/>
      <c r="K71" t="s">
        <v>79</v>
      </c>
      <c r="L71"/>
      <c r="M71"/>
      <c r="N71" t="s">
        <v>80</v>
      </c>
      <c r="O71" s="98"/>
    </row>
    <row r="72" spans="2:15" s="99" customFormat="1" x14ac:dyDescent="0.25">
      <c r="B72" t="s">
        <v>81</v>
      </c>
      <c r="C72"/>
      <c r="D72"/>
      <c r="E72" t="s">
        <v>82</v>
      </c>
      <c r="F72"/>
      <c r="G72"/>
      <c r="H72" t="s">
        <v>83</v>
      </c>
      <c r="I72"/>
      <c r="J72"/>
      <c r="K72" t="s">
        <v>84</v>
      </c>
      <c r="L72"/>
      <c r="M72"/>
      <c r="N72" t="s">
        <v>85</v>
      </c>
      <c r="O72" s="98"/>
    </row>
    <row r="73" spans="2:15" s="99" customFormat="1" x14ac:dyDescent="0.25">
      <c r="B73" t="s">
        <v>86</v>
      </c>
      <c r="C73"/>
      <c r="D73"/>
      <c r="E73" t="s">
        <v>87</v>
      </c>
      <c r="F73"/>
      <c r="G73"/>
      <c r="H73" t="s">
        <v>88</v>
      </c>
      <c r="I73"/>
      <c r="J73"/>
      <c r="K73" t="s">
        <v>89</v>
      </c>
      <c r="L73"/>
      <c r="M73"/>
      <c r="N73" t="s">
        <v>90</v>
      </c>
      <c r="O73" s="98"/>
    </row>
    <row r="74" spans="2:15" s="99" customFormat="1" x14ac:dyDescent="0.25">
      <c r="B74" t="s">
        <v>91</v>
      </c>
      <c r="C74"/>
      <c r="D74"/>
      <c r="E74" t="s">
        <v>58</v>
      </c>
      <c r="F74"/>
      <c r="G74"/>
      <c r="H74" t="s">
        <v>92</v>
      </c>
      <c r="I74"/>
      <c r="J74"/>
      <c r="K74" t="s">
        <v>93</v>
      </c>
      <c r="L74"/>
      <c r="M74"/>
      <c r="N74" t="s">
        <v>94</v>
      </c>
      <c r="O74" s="98"/>
    </row>
    <row r="75" spans="2:15" s="99" customFormat="1" x14ac:dyDescent="0.25">
      <c r="B75" t="s">
        <v>95</v>
      </c>
      <c r="C75"/>
      <c r="D75"/>
      <c r="E75"/>
      <c r="F75"/>
      <c r="G75"/>
      <c r="H75" t="s">
        <v>96</v>
      </c>
      <c r="I75"/>
      <c r="J75"/>
      <c r="K75" t="s">
        <v>97</v>
      </c>
      <c r="L75"/>
      <c r="M75"/>
      <c r="N75"/>
    </row>
    <row r="76" spans="2:15" s="99" customFormat="1" x14ac:dyDescent="0.25">
      <c r="B76" t="s">
        <v>98</v>
      </c>
      <c r="C76"/>
      <c r="D76"/>
      <c r="E76"/>
      <c r="F76"/>
      <c r="G76"/>
      <c r="H76" t="s">
        <v>99</v>
      </c>
      <c r="I76"/>
      <c r="J76"/>
      <c r="K76"/>
      <c r="L76"/>
      <c r="M76"/>
      <c r="N76"/>
    </row>
    <row r="77" spans="2:15" s="99" customFormat="1" x14ac:dyDescent="0.25">
      <c r="B77" t="s">
        <v>100</v>
      </c>
      <c r="C77"/>
      <c r="D77"/>
      <c r="E77"/>
      <c r="F77"/>
      <c r="G77"/>
      <c r="H77" t="s">
        <v>101</v>
      </c>
      <c r="I77"/>
      <c r="J77"/>
      <c r="K77"/>
      <c r="L77"/>
      <c r="M77"/>
      <c r="N77"/>
    </row>
    <row r="78" spans="2:15" s="99" customFormat="1" x14ac:dyDescent="0.25">
      <c r="B78" t="s">
        <v>102</v>
      </c>
      <c r="C78"/>
      <c r="D78"/>
      <c r="E78"/>
      <c r="F78"/>
      <c r="G78"/>
      <c r="H78" s="3" t="s">
        <v>103</v>
      </c>
      <c r="I78"/>
      <c r="J78"/>
      <c r="K78"/>
      <c r="L78"/>
      <c r="M78"/>
      <c r="N78"/>
    </row>
    <row r="79" spans="2:15" s="99" customFormat="1" x14ac:dyDescent="0.25">
      <c r="B79" t="s">
        <v>24</v>
      </c>
      <c r="C79"/>
      <c r="D79"/>
      <c r="E79"/>
      <c r="F79"/>
      <c r="G79"/>
      <c r="H79" t="s">
        <v>104</v>
      </c>
      <c r="I79"/>
      <c r="J79"/>
      <c r="K79"/>
      <c r="L79"/>
      <c r="M79"/>
      <c r="N79"/>
    </row>
    <row r="80" spans="2:15" s="99" customFormat="1" x14ac:dyDescent="0.25">
      <c r="B80" t="s">
        <v>105</v>
      </c>
      <c r="C80"/>
      <c r="D80"/>
      <c r="E80"/>
      <c r="F80"/>
      <c r="G80"/>
      <c r="H80" t="s">
        <v>106</v>
      </c>
      <c r="I80"/>
      <c r="J80"/>
      <c r="K80"/>
      <c r="L80"/>
      <c r="M80"/>
      <c r="N80"/>
    </row>
    <row r="81" spans="2:14" s="99" customFormat="1" x14ac:dyDescent="0.25">
      <c r="B81" t="s">
        <v>107</v>
      </c>
      <c r="C81"/>
      <c r="D81"/>
      <c r="E81"/>
      <c r="F81"/>
      <c r="G81"/>
      <c r="H81" t="s">
        <v>108</v>
      </c>
      <c r="I81"/>
      <c r="J81"/>
      <c r="K81"/>
      <c r="L81"/>
      <c r="M81"/>
      <c r="N81"/>
    </row>
    <row r="82" spans="2:14" s="99" customFormat="1" x14ac:dyDescent="0.25">
      <c r="B82" t="s">
        <v>109</v>
      </c>
      <c r="C82"/>
      <c r="D82"/>
      <c r="E82"/>
      <c r="F82"/>
      <c r="G82"/>
      <c r="H82" t="s">
        <v>110</v>
      </c>
      <c r="I82"/>
      <c r="J82"/>
      <c r="K82"/>
      <c r="L82"/>
      <c r="M82"/>
      <c r="N82"/>
    </row>
    <row r="83" spans="2:14" s="99" customFormat="1" x14ac:dyDescent="0.25">
      <c r="B83" t="s">
        <v>111</v>
      </c>
      <c r="C83"/>
      <c r="D83"/>
      <c r="E83"/>
      <c r="F83"/>
      <c r="G83"/>
      <c r="H83" t="s">
        <v>112</v>
      </c>
      <c r="I83"/>
      <c r="J83"/>
      <c r="K83"/>
      <c r="L83"/>
      <c r="M83"/>
      <c r="N83"/>
    </row>
    <row r="84" spans="2:14" s="99" customFormat="1" x14ac:dyDescent="0.25">
      <c r="B84" t="s">
        <v>113</v>
      </c>
      <c r="C84"/>
      <c r="D84"/>
      <c r="E84"/>
      <c r="F84"/>
      <c r="G84"/>
      <c r="H84" t="s">
        <v>114</v>
      </c>
      <c r="I84"/>
      <c r="J84"/>
      <c r="K84"/>
      <c r="L84"/>
      <c r="M84"/>
      <c r="N84"/>
    </row>
    <row r="85" spans="2:14" s="99" customFormat="1" x14ac:dyDescent="0.25">
      <c r="B85"/>
      <c r="C85"/>
      <c r="D85"/>
      <c r="E85"/>
      <c r="F85"/>
      <c r="G85"/>
      <c r="H85" t="s">
        <v>115</v>
      </c>
      <c r="I85"/>
      <c r="J85"/>
      <c r="K85"/>
      <c r="L85"/>
      <c r="M85"/>
      <c r="N85"/>
    </row>
    <row r="86" spans="2:14" s="99" customFormat="1" x14ac:dyDescent="0.25">
      <c r="B86"/>
      <c r="C86"/>
      <c r="D86"/>
      <c r="E86"/>
      <c r="F86"/>
      <c r="G86"/>
      <c r="H86" t="s">
        <v>116</v>
      </c>
      <c r="I86"/>
      <c r="J86"/>
      <c r="K86"/>
      <c r="L86"/>
      <c r="M86"/>
      <c r="N86"/>
    </row>
    <row r="87" spans="2:14" s="99" customForma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2:14" s="99" customFormat="1" x14ac:dyDescent="0.25"/>
    <row r="89" spans="2:14" s="99" customFormat="1" x14ac:dyDescent="0.25"/>
  </sheetData>
  <dataValidations count="2">
    <dataValidation type="list" allowBlank="1" showInputMessage="1" showErrorMessage="1" sqref="B36" xr:uid="{6A4887CD-4BDA-4076-A274-A93370F2C6F7}">
      <formula1>Auswahl_Funktion</formula1>
    </dataValidation>
    <dataValidation type="list" allowBlank="1" showInputMessage="1" showErrorMessage="1" sqref="H35:H60" xr:uid="{D4D95C78-F3C3-432B-8D2B-A60F41289D9E}">
      <formula1>$D$34:$D$45</formula1>
    </dataValidation>
  </dataValidations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BBF6-BB0A-44CF-AB93-74B5A97AC5E4}">
  <sheetPr>
    <tabColor rgb="FFFFFF00"/>
    <pageSetUpPr fitToPage="1"/>
  </sheetPr>
  <dimension ref="A1:BQ126"/>
  <sheetViews>
    <sheetView view="pageBreakPreview" zoomScaleNormal="55" zoomScaleSheetLayoutView="100" zoomScalePageLayoutView="55" workbookViewId="0">
      <pane ySplit="7" topLeftCell="A8" activePane="bottomLeft" state="frozen"/>
      <selection activeCell="C119" sqref="C119:I119"/>
      <selection pane="bottomLeft" activeCell="C6" sqref="C6:J6"/>
    </sheetView>
  </sheetViews>
  <sheetFormatPr defaultColWidth="14.88671875" defaultRowHeight="13.8" x14ac:dyDescent="0.25"/>
  <cols>
    <col min="1" max="1" width="2.5546875" style="125" customWidth="1"/>
    <col min="2" max="2" width="7.109375" style="126" customWidth="1"/>
    <col min="3" max="8" width="5" style="125" customWidth="1"/>
    <col min="9" max="10" width="4.109375" style="125" customWidth="1"/>
    <col min="11" max="16" width="5" style="125" customWidth="1"/>
    <col min="17" max="18" width="4.109375" style="125" customWidth="1"/>
    <col min="19" max="24" width="5" style="125" customWidth="1"/>
    <col min="25" max="26" width="4.109375" style="125" customWidth="1"/>
    <col min="27" max="32" width="5" style="125" customWidth="1"/>
    <col min="33" max="34" width="4.109375" style="125" customWidth="1"/>
    <col min="35" max="40" width="5" style="125" customWidth="1"/>
    <col min="41" max="42" width="4.109375" style="125" customWidth="1"/>
    <col min="43" max="58" width="2.88671875" style="125" customWidth="1"/>
    <col min="59" max="59" width="6.6640625" style="126" customWidth="1"/>
    <col min="60" max="60" width="0.88671875" style="125" customWidth="1"/>
    <col min="61" max="62" width="11.109375" style="125" customWidth="1"/>
    <col min="63" max="63" width="0.88671875" style="125" customWidth="1"/>
    <col min="64" max="16384" width="14.88671875" style="125"/>
  </cols>
  <sheetData>
    <row r="1" spans="2:69" s="185" customFormat="1" ht="23.25" customHeight="1" x14ac:dyDescent="0.4">
      <c r="B1" s="238" t="s">
        <v>117</v>
      </c>
      <c r="C1" s="238"/>
      <c r="D1" s="238"/>
      <c r="E1" s="238"/>
      <c r="F1" s="238"/>
      <c r="G1" s="238"/>
      <c r="H1" s="238"/>
      <c r="I1" s="238"/>
      <c r="J1" s="238"/>
      <c r="K1" s="238"/>
      <c r="L1" s="191"/>
      <c r="M1" s="191" t="str">
        <f>_xlfn.CONCAT(TEXT(Einstellungen!$C$6,"DD.MM.YYYY")," bis ",TEXT(Einstellungen!$C$6+6,"DD.MM.YYYY"))</f>
        <v>21.09.2026 bis 27.09.2026</v>
      </c>
      <c r="N1" s="191"/>
      <c r="O1" s="191"/>
      <c r="P1" s="191"/>
      <c r="Q1" s="193"/>
      <c r="S1" s="192"/>
      <c r="T1" s="192"/>
      <c r="U1" s="192"/>
      <c r="V1" s="191"/>
      <c r="W1" s="192"/>
      <c r="AC1" s="191"/>
      <c r="AD1" s="191"/>
      <c r="AL1" s="191"/>
      <c r="AN1" s="190"/>
      <c r="AO1" s="190"/>
      <c r="AP1" s="190"/>
      <c r="AW1" s="190"/>
      <c r="AX1" s="190"/>
      <c r="BE1" s="190"/>
      <c r="BF1" s="190"/>
      <c r="BG1" s="189"/>
      <c r="BK1" s="188"/>
    </row>
    <row r="2" spans="2:69" s="185" customFormat="1" ht="12" customHeight="1" x14ac:dyDescent="0.25">
      <c r="B2" s="186"/>
      <c r="AG2" s="187"/>
      <c r="BG2" s="126"/>
    </row>
    <row r="3" spans="2:69" s="185" customFormat="1" ht="6.75" customHeight="1" x14ac:dyDescent="0.25">
      <c r="B3" s="186"/>
      <c r="BG3" s="126"/>
    </row>
    <row r="4" spans="2:69" s="175" customFormat="1" ht="23.25" customHeight="1" x14ac:dyDescent="0.4">
      <c r="K4" s="184"/>
      <c r="U4" s="183"/>
      <c r="W4" s="182"/>
      <c r="X4" s="181"/>
      <c r="AO4" s="179"/>
      <c r="AP4" s="179"/>
      <c r="AW4" s="179"/>
      <c r="AX4" s="179"/>
      <c r="BE4" s="179"/>
      <c r="BF4" s="179"/>
      <c r="BG4" s="180"/>
      <c r="BH4" s="179"/>
      <c r="BI4" s="178"/>
      <c r="BJ4" s="178" t="s">
        <v>118</v>
      </c>
      <c r="BK4" s="177"/>
      <c r="BL4" s="176"/>
    </row>
    <row r="5" spans="2:69" s="126" customFormat="1" ht="13.5" customHeight="1" x14ac:dyDescent="0.25">
      <c r="B5" s="174" t="s">
        <v>119</v>
      </c>
      <c r="C5" s="239" t="s">
        <v>120</v>
      </c>
      <c r="D5" s="240"/>
      <c r="E5" s="240"/>
      <c r="F5" s="240"/>
      <c r="G5" s="240"/>
      <c r="H5" s="240"/>
      <c r="I5" s="240"/>
      <c r="J5" s="241"/>
      <c r="K5" s="239" t="s">
        <v>121</v>
      </c>
      <c r="L5" s="240"/>
      <c r="M5" s="240"/>
      <c r="N5" s="240"/>
      <c r="O5" s="240"/>
      <c r="P5" s="240"/>
      <c r="Q5" s="240"/>
      <c r="R5" s="241"/>
      <c r="S5" s="239" t="s">
        <v>122</v>
      </c>
      <c r="T5" s="240"/>
      <c r="U5" s="240"/>
      <c r="V5" s="240"/>
      <c r="W5" s="240"/>
      <c r="X5" s="240"/>
      <c r="Y5" s="240"/>
      <c r="Z5" s="241"/>
      <c r="AA5" s="239" t="s">
        <v>123</v>
      </c>
      <c r="AB5" s="240"/>
      <c r="AC5" s="240"/>
      <c r="AD5" s="240"/>
      <c r="AE5" s="240"/>
      <c r="AF5" s="240"/>
      <c r="AG5" s="240"/>
      <c r="AH5" s="241"/>
      <c r="AI5" s="239" t="s">
        <v>124</v>
      </c>
      <c r="AJ5" s="240"/>
      <c r="AK5" s="240"/>
      <c r="AL5" s="240"/>
      <c r="AM5" s="240"/>
      <c r="AN5" s="240"/>
      <c r="AO5" s="240"/>
      <c r="AP5" s="241"/>
      <c r="AQ5" s="239" t="s">
        <v>125</v>
      </c>
      <c r="AR5" s="240"/>
      <c r="AS5" s="240"/>
      <c r="AT5" s="240"/>
      <c r="AU5" s="240"/>
      <c r="AV5" s="240"/>
      <c r="AW5" s="240"/>
      <c r="AX5" s="241"/>
      <c r="AY5" s="239" t="s">
        <v>126</v>
      </c>
      <c r="AZ5" s="240"/>
      <c r="BA5" s="240"/>
      <c r="BB5" s="240"/>
      <c r="BC5" s="240"/>
      <c r="BD5" s="240"/>
      <c r="BE5" s="240"/>
      <c r="BF5" s="241"/>
      <c r="BG5" s="174" t="s">
        <v>119</v>
      </c>
      <c r="BH5" s="224" t="s">
        <v>127</v>
      </c>
      <c r="BI5" s="225"/>
      <c r="BJ5" s="225"/>
      <c r="BK5" s="226"/>
    </row>
    <row r="6" spans="2:69" ht="13.5" customHeight="1" x14ac:dyDescent="0.25">
      <c r="B6" s="173" t="s">
        <v>128</v>
      </c>
      <c r="C6" s="230">
        <f>Einstellungen!$C$6</f>
        <v>46286</v>
      </c>
      <c r="D6" s="231"/>
      <c r="E6" s="231"/>
      <c r="F6" s="231"/>
      <c r="G6" s="231"/>
      <c r="H6" s="231"/>
      <c r="I6" s="231"/>
      <c r="J6" s="232"/>
      <c r="K6" s="230">
        <f>C6+1</f>
        <v>46287</v>
      </c>
      <c r="L6" s="231"/>
      <c r="M6" s="231"/>
      <c r="N6" s="231"/>
      <c r="O6" s="231"/>
      <c r="P6" s="231"/>
      <c r="Q6" s="231"/>
      <c r="R6" s="232"/>
      <c r="S6" s="230">
        <f>K6+1</f>
        <v>46288</v>
      </c>
      <c r="T6" s="231"/>
      <c r="U6" s="231"/>
      <c r="V6" s="231"/>
      <c r="W6" s="231"/>
      <c r="X6" s="231"/>
      <c r="Y6" s="231"/>
      <c r="Z6" s="232"/>
      <c r="AA6" s="230">
        <f>S6+1</f>
        <v>46289</v>
      </c>
      <c r="AB6" s="231"/>
      <c r="AC6" s="231"/>
      <c r="AD6" s="231"/>
      <c r="AE6" s="231"/>
      <c r="AF6" s="231"/>
      <c r="AG6" s="231"/>
      <c r="AH6" s="232"/>
      <c r="AI6" s="230">
        <f>AA6+1</f>
        <v>46290</v>
      </c>
      <c r="AJ6" s="231"/>
      <c r="AK6" s="231"/>
      <c r="AL6" s="231"/>
      <c r="AM6" s="231"/>
      <c r="AN6" s="231"/>
      <c r="AO6" s="231"/>
      <c r="AP6" s="232"/>
      <c r="AQ6" s="230">
        <f>AI6+1</f>
        <v>46291</v>
      </c>
      <c r="AR6" s="231"/>
      <c r="AS6" s="231"/>
      <c r="AT6" s="231"/>
      <c r="AU6" s="231"/>
      <c r="AV6" s="231"/>
      <c r="AW6" s="231"/>
      <c r="AX6" s="232"/>
      <c r="AY6" s="230">
        <f>AQ6+1</f>
        <v>46292</v>
      </c>
      <c r="AZ6" s="231"/>
      <c r="BA6" s="231"/>
      <c r="BB6" s="231"/>
      <c r="BC6" s="231"/>
      <c r="BD6" s="231"/>
      <c r="BE6" s="231"/>
      <c r="BF6" s="232"/>
      <c r="BG6" s="172" t="s">
        <v>128</v>
      </c>
      <c r="BH6" s="227"/>
      <c r="BI6" s="228"/>
      <c r="BJ6" s="228"/>
      <c r="BK6" s="229"/>
    </row>
    <row r="7" spans="2:69" s="162" customFormat="1" ht="67.5" customHeight="1" x14ac:dyDescent="0.25">
      <c r="B7" s="171"/>
      <c r="C7" s="169" t="s">
        <v>129</v>
      </c>
      <c r="D7" s="169" t="s">
        <v>130</v>
      </c>
      <c r="E7" s="169" t="s">
        <v>63</v>
      </c>
      <c r="F7" s="169" t="s">
        <v>131</v>
      </c>
      <c r="G7" s="169" t="s">
        <v>132</v>
      </c>
      <c r="H7" s="169" t="s">
        <v>133</v>
      </c>
      <c r="I7" s="168" t="s">
        <v>134</v>
      </c>
      <c r="J7" s="170" t="s">
        <v>135</v>
      </c>
      <c r="K7" s="169" t="s">
        <v>129</v>
      </c>
      <c r="L7" s="169" t="s">
        <v>130</v>
      </c>
      <c r="M7" s="169" t="s">
        <v>63</v>
      </c>
      <c r="N7" s="169" t="s">
        <v>131</v>
      </c>
      <c r="O7" s="169" t="s">
        <v>132</v>
      </c>
      <c r="P7" s="169" t="s">
        <v>133</v>
      </c>
      <c r="Q7" s="168" t="s">
        <v>134</v>
      </c>
      <c r="R7" s="170" t="s">
        <v>135</v>
      </c>
      <c r="S7" s="169" t="s">
        <v>129</v>
      </c>
      <c r="T7" s="169" t="s">
        <v>130</v>
      </c>
      <c r="U7" s="169" t="s">
        <v>63</v>
      </c>
      <c r="V7" s="169" t="s">
        <v>131</v>
      </c>
      <c r="W7" s="169" t="s">
        <v>132</v>
      </c>
      <c r="X7" s="169" t="s">
        <v>133</v>
      </c>
      <c r="Y7" s="168" t="s">
        <v>134</v>
      </c>
      <c r="Z7" s="170" t="s">
        <v>135</v>
      </c>
      <c r="AA7" s="169" t="s">
        <v>129</v>
      </c>
      <c r="AB7" s="169" t="s">
        <v>130</v>
      </c>
      <c r="AC7" s="169" t="s">
        <v>63</v>
      </c>
      <c r="AD7" s="169" t="s">
        <v>131</v>
      </c>
      <c r="AE7" s="169" t="s">
        <v>132</v>
      </c>
      <c r="AF7" s="169" t="s">
        <v>133</v>
      </c>
      <c r="AG7" s="168" t="s">
        <v>134</v>
      </c>
      <c r="AH7" s="170" t="s">
        <v>135</v>
      </c>
      <c r="AI7" s="169" t="s">
        <v>129</v>
      </c>
      <c r="AJ7" s="169" t="s">
        <v>130</v>
      </c>
      <c r="AK7" s="169" t="s">
        <v>63</v>
      </c>
      <c r="AL7" s="169" t="s">
        <v>131</v>
      </c>
      <c r="AM7" s="169" t="s">
        <v>132</v>
      </c>
      <c r="AN7" s="169" t="s">
        <v>133</v>
      </c>
      <c r="AO7" s="168" t="s">
        <v>134</v>
      </c>
      <c r="AP7" s="167" t="s">
        <v>135</v>
      </c>
      <c r="AQ7" s="242" t="s">
        <v>136</v>
      </c>
      <c r="AR7" s="243"/>
      <c r="AS7" s="243"/>
      <c r="AT7" s="243"/>
      <c r="AU7" s="243"/>
      <c r="AV7" s="244"/>
      <c r="AW7" s="168" t="s">
        <v>134</v>
      </c>
      <c r="AX7" s="167" t="s">
        <v>135</v>
      </c>
      <c r="AY7" s="242" t="s">
        <v>136</v>
      </c>
      <c r="AZ7" s="243"/>
      <c r="BA7" s="243"/>
      <c r="BB7" s="243"/>
      <c r="BC7" s="243"/>
      <c r="BD7" s="244"/>
      <c r="BE7" s="168" t="s">
        <v>134</v>
      </c>
      <c r="BF7" s="167" t="s">
        <v>135</v>
      </c>
      <c r="BG7" s="166"/>
      <c r="BI7" s="165" t="s">
        <v>137</v>
      </c>
      <c r="BJ7" s="164">
        <f ca="1">TODAY()</f>
        <v>46267</v>
      </c>
      <c r="BK7" s="163"/>
    </row>
    <row r="8" spans="2:69" ht="8.1" customHeight="1" x14ac:dyDescent="0.25">
      <c r="B8" s="161"/>
      <c r="C8" s="154"/>
      <c r="D8" s="153"/>
      <c r="E8" s="153"/>
      <c r="F8" s="153"/>
      <c r="G8" s="153"/>
      <c r="H8" s="159"/>
      <c r="I8" s="152"/>
      <c r="J8" s="151"/>
      <c r="L8" s="153"/>
      <c r="M8" s="153"/>
      <c r="N8" s="153"/>
      <c r="O8" s="153"/>
      <c r="P8" s="153"/>
      <c r="Q8" s="152"/>
      <c r="R8" s="151"/>
      <c r="T8" s="153"/>
      <c r="U8" s="153"/>
      <c r="V8" s="153"/>
      <c r="W8" s="153"/>
      <c r="X8" s="153"/>
      <c r="Y8" s="152"/>
      <c r="Z8" s="151"/>
      <c r="AB8" s="153"/>
      <c r="AC8" s="153"/>
      <c r="AD8" s="153"/>
      <c r="AE8" s="153"/>
      <c r="AF8" s="153"/>
      <c r="AG8" s="152"/>
      <c r="AH8" s="151"/>
      <c r="AI8" s="159"/>
      <c r="AJ8" s="153"/>
      <c r="AK8" s="153"/>
      <c r="AL8" s="153"/>
      <c r="AM8" s="153"/>
      <c r="AN8" s="153"/>
      <c r="AO8" s="152"/>
      <c r="AP8" s="151"/>
      <c r="AQ8" s="148"/>
      <c r="AR8" s="148"/>
      <c r="AS8" s="148"/>
      <c r="AT8" s="148"/>
      <c r="AU8" s="148"/>
      <c r="AV8" s="153"/>
      <c r="AW8" s="152"/>
      <c r="AX8" s="151"/>
      <c r="AY8" s="148"/>
      <c r="AZ8" s="148"/>
      <c r="BA8" s="148"/>
      <c r="BB8" s="148"/>
      <c r="BC8" s="148"/>
      <c r="BD8" s="153"/>
      <c r="BE8" s="152"/>
      <c r="BF8" s="151"/>
      <c r="BG8" s="160"/>
      <c r="BH8" s="198"/>
      <c r="BI8" s="155"/>
      <c r="BJ8" s="155"/>
      <c r="BK8" s="199"/>
      <c r="BN8" s="258"/>
      <c r="BO8" s="259"/>
      <c r="BP8" s="259"/>
      <c r="BQ8" s="260"/>
    </row>
    <row r="9" spans="2:69" ht="8.1" customHeight="1" x14ac:dyDescent="0.25">
      <c r="B9" s="234" t="s">
        <v>138</v>
      </c>
      <c r="C9" s="154"/>
      <c r="D9" s="153"/>
      <c r="E9" s="153"/>
      <c r="F9" s="153"/>
      <c r="G9" s="153"/>
      <c r="H9" s="159"/>
      <c r="I9" s="152"/>
      <c r="J9" s="151"/>
      <c r="L9" s="153"/>
      <c r="M9" s="153"/>
      <c r="N9" s="153"/>
      <c r="O9" s="153"/>
      <c r="P9" s="153"/>
      <c r="Q9" s="152"/>
      <c r="R9" s="151"/>
      <c r="T9" s="153"/>
      <c r="U9" s="153"/>
      <c r="V9" s="153"/>
      <c r="W9" s="153"/>
      <c r="X9" s="153"/>
      <c r="Y9" s="152"/>
      <c r="Z9" s="151"/>
      <c r="AB9" s="153"/>
      <c r="AC9" s="153"/>
      <c r="AD9" s="153"/>
      <c r="AE9" s="153"/>
      <c r="AF9" s="153"/>
      <c r="AG9" s="152"/>
      <c r="AH9" s="151"/>
      <c r="AI9" s="159"/>
      <c r="AJ9" s="153"/>
      <c r="AK9" s="153"/>
      <c r="AL9" s="153"/>
      <c r="AM9" s="153"/>
      <c r="AN9" s="153"/>
      <c r="AO9" s="152"/>
      <c r="AP9" s="158"/>
      <c r="AQ9" s="153"/>
      <c r="AR9" s="153"/>
      <c r="AS9" s="153"/>
      <c r="AT9" s="153"/>
      <c r="AU9" s="153"/>
      <c r="AW9" s="152"/>
      <c r="AX9" s="158"/>
      <c r="AY9" s="153"/>
      <c r="AZ9" s="153"/>
      <c r="BA9" s="153"/>
      <c r="BB9" s="153"/>
      <c r="BC9" s="153"/>
      <c r="BE9" s="152"/>
      <c r="BF9" s="158"/>
      <c r="BG9" s="234" t="s">
        <v>138</v>
      </c>
      <c r="BH9" s="198"/>
      <c r="BI9" s="203" t="s">
        <v>72</v>
      </c>
      <c r="BJ9" s="155"/>
      <c r="BK9" s="199"/>
      <c r="BN9" s="258"/>
      <c r="BO9" s="259"/>
      <c r="BP9" s="259"/>
      <c r="BQ9" s="260"/>
    </row>
    <row r="10" spans="2:69" ht="8.1" customHeight="1" x14ac:dyDescent="0.25">
      <c r="B10" s="235"/>
      <c r="C10" s="150"/>
      <c r="D10" s="148"/>
      <c r="E10" s="148"/>
      <c r="F10" s="148"/>
      <c r="G10" s="148"/>
      <c r="H10" s="195"/>
      <c r="I10" s="147"/>
      <c r="J10" s="146"/>
      <c r="K10" s="149"/>
      <c r="L10" s="148"/>
      <c r="M10" s="148"/>
      <c r="N10" s="148"/>
      <c r="O10" s="148"/>
      <c r="P10" s="148"/>
      <c r="Q10" s="147"/>
      <c r="R10" s="146"/>
      <c r="S10" s="149"/>
      <c r="T10" s="148"/>
      <c r="U10" s="148"/>
      <c r="V10" s="148"/>
      <c r="W10" s="148"/>
      <c r="X10" s="148"/>
      <c r="Y10" s="147"/>
      <c r="Z10" s="146"/>
      <c r="AA10" s="149"/>
      <c r="AB10" s="148"/>
      <c r="AC10" s="148"/>
      <c r="AD10" s="148"/>
      <c r="AE10" s="148"/>
      <c r="AF10" s="148"/>
      <c r="AG10" s="147"/>
      <c r="AH10" s="146"/>
      <c r="AI10" s="149"/>
      <c r="AJ10" s="148"/>
      <c r="AK10" s="148"/>
      <c r="AL10" s="148"/>
      <c r="AM10" s="148"/>
      <c r="AN10" s="148"/>
      <c r="AO10" s="147"/>
      <c r="AP10" s="146"/>
      <c r="AQ10" s="148"/>
      <c r="AR10" s="148"/>
      <c r="AS10" s="148"/>
      <c r="AT10" s="148"/>
      <c r="AU10" s="148"/>
      <c r="AV10" s="148"/>
      <c r="AW10" s="147"/>
      <c r="AX10" s="146"/>
      <c r="AY10" s="148"/>
      <c r="AZ10" s="148"/>
      <c r="BA10" s="148"/>
      <c r="BB10" s="148"/>
      <c r="BC10" s="148"/>
      <c r="BD10" s="148"/>
      <c r="BE10" s="147"/>
      <c r="BF10" s="146"/>
      <c r="BG10" s="235"/>
      <c r="BH10" s="198"/>
      <c r="BI10" s="204" t="s">
        <v>139</v>
      </c>
      <c r="BJ10" s="155"/>
      <c r="BK10" s="199"/>
      <c r="BM10" s="155"/>
      <c r="BN10" s="258"/>
      <c r="BO10" s="259"/>
      <c r="BP10" s="259"/>
      <c r="BQ10" s="260"/>
    </row>
    <row r="11" spans="2:69" ht="8.1" customHeight="1" x14ac:dyDescent="0.25">
      <c r="B11" s="234"/>
      <c r="C11" s="154"/>
      <c r="D11" s="153"/>
      <c r="E11" s="153"/>
      <c r="F11" s="153"/>
      <c r="G11" s="153"/>
      <c r="H11" s="159"/>
      <c r="I11" s="152"/>
      <c r="J11" s="151"/>
      <c r="L11" s="153"/>
      <c r="M11" s="153"/>
      <c r="N11" s="153"/>
      <c r="O11" s="153"/>
      <c r="P11" s="153"/>
      <c r="Q11" s="152"/>
      <c r="R11" s="151"/>
      <c r="T11" s="153"/>
      <c r="U11" s="153"/>
      <c r="V11" s="153"/>
      <c r="W11" s="153"/>
      <c r="X11" s="153"/>
      <c r="Y11" s="152"/>
      <c r="Z11" s="151"/>
      <c r="AB11" s="153"/>
      <c r="AC11" s="153"/>
      <c r="AD11" s="153"/>
      <c r="AE11" s="153"/>
      <c r="AF11" s="153"/>
      <c r="AG11" s="152"/>
      <c r="AH11" s="151"/>
      <c r="AJ11" s="153"/>
      <c r="AK11" s="153"/>
      <c r="AL11" s="153"/>
      <c r="AM11" s="153"/>
      <c r="AN11" s="153"/>
      <c r="AO11" s="152"/>
      <c r="AP11" s="151"/>
      <c r="AQ11" s="153"/>
      <c r="AR11" s="153"/>
      <c r="AS11" s="153"/>
      <c r="AT11" s="153"/>
      <c r="AU11" s="153"/>
      <c r="AV11" s="153"/>
      <c r="AW11" s="152"/>
      <c r="AX11" s="151"/>
      <c r="AY11" s="153"/>
      <c r="AZ11" s="153"/>
      <c r="BA11" s="153"/>
      <c r="BB11" s="153"/>
      <c r="BC11" s="153"/>
      <c r="BD11" s="153"/>
      <c r="BE11" s="152"/>
      <c r="BF11" s="151"/>
      <c r="BG11" s="234"/>
      <c r="BH11" s="198"/>
      <c r="BI11" s="204" t="s">
        <v>140</v>
      </c>
      <c r="BJ11" s="155"/>
      <c r="BK11" s="199"/>
      <c r="BM11" s="155"/>
      <c r="BN11" s="258"/>
      <c r="BO11" s="259"/>
      <c r="BP11" s="259"/>
      <c r="BQ11" s="260"/>
    </row>
    <row r="12" spans="2:69" ht="8.1" customHeight="1" x14ac:dyDescent="0.25">
      <c r="B12" s="235"/>
      <c r="C12" s="150"/>
      <c r="D12" s="148"/>
      <c r="E12" s="148"/>
      <c r="F12" s="148"/>
      <c r="G12" s="148"/>
      <c r="H12" s="195"/>
      <c r="I12" s="147"/>
      <c r="J12" s="146"/>
      <c r="K12" s="149"/>
      <c r="L12" s="148"/>
      <c r="M12" s="148"/>
      <c r="N12" s="148"/>
      <c r="O12" s="148"/>
      <c r="P12" s="148"/>
      <c r="Q12" s="147"/>
      <c r="R12" s="146"/>
      <c r="S12" s="149"/>
      <c r="T12" s="148"/>
      <c r="U12" s="148"/>
      <c r="V12" s="148"/>
      <c r="W12" s="148"/>
      <c r="X12" s="148"/>
      <c r="Y12" s="147"/>
      <c r="Z12" s="146"/>
      <c r="AA12" s="149"/>
      <c r="AB12" s="148"/>
      <c r="AC12" s="148"/>
      <c r="AD12" s="148"/>
      <c r="AE12" s="148"/>
      <c r="AF12" s="148"/>
      <c r="AG12" s="147"/>
      <c r="AH12" s="146"/>
      <c r="AI12" s="149"/>
      <c r="AJ12" s="148"/>
      <c r="AK12" s="148"/>
      <c r="AL12" s="148"/>
      <c r="AM12" s="148"/>
      <c r="AN12" s="148"/>
      <c r="AO12" s="147"/>
      <c r="AP12" s="146"/>
      <c r="AQ12" s="148"/>
      <c r="AR12" s="148"/>
      <c r="AS12" s="148"/>
      <c r="AT12" s="148"/>
      <c r="AU12" s="148"/>
      <c r="AV12" s="148"/>
      <c r="AW12" s="147"/>
      <c r="AX12" s="146"/>
      <c r="AY12" s="148"/>
      <c r="AZ12" s="148"/>
      <c r="BA12" s="148"/>
      <c r="BB12" s="148"/>
      <c r="BC12" s="148"/>
      <c r="BD12" s="148"/>
      <c r="BE12" s="147"/>
      <c r="BF12" s="146"/>
      <c r="BG12" s="235"/>
      <c r="BH12" s="198"/>
      <c r="BI12" s="204" t="s">
        <v>141</v>
      </c>
      <c r="BJ12" s="155"/>
      <c r="BK12" s="199"/>
      <c r="BM12" s="155"/>
      <c r="BN12" s="258"/>
      <c r="BO12" s="259"/>
      <c r="BP12" s="259"/>
      <c r="BQ12" s="260"/>
    </row>
    <row r="13" spans="2:69" ht="8.1" customHeight="1" x14ac:dyDescent="0.25">
      <c r="B13" s="234" t="s">
        <v>142</v>
      </c>
      <c r="C13" s="154"/>
      <c r="D13" s="153"/>
      <c r="E13" s="153"/>
      <c r="F13" s="153"/>
      <c r="G13" s="153"/>
      <c r="H13" s="159"/>
      <c r="I13" s="152"/>
      <c r="J13" s="151"/>
      <c r="L13" s="153"/>
      <c r="M13" s="153"/>
      <c r="N13" s="153"/>
      <c r="O13" s="153"/>
      <c r="P13" s="153"/>
      <c r="Q13" s="152"/>
      <c r="R13" s="151"/>
      <c r="T13" s="153"/>
      <c r="U13" s="153"/>
      <c r="V13" s="153"/>
      <c r="W13" s="153"/>
      <c r="X13" s="153"/>
      <c r="Y13" s="152"/>
      <c r="Z13" s="151"/>
      <c r="AB13" s="153"/>
      <c r="AC13" s="153"/>
      <c r="AD13" s="153"/>
      <c r="AE13" s="153"/>
      <c r="AF13" s="153"/>
      <c r="AG13" s="152"/>
      <c r="AH13" s="151"/>
      <c r="AJ13" s="153"/>
      <c r="AK13" s="153"/>
      <c r="AL13" s="153"/>
      <c r="AM13" s="153"/>
      <c r="AN13" s="153"/>
      <c r="AO13" s="152"/>
      <c r="AP13" s="151"/>
      <c r="AQ13" s="153"/>
      <c r="AR13" s="153"/>
      <c r="AS13" s="153"/>
      <c r="AT13" s="153"/>
      <c r="AU13" s="153"/>
      <c r="AV13" s="153"/>
      <c r="AW13" s="152"/>
      <c r="AX13" s="151"/>
      <c r="AY13" s="153"/>
      <c r="AZ13" s="153"/>
      <c r="BA13" s="153"/>
      <c r="BB13" s="153"/>
      <c r="BC13" s="153"/>
      <c r="BD13" s="153"/>
      <c r="BE13" s="152"/>
      <c r="BF13" s="151"/>
      <c r="BG13" s="234" t="s">
        <v>142</v>
      </c>
      <c r="BH13" s="198"/>
      <c r="BI13" s="204" t="s">
        <v>143</v>
      </c>
      <c r="BJ13" s="155"/>
      <c r="BK13" s="199"/>
      <c r="BM13" s="155"/>
      <c r="BN13" s="258"/>
      <c r="BO13" s="259"/>
      <c r="BP13" s="259"/>
      <c r="BQ13" s="260"/>
    </row>
    <row r="14" spans="2:69" ht="8.1" customHeight="1" x14ac:dyDescent="0.25">
      <c r="B14" s="235"/>
      <c r="C14" s="150"/>
      <c r="D14" s="148"/>
      <c r="E14" s="148"/>
      <c r="F14" s="148"/>
      <c r="G14" s="148"/>
      <c r="H14" s="195"/>
      <c r="I14" s="147"/>
      <c r="J14" s="146"/>
      <c r="K14" s="149"/>
      <c r="L14" s="148"/>
      <c r="M14" s="148"/>
      <c r="N14" s="148"/>
      <c r="O14" s="148"/>
      <c r="P14" s="148"/>
      <c r="Q14" s="147"/>
      <c r="R14" s="146"/>
      <c r="S14" s="149"/>
      <c r="T14" s="148"/>
      <c r="U14" s="148"/>
      <c r="V14" s="148"/>
      <c r="W14" s="148"/>
      <c r="X14" s="148"/>
      <c r="Y14" s="147"/>
      <c r="Z14" s="146"/>
      <c r="AA14" s="149"/>
      <c r="AB14" s="148"/>
      <c r="AC14" s="148"/>
      <c r="AD14" s="148"/>
      <c r="AE14" s="148"/>
      <c r="AF14" s="148"/>
      <c r="AG14" s="147"/>
      <c r="AH14" s="146"/>
      <c r="AI14" s="149"/>
      <c r="AJ14" s="148"/>
      <c r="AK14" s="148"/>
      <c r="AL14" s="148"/>
      <c r="AM14" s="148"/>
      <c r="AN14" s="148"/>
      <c r="AO14" s="147"/>
      <c r="AP14" s="146"/>
      <c r="AQ14" s="148"/>
      <c r="AR14" s="148"/>
      <c r="AS14" s="148"/>
      <c r="AT14" s="148"/>
      <c r="AU14" s="148"/>
      <c r="AV14" s="148"/>
      <c r="AW14" s="147"/>
      <c r="AX14" s="146"/>
      <c r="AY14" s="148"/>
      <c r="AZ14" s="148"/>
      <c r="BA14" s="148"/>
      <c r="BB14" s="148"/>
      <c r="BC14" s="148"/>
      <c r="BD14" s="148"/>
      <c r="BE14" s="147"/>
      <c r="BF14" s="146"/>
      <c r="BG14" s="235"/>
      <c r="BH14" s="198"/>
      <c r="BI14" s="203"/>
      <c r="BJ14" s="155"/>
      <c r="BK14" s="199"/>
      <c r="BM14" s="155"/>
      <c r="BN14" s="258"/>
      <c r="BO14" s="259"/>
      <c r="BP14" s="259"/>
      <c r="BQ14" s="260"/>
    </row>
    <row r="15" spans="2:69" ht="8.1" customHeight="1" x14ac:dyDescent="0.25">
      <c r="B15" s="234"/>
      <c r="C15" s="154"/>
      <c r="D15" s="153"/>
      <c r="E15" s="153"/>
      <c r="F15" s="153"/>
      <c r="G15" s="153"/>
      <c r="H15" s="159"/>
      <c r="I15" s="152"/>
      <c r="J15" s="151"/>
      <c r="L15" s="153"/>
      <c r="M15" s="153"/>
      <c r="N15" s="153"/>
      <c r="O15" s="153"/>
      <c r="P15" s="153"/>
      <c r="Q15" s="152"/>
      <c r="R15" s="151"/>
      <c r="T15" s="153"/>
      <c r="U15" s="153"/>
      <c r="V15" s="153"/>
      <c r="W15" s="153"/>
      <c r="X15" s="153"/>
      <c r="Y15" s="152"/>
      <c r="Z15" s="151"/>
      <c r="AB15" s="153"/>
      <c r="AC15" s="153"/>
      <c r="AD15" s="153"/>
      <c r="AE15" s="153"/>
      <c r="AF15" s="153"/>
      <c r="AG15" s="152"/>
      <c r="AH15" s="151"/>
      <c r="AJ15" s="153"/>
      <c r="AK15" s="153"/>
      <c r="AL15" s="153"/>
      <c r="AM15" s="153"/>
      <c r="AN15" s="153"/>
      <c r="AO15" s="152"/>
      <c r="AP15" s="151"/>
      <c r="AQ15" s="153"/>
      <c r="AR15" s="153"/>
      <c r="AS15" s="153"/>
      <c r="AT15" s="153"/>
      <c r="AU15" s="153"/>
      <c r="AV15" s="153"/>
      <c r="AW15" s="152"/>
      <c r="AX15" s="151"/>
      <c r="AY15" s="153"/>
      <c r="AZ15" s="153"/>
      <c r="BA15" s="153"/>
      <c r="BB15" s="153"/>
      <c r="BC15" s="153"/>
      <c r="BD15" s="153"/>
      <c r="BE15" s="152"/>
      <c r="BF15" s="151"/>
      <c r="BG15" s="234"/>
      <c r="BH15" s="198"/>
      <c r="BI15" s="203"/>
      <c r="BJ15" s="155"/>
      <c r="BK15" s="199"/>
      <c r="BM15" s="155"/>
      <c r="BN15" s="258"/>
      <c r="BO15" s="259"/>
      <c r="BP15" s="259"/>
      <c r="BQ15" s="260"/>
    </row>
    <row r="16" spans="2:69" ht="8.1" customHeight="1" x14ac:dyDescent="0.25">
      <c r="B16" s="235"/>
      <c r="C16" s="150"/>
      <c r="D16" s="148"/>
      <c r="E16" s="148"/>
      <c r="F16" s="148"/>
      <c r="G16" s="148"/>
      <c r="H16" s="195"/>
      <c r="I16" s="147"/>
      <c r="J16" s="146"/>
      <c r="K16" s="149"/>
      <c r="L16" s="148"/>
      <c r="M16" s="148"/>
      <c r="N16" s="148"/>
      <c r="O16" s="148"/>
      <c r="P16" s="148"/>
      <c r="Q16" s="147"/>
      <c r="R16" s="146"/>
      <c r="S16" s="149"/>
      <c r="T16" s="148"/>
      <c r="U16" s="148"/>
      <c r="V16" s="148"/>
      <c r="W16" s="148"/>
      <c r="X16" s="148"/>
      <c r="Y16" s="147"/>
      <c r="Z16" s="146"/>
      <c r="AA16" s="149"/>
      <c r="AB16" s="148"/>
      <c r="AC16" s="148"/>
      <c r="AD16" s="148"/>
      <c r="AE16" s="148"/>
      <c r="AF16" s="148"/>
      <c r="AG16" s="147"/>
      <c r="AH16" s="146"/>
      <c r="AI16" s="149"/>
      <c r="AJ16" s="148"/>
      <c r="AK16" s="148"/>
      <c r="AL16" s="148"/>
      <c r="AM16" s="148"/>
      <c r="AN16" s="148"/>
      <c r="AO16" s="147"/>
      <c r="AP16" s="146"/>
      <c r="AQ16" s="148"/>
      <c r="AR16" s="148"/>
      <c r="AS16" s="148"/>
      <c r="AT16" s="148"/>
      <c r="AU16" s="148"/>
      <c r="AV16" s="148"/>
      <c r="AW16" s="147"/>
      <c r="AX16" s="146"/>
      <c r="AY16" s="148"/>
      <c r="AZ16" s="148"/>
      <c r="BA16" s="148"/>
      <c r="BB16" s="148"/>
      <c r="BC16" s="148"/>
      <c r="BD16" s="148"/>
      <c r="BE16" s="147"/>
      <c r="BF16" s="146"/>
      <c r="BG16" s="235"/>
      <c r="BH16" s="198"/>
      <c r="BI16" s="203" t="s">
        <v>144</v>
      </c>
      <c r="BJ16" s="155"/>
      <c r="BK16" s="199"/>
      <c r="BM16" s="155"/>
      <c r="BN16" s="258"/>
      <c r="BO16" s="259"/>
      <c r="BP16" s="259"/>
      <c r="BQ16" s="260"/>
    </row>
    <row r="17" spans="2:69" ht="8.1" customHeight="1" x14ac:dyDescent="0.25">
      <c r="B17" s="234" t="s">
        <v>145</v>
      </c>
      <c r="C17" s="154"/>
      <c r="D17" s="153"/>
      <c r="E17" s="153"/>
      <c r="F17" s="153"/>
      <c r="G17" s="153"/>
      <c r="H17" s="159"/>
      <c r="I17" s="152"/>
      <c r="J17" s="151"/>
      <c r="L17" s="153"/>
      <c r="M17" s="153"/>
      <c r="N17" s="153"/>
      <c r="O17" s="153"/>
      <c r="P17" s="153"/>
      <c r="Q17" s="152"/>
      <c r="R17" s="151"/>
      <c r="T17" s="153"/>
      <c r="U17" s="153"/>
      <c r="V17" s="153"/>
      <c r="W17" s="153"/>
      <c r="X17" s="153"/>
      <c r="Y17" s="152"/>
      <c r="Z17" s="151"/>
      <c r="AB17" s="153"/>
      <c r="AC17" s="153"/>
      <c r="AD17" s="153"/>
      <c r="AE17" s="153"/>
      <c r="AF17" s="153"/>
      <c r="AG17" s="152"/>
      <c r="AH17" s="151"/>
      <c r="AJ17" s="153"/>
      <c r="AK17" s="153"/>
      <c r="AL17" s="153"/>
      <c r="AM17" s="153"/>
      <c r="AN17" s="153"/>
      <c r="AO17" s="152"/>
      <c r="AP17" s="151"/>
      <c r="AQ17" s="153"/>
      <c r="AR17" s="153"/>
      <c r="AS17" s="153"/>
      <c r="AT17" s="153"/>
      <c r="AU17" s="153"/>
      <c r="AV17" s="153"/>
      <c r="AW17" s="152"/>
      <c r="AX17" s="151"/>
      <c r="AY17" s="153"/>
      <c r="AZ17" s="153"/>
      <c r="BA17" s="153"/>
      <c r="BB17" s="153"/>
      <c r="BC17" s="153"/>
      <c r="BD17" s="153"/>
      <c r="BE17" s="152"/>
      <c r="BF17" s="151"/>
      <c r="BG17" s="234" t="s">
        <v>145</v>
      </c>
      <c r="BH17" s="198"/>
      <c r="BI17" s="204" t="str">
        <f>_xlfn.CONCAT("KP: ",Einstellungen!$P$34)</f>
        <v>KP: (noch nicht bekannt)</v>
      </c>
      <c r="BJ17" s="155"/>
      <c r="BK17" s="199"/>
      <c r="BM17" s="155"/>
      <c r="BN17" s="258"/>
      <c r="BO17" s="259"/>
      <c r="BP17" s="259"/>
      <c r="BQ17" s="260"/>
    </row>
    <row r="18" spans="2:69" ht="8.1" customHeight="1" x14ac:dyDescent="0.25">
      <c r="B18" s="235"/>
      <c r="C18" s="150"/>
      <c r="D18" s="148"/>
      <c r="E18" s="148"/>
      <c r="F18" s="148"/>
      <c r="G18" s="148"/>
      <c r="H18" s="195"/>
      <c r="I18" s="147"/>
      <c r="J18" s="146"/>
      <c r="K18" s="149"/>
      <c r="L18" s="148"/>
      <c r="M18" s="148"/>
      <c r="N18" s="148"/>
      <c r="O18" s="148"/>
      <c r="P18" s="148"/>
      <c r="Q18" s="147"/>
      <c r="R18" s="146"/>
      <c r="S18" s="149"/>
      <c r="T18" s="148"/>
      <c r="U18" s="148"/>
      <c r="V18" s="148"/>
      <c r="W18" s="148"/>
      <c r="X18" s="148"/>
      <c r="Y18" s="147"/>
      <c r="Z18" s="146"/>
      <c r="AA18" s="149"/>
      <c r="AB18" s="148"/>
      <c r="AC18" s="148"/>
      <c r="AD18" s="148"/>
      <c r="AE18" s="148"/>
      <c r="AF18" s="148"/>
      <c r="AG18" s="147"/>
      <c r="AH18" s="146"/>
      <c r="AI18" s="149"/>
      <c r="AJ18" s="148"/>
      <c r="AK18" s="148"/>
      <c r="AL18" s="148"/>
      <c r="AM18" s="148"/>
      <c r="AN18" s="148"/>
      <c r="AO18" s="147"/>
      <c r="AP18" s="146"/>
      <c r="AQ18" s="148"/>
      <c r="AR18" s="148"/>
      <c r="AS18" s="148"/>
      <c r="AT18" s="148"/>
      <c r="AU18" s="148"/>
      <c r="AV18" s="148"/>
      <c r="AW18" s="147"/>
      <c r="AX18" s="146"/>
      <c r="AY18" s="148"/>
      <c r="AZ18" s="148"/>
      <c r="BA18" s="148"/>
      <c r="BB18" s="148"/>
      <c r="BC18" s="148"/>
      <c r="BD18" s="148"/>
      <c r="BE18" s="147"/>
      <c r="BF18" s="146"/>
      <c r="BG18" s="235"/>
      <c r="BH18" s="198"/>
      <c r="BI18" s="204" t="str">
        <f>_xlfn.CONCAT("LVZ/MCC: ",Einstellungen!$R$34)</f>
        <v>LVZ/MCC: (noch nicht bekannt)</v>
      </c>
      <c r="BJ18" s="155"/>
      <c r="BK18" s="199"/>
      <c r="BM18" s="155"/>
      <c r="BN18" s="258"/>
      <c r="BO18" s="259"/>
      <c r="BP18" s="259"/>
      <c r="BQ18" s="260"/>
    </row>
    <row r="19" spans="2:69" ht="8.1" customHeight="1" x14ac:dyDescent="0.25">
      <c r="B19" s="234"/>
      <c r="C19" s="154"/>
      <c r="D19" s="153"/>
      <c r="E19" s="153"/>
      <c r="F19" s="153"/>
      <c r="G19" s="153"/>
      <c r="H19" s="159"/>
      <c r="I19" s="152"/>
      <c r="J19" s="151"/>
      <c r="L19" s="153"/>
      <c r="M19" s="153"/>
      <c r="N19" s="153"/>
      <c r="O19" s="153"/>
      <c r="P19" s="153"/>
      <c r="Q19" s="152"/>
      <c r="R19" s="151"/>
      <c r="T19" s="153"/>
      <c r="U19" s="153"/>
      <c r="V19" s="153"/>
      <c r="W19" s="153"/>
      <c r="X19" s="153"/>
      <c r="Y19" s="152"/>
      <c r="Z19" s="151"/>
      <c r="AB19" s="153"/>
      <c r="AC19" s="153"/>
      <c r="AD19" s="153"/>
      <c r="AE19" s="153"/>
      <c r="AF19" s="153"/>
      <c r="AG19" s="152"/>
      <c r="AH19" s="151"/>
      <c r="AJ19" s="153"/>
      <c r="AK19" s="153"/>
      <c r="AL19" s="153"/>
      <c r="AM19" s="153"/>
      <c r="AN19" s="153"/>
      <c r="AO19" s="152"/>
      <c r="AP19" s="151"/>
      <c r="AQ19" s="153"/>
      <c r="AR19" s="153"/>
      <c r="AS19" s="153"/>
      <c r="AT19" s="153"/>
      <c r="AU19" s="153"/>
      <c r="AV19" s="153"/>
      <c r="AW19" s="152"/>
      <c r="AX19" s="151"/>
      <c r="AY19" s="153"/>
      <c r="AZ19" s="153"/>
      <c r="BA19" s="153"/>
      <c r="BB19" s="153"/>
      <c r="BC19" s="153"/>
      <c r="BD19" s="153"/>
      <c r="BE19" s="152"/>
      <c r="BF19" s="151"/>
      <c r="BG19" s="234"/>
      <c r="BH19" s="198"/>
      <c r="BI19" s="204" t="str">
        <f>_xlfn.CONCAT("Tagesof: ",Einstellungen!$P$37)</f>
        <v>Tagesof: (noch nicht bekannt)</v>
      </c>
      <c r="BJ19" s="155"/>
      <c r="BK19" s="199"/>
      <c r="BM19" s="155"/>
      <c r="BN19" s="258"/>
      <c r="BO19" s="259"/>
      <c r="BP19" s="259"/>
      <c r="BQ19" s="260"/>
    </row>
    <row r="20" spans="2:69" ht="8.1" customHeight="1" x14ac:dyDescent="0.25">
      <c r="B20" s="235"/>
      <c r="C20" s="150"/>
      <c r="D20" s="148"/>
      <c r="E20" s="148"/>
      <c r="F20" s="148"/>
      <c r="G20" s="148"/>
      <c r="H20" s="195"/>
      <c r="I20" s="147"/>
      <c r="J20" s="146"/>
      <c r="K20" s="149"/>
      <c r="L20" s="148"/>
      <c r="M20" s="148"/>
      <c r="N20" s="148"/>
      <c r="O20" s="148"/>
      <c r="P20" s="148"/>
      <c r="Q20" s="147"/>
      <c r="R20" s="146"/>
      <c r="S20" s="149"/>
      <c r="T20" s="148"/>
      <c r="U20" s="148"/>
      <c r="V20" s="148"/>
      <c r="W20" s="148"/>
      <c r="X20" s="148"/>
      <c r="Y20" s="147"/>
      <c r="Z20" s="146"/>
      <c r="AA20" s="149"/>
      <c r="AB20" s="148"/>
      <c r="AC20" s="148"/>
      <c r="AD20" s="148"/>
      <c r="AE20" s="148"/>
      <c r="AF20" s="148"/>
      <c r="AG20" s="147"/>
      <c r="AH20" s="146"/>
      <c r="AI20" s="149"/>
      <c r="AJ20" s="148"/>
      <c r="AK20" s="148"/>
      <c r="AL20" s="148"/>
      <c r="AM20" s="148"/>
      <c r="AN20" s="148"/>
      <c r="AO20" s="147"/>
      <c r="AP20" s="146"/>
      <c r="AQ20" s="148"/>
      <c r="AR20" s="148"/>
      <c r="AS20" s="148"/>
      <c r="AT20" s="148"/>
      <c r="AU20" s="148"/>
      <c r="AV20" s="148"/>
      <c r="AW20" s="147"/>
      <c r="AX20" s="146"/>
      <c r="AY20" s="148"/>
      <c r="AZ20" s="148"/>
      <c r="BA20" s="148"/>
      <c r="BB20" s="148"/>
      <c r="BC20" s="148"/>
      <c r="BD20" s="148"/>
      <c r="BE20" s="147"/>
      <c r="BF20" s="146"/>
      <c r="BG20" s="235"/>
      <c r="BH20" s="198"/>
      <c r="BI20" s="204" t="str">
        <f>_xlfn.CONCAT("Wachtof: ",Einstellungen!$R$37)</f>
        <v>Wachtof: (noch nicht bekannt)</v>
      </c>
      <c r="BJ20" s="155"/>
      <c r="BK20" s="199"/>
      <c r="BM20" s="155"/>
      <c r="BN20" s="258"/>
      <c r="BO20" s="259"/>
      <c r="BP20" s="259"/>
      <c r="BQ20" s="260"/>
    </row>
    <row r="21" spans="2:69" ht="8.1" customHeight="1" x14ac:dyDescent="0.25">
      <c r="B21" s="234" t="s">
        <v>146</v>
      </c>
      <c r="C21" s="154"/>
      <c r="D21" s="153"/>
      <c r="E21" s="153"/>
      <c r="F21" s="153"/>
      <c r="G21" s="153"/>
      <c r="H21" s="159"/>
      <c r="I21" s="152"/>
      <c r="J21" s="151"/>
      <c r="L21" s="153"/>
      <c r="M21" s="153"/>
      <c r="N21" s="153"/>
      <c r="O21" s="153"/>
      <c r="P21" s="153"/>
      <c r="Q21" s="152"/>
      <c r="R21" s="151"/>
      <c r="T21" s="153"/>
      <c r="U21" s="153"/>
      <c r="V21" s="153"/>
      <c r="W21" s="153"/>
      <c r="X21" s="153"/>
      <c r="Y21" s="152"/>
      <c r="Z21" s="151"/>
      <c r="AB21" s="153"/>
      <c r="AC21" s="153"/>
      <c r="AD21" s="153"/>
      <c r="AE21" s="153"/>
      <c r="AF21" s="153"/>
      <c r="AG21" s="152"/>
      <c r="AH21" s="151"/>
      <c r="AJ21" s="153"/>
      <c r="AK21" s="153"/>
      <c r="AL21" s="153"/>
      <c r="AM21" s="153"/>
      <c r="AN21" s="153"/>
      <c r="AO21" s="152"/>
      <c r="AP21" s="151"/>
      <c r="AQ21" s="153"/>
      <c r="AR21" s="153"/>
      <c r="AS21" s="153"/>
      <c r="AT21" s="153"/>
      <c r="AU21" s="153"/>
      <c r="AV21" s="153"/>
      <c r="AW21" s="152"/>
      <c r="AX21" s="151"/>
      <c r="AY21" s="153"/>
      <c r="AZ21" s="153"/>
      <c r="BA21" s="153"/>
      <c r="BB21" s="153"/>
      <c r="BC21" s="153"/>
      <c r="BD21" s="153"/>
      <c r="BE21" s="152"/>
      <c r="BF21" s="151"/>
      <c r="BG21" s="234" t="s">
        <v>146</v>
      </c>
      <c r="BH21" s="198"/>
      <c r="BI21" s="203"/>
      <c r="BJ21" s="155"/>
      <c r="BK21" s="199"/>
      <c r="BM21" s="155"/>
      <c r="BN21" s="258"/>
      <c r="BO21" s="259"/>
      <c r="BP21" s="259"/>
      <c r="BQ21" s="260"/>
    </row>
    <row r="22" spans="2:69" ht="8.1" customHeight="1" x14ac:dyDescent="0.25">
      <c r="B22" s="235"/>
      <c r="C22" s="150"/>
      <c r="D22" s="148"/>
      <c r="E22" s="148"/>
      <c r="F22" s="148"/>
      <c r="G22" s="148"/>
      <c r="H22" s="195"/>
      <c r="I22" s="147"/>
      <c r="J22" s="146"/>
      <c r="K22" s="149"/>
      <c r="L22" s="148"/>
      <c r="M22" s="148"/>
      <c r="N22" s="148"/>
      <c r="O22" s="148"/>
      <c r="P22" s="148"/>
      <c r="Q22" s="147"/>
      <c r="R22" s="146"/>
      <c r="S22" s="149"/>
      <c r="T22" s="148"/>
      <c r="U22" s="148"/>
      <c r="V22" s="148"/>
      <c r="W22" s="148"/>
      <c r="X22" s="148"/>
      <c r="Y22" s="147"/>
      <c r="Z22" s="146"/>
      <c r="AA22" s="149"/>
      <c r="AB22" s="148"/>
      <c r="AC22" s="148"/>
      <c r="AD22" s="148"/>
      <c r="AE22" s="148"/>
      <c r="AF22" s="148"/>
      <c r="AG22" s="147"/>
      <c r="AH22" s="146"/>
      <c r="AI22" s="149"/>
      <c r="AJ22" s="148"/>
      <c r="AK22" s="148"/>
      <c r="AL22" s="148"/>
      <c r="AM22" s="148"/>
      <c r="AN22" s="148"/>
      <c r="AO22" s="147"/>
      <c r="AP22" s="146"/>
      <c r="AQ22" s="148"/>
      <c r="AR22" s="148"/>
      <c r="AS22" s="148"/>
      <c r="AT22" s="148"/>
      <c r="AU22" s="148"/>
      <c r="AV22" s="148"/>
      <c r="AW22" s="147"/>
      <c r="AX22" s="146"/>
      <c r="AY22" s="148"/>
      <c r="AZ22" s="148"/>
      <c r="BA22" s="148"/>
      <c r="BB22" s="148"/>
      <c r="BC22" s="148"/>
      <c r="BD22" s="148"/>
      <c r="BE22" s="147"/>
      <c r="BF22" s="146"/>
      <c r="BG22" s="235"/>
      <c r="BH22" s="198"/>
      <c r="BI22" s="203"/>
      <c r="BJ22" s="155"/>
      <c r="BK22" s="199"/>
      <c r="BM22" s="155"/>
      <c r="BN22" s="258"/>
      <c r="BO22" s="259"/>
      <c r="BP22" s="259"/>
      <c r="BQ22" s="260"/>
    </row>
    <row r="23" spans="2:69" ht="8.1" customHeight="1" x14ac:dyDescent="0.25">
      <c r="B23" s="234"/>
      <c r="C23" s="154"/>
      <c r="D23" s="153"/>
      <c r="E23" s="153"/>
      <c r="F23" s="153"/>
      <c r="G23" s="153"/>
      <c r="H23" s="159"/>
      <c r="I23" s="152"/>
      <c r="J23" s="151"/>
      <c r="L23" s="153"/>
      <c r="M23" s="153"/>
      <c r="N23" s="153"/>
      <c r="O23" s="153"/>
      <c r="P23" s="153"/>
      <c r="Q23" s="152"/>
      <c r="R23" s="151"/>
      <c r="T23" s="153"/>
      <c r="U23" s="153"/>
      <c r="V23" s="153"/>
      <c r="W23" s="153"/>
      <c r="X23" s="153"/>
      <c r="Y23" s="152"/>
      <c r="Z23" s="151"/>
      <c r="AB23" s="153"/>
      <c r="AC23" s="153"/>
      <c r="AD23" s="153"/>
      <c r="AE23" s="153"/>
      <c r="AF23" s="153"/>
      <c r="AG23" s="152"/>
      <c r="AH23" s="151"/>
      <c r="AJ23" s="153"/>
      <c r="AK23" s="153"/>
      <c r="AL23" s="153"/>
      <c r="AM23" s="153"/>
      <c r="AN23" s="153"/>
      <c r="AO23" s="152"/>
      <c r="AP23" s="151"/>
      <c r="AQ23" s="153"/>
      <c r="AR23" s="153"/>
      <c r="AS23" s="153"/>
      <c r="AT23" s="153"/>
      <c r="AU23" s="153"/>
      <c r="AV23" s="153"/>
      <c r="AW23" s="152"/>
      <c r="AX23" s="151"/>
      <c r="AY23" s="153"/>
      <c r="AZ23" s="153"/>
      <c r="BA23" s="153"/>
      <c r="BB23" s="153"/>
      <c r="BC23" s="153"/>
      <c r="BD23" s="153"/>
      <c r="BE23" s="152"/>
      <c r="BF23" s="151"/>
      <c r="BG23" s="234"/>
      <c r="BH23" s="198"/>
      <c r="BI23" s="203" t="s">
        <v>147</v>
      </c>
      <c r="BJ23" s="155"/>
      <c r="BK23" s="199"/>
      <c r="BM23" s="155"/>
      <c r="BN23" s="258"/>
      <c r="BO23" s="259"/>
      <c r="BP23" s="259"/>
      <c r="BQ23" s="260"/>
    </row>
    <row r="24" spans="2:69" ht="8.1" customHeight="1" x14ac:dyDescent="0.25">
      <c r="B24" s="235"/>
      <c r="C24" s="150"/>
      <c r="D24" s="148"/>
      <c r="E24" s="148"/>
      <c r="F24" s="148"/>
      <c r="G24" s="148"/>
      <c r="H24" s="195"/>
      <c r="I24" s="147"/>
      <c r="J24" s="146"/>
      <c r="K24" s="149"/>
      <c r="L24" s="148"/>
      <c r="M24" s="148"/>
      <c r="N24" s="148"/>
      <c r="O24" s="148"/>
      <c r="P24" s="148"/>
      <c r="Q24" s="147"/>
      <c r="R24" s="146"/>
      <c r="S24" s="149"/>
      <c r="T24" s="148"/>
      <c r="U24" s="148"/>
      <c r="V24" s="148"/>
      <c r="W24" s="148"/>
      <c r="X24" s="148"/>
      <c r="Y24" s="147"/>
      <c r="Z24" s="146"/>
      <c r="AA24" s="149"/>
      <c r="AB24" s="148"/>
      <c r="AC24" s="148"/>
      <c r="AD24" s="148"/>
      <c r="AE24" s="148"/>
      <c r="AF24" s="148"/>
      <c r="AG24" s="147"/>
      <c r="AH24" s="146"/>
      <c r="AI24" s="149"/>
      <c r="AJ24" s="148"/>
      <c r="AK24" s="148"/>
      <c r="AL24" s="148"/>
      <c r="AM24" s="148"/>
      <c r="AN24" s="148"/>
      <c r="AO24" s="147"/>
      <c r="AP24" s="146"/>
      <c r="AQ24" s="148"/>
      <c r="AR24" s="148"/>
      <c r="AS24" s="148"/>
      <c r="AT24" s="148"/>
      <c r="AU24" s="148"/>
      <c r="AV24" s="148"/>
      <c r="AW24" s="147"/>
      <c r="AX24" s="146"/>
      <c r="AY24" s="148"/>
      <c r="AZ24" s="148"/>
      <c r="BA24" s="148"/>
      <c r="BB24" s="148"/>
      <c r="BC24" s="148"/>
      <c r="BD24" s="148"/>
      <c r="BE24" s="147"/>
      <c r="BF24" s="146"/>
      <c r="BG24" s="235"/>
      <c r="BH24" s="198"/>
      <c r="BI24" s="236" t="s">
        <v>148</v>
      </c>
      <c r="BJ24" s="237"/>
      <c r="BK24" s="199"/>
      <c r="BM24" s="155"/>
      <c r="BN24" s="258"/>
      <c r="BO24" s="259"/>
      <c r="BP24" s="259"/>
      <c r="BQ24" s="260"/>
    </row>
    <row r="25" spans="2:69" ht="8.1" customHeight="1" x14ac:dyDescent="0.25">
      <c r="B25" s="234" t="s">
        <v>149</v>
      </c>
      <c r="C25" s="154"/>
      <c r="D25" s="153"/>
      <c r="E25" s="153"/>
      <c r="F25" s="153"/>
      <c r="G25" s="153"/>
      <c r="H25" s="159"/>
      <c r="I25" s="152"/>
      <c r="J25" s="151"/>
      <c r="L25" s="153"/>
      <c r="M25" s="153"/>
      <c r="N25" s="153"/>
      <c r="O25" s="153"/>
      <c r="P25" s="153"/>
      <c r="Q25" s="152"/>
      <c r="R25" s="151"/>
      <c r="T25" s="153"/>
      <c r="U25" s="153"/>
      <c r="V25" s="153"/>
      <c r="W25" s="153"/>
      <c r="X25" s="153"/>
      <c r="Y25" s="152"/>
      <c r="Z25" s="151"/>
      <c r="AB25" s="153"/>
      <c r="AC25" s="153"/>
      <c r="AD25" s="153"/>
      <c r="AE25" s="153"/>
      <c r="AF25" s="153"/>
      <c r="AG25" s="152"/>
      <c r="AH25" s="151"/>
      <c r="AJ25" s="153"/>
      <c r="AK25" s="153"/>
      <c r="AL25" s="153"/>
      <c r="AM25" s="153"/>
      <c r="AN25" s="153"/>
      <c r="AO25" s="152"/>
      <c r="AP25" s="151"/>
      <c r="AQ25" s="153"/>
      <c r="AR25" s="153"/>
      <c r="AS25" s="153"/>
      <c r="AT25" s="153"/>
      <c r="AU25" s="153"/>
      <c r="AV25" s="153"/>
      <c r="AW25" s="152"/>
      <c r="AX25" s="151"/>
      <c r="AY25" s="153"/>
      <c r="AZ25" s="153"/>
      <c r="BA25" s="153"/>
      <c r="BB25" s="153"/>
      <c r="BC25" s="153"/>
      <c r="BD25" s="153"/>
      <c r="BE25" s="152"/>
      <c r="BF25" s="151"/>
      <c r="BG25" s="234" t="s">
        <v>149</v>
      </c>
      <c r="BH25" s="198"/>
      <c r="BI25" s="237"/>
      <c r="BJ25" s="237"/>
      <c r="BK25" s="199"/>
      <c r="BM25" s="155"/>
      <c r="BN25" s="258"/>
      <c r="BO25" s="259"/>
      <c r="BP25" s="259"/>
      <c r="BQ25" s="260"/>
    </row>
    <row r="26" spans="2:69" ht="8.1" customHeight="1" x14ac:dyDescent="0.25">
      <c r="B26" s="235"/>
      <c r="C26" s="150"/>
      <c r="D26" s="148"/>
      <c r="E26" s="148"/>
      <c r="F26" s="148"/>
      <c r="G26" s="148"/>
      <c r="H26" s="195"/>
      <c r="I26" s="147"/>
      <c r="J26" s="146"/>
      <c r="K26" s="149"/>
      <c r="L26" s="148"/>
      <c r="M26" s="148"/>
      <c r="N26" s="148"/>
      <c r="O26" s="148"/>
      <c r="P26" s="148"/>
      <c r="Q26" s="147"/>
      <c r="R26" s="146"/>
      <c r="S26" s="149"/>
      <c r="T26" s="148"/>
      <c r="U26" s="148"/>
      <c r="V26" s="148"/>
      <c r="W26" s="148"/>
      <c r="X26" s="148"/>
      <c r="Y26" s="147"/>
      <c r="Z26" s="146"/>
      <c r="AA26" s="149"/>
      <c r="AB26" s="148"/>
      <c r="AC26" s="148"/>
      <c r="AD26" s="148"/>
      <c r="AE26" s="148"/>
      <c r="AF26" s="148"/>
      <c r="AG26" s="147"/>
      <c r="AH26" s="146"/>
      <c r="AI26" s="149"/>
      <c r="AJ26" s="148"/>
      <c r="AK26" s="148"/>
      <c r="AL26" s="148"/>
      <c r="AM26" s="148"/>
      <c r="AN26" s="148"/>
      <c r="AO26" s="147"/>
      <c r="AP26" s="146"/>
      <c r="AQ26" s="148"/>
      <c r="AR26" s="148"/>
      <c r="AS26" s="148"/>
      <c r="AT26" s="148"/>
      <c r="AU26" s="148"/>
      <c r="AV26" s="148"/>
      <c r="AW26" s="147"/>
      <c r="AX26" s="146"/>
      <c r="AY26" s="148"/>
      <c r="AZ26" s="148"/>
      <c r="BA26" s="148"/>
      <c r="BB26" s="148"/>
      <c r="BC26" s="148"/>
      <c r="BD26" s="148"/>
      <c r="BE26" s="147"/>
      <c r="BF26" s="146"/>
      <c r="BG26" s="235"/>
      <c r="BH26" s="198"/>
      <c r="BI26" s="237"/>
      <c r="BJ26" s="237"/>
      <c r="BK26" s="199"/>
      <c r="BM26" s="155"/>
      <c r="BN26" s="258"/>
      <c r="BO26" s="259"/>
      <c r="BP26" s="259"/>
      <c r="BQ26" s="260"/>
    </row>
    <row r="27" spans="2:69" ht="8.1" customHeight="1" x14ac:dyDescent="0.25">
      <c r="B27" s="234"/>
      <c r="C27" s="154"/>
      <c r="D27" s="153"/>
      <c r="E27" s="153"/>
      <c r="F27" s="153"/>
      <c r="G27" s="153"/>
      <c r="H27" s="159"/>
      <c r="I27" s="152"/>
      <c r="J27" s="151"/>
      <c r="L27" s="153"/>
      <c r="M27" s="153"/>
      <c r="N27" s="153"/>
      <c r="O27" s="153"/>
      <c r="P27" s="153"/>
      <c r="Q27" s="152"/>
      <c r="R27" s="151"/>
      <c r="T27" s="153"/>
      <c r="U27" s="153"/>
      <c r="V27" s="153"/>
      <c r="W27" s="153"/>
      <c r="X27" s="153"/>
      <c r="Y27" s="152"/>
      <c r="Z27" s="151"/>
      <c r="AB27" s="153"/>
      <c r="AC27" s="153"/>
      <c r="AD27" s="153"/>
      <c r="AE27" s="153"/>
      <c r="AF27" s="153"/>
      <c r="AG27" s="152"/>
      <c r="AH27" s="151"/>
      <c r="AJ27" s="153"/>
      <c r="AK27" s="153"/>
      <c r="AL27" s="153"/>
      <c r="AM27" s="153"/>
      <c r="AN27" s="153"/>
      <c r="AO27" s="152"/>
      <c r="AP27" s="151"/>
      <c r="AQ27" s="153"/>
      <c r="AR27" s="153"/>
      <c r="AS27" s="153"/>
      <c r="AT27" s="153"/>
      <c r="AU27" s="153"/>
      <c r="AV27" s="153"/>
      <c r="AW27" s="152"/>
      <c r="AX27" s="151"/>
      <c r="AY27" s="153"/>
      <c r="AZ27" s="153"/>
      <c r="BA27" s="153"/>
      <c r="BB27" s="153"/>
      <c r="BC27" s="153"/>
      <c r="BD27" s="153"/>
      <c r="BE27" s="152"/>
      <c r="BF27" s="151"/>
      <c r="BG27" s="234"/>
      <c r="BH27" s="198"/>
      <c r="BI27" s="237"/>
      <c r="BJ27" s="237"/>
      <c r="BK27" s="199"/>
      <c r="BM27" s="155"/>
      <c r="BN27" s="258"/>
      <c r="BO27" s="259"/>
      <c r="BP27" s="259"/>
      <c r="BQ27" s="260"/>
    </row>
    <row r="28" spans="2:69" ht="8.1" customHeight="1" x14ac:dyDescent="0.25">
      <c r="B28" s="235"/>
      <c r="C28" s="150"/>
      <c r="D28" s="148"/>
      <c r="E28" s="148"/>
      <c r="F28" s="148"/>
      <c r="G28" s="148"/>
      <c r="H28" s="195"/>
      <c r="I28" s="147"/>
      <c r="J28" s="146"/>
      <c r="K28" s="149"/>
      <c r="L28" s="148"/>
      <c r="M28" s="148"/>
      <c r="N28" s="148"/>
      <c r="O28" s="148"/>
      <c r="P28" s="148"/>
      <c r="Q28" s="147"/>
      <c r="R28" s="146"/>
      <c r="S28" s="149"/>
      <c r="T28" s="148"/>
      <c r="U28" s="148"/>
      <c r="V28" s="148"/>
      <c r="W28" s="148"/>
      <c r="X28" s="148"/>
      <c r="Y28" s="147"/>
      <c r="Z28" s="146"/>
      <c r="AA28" s="149"/>
      <c r="AB28" s="148"/>
      <c r="AC28" s="148"/>
      <c r="AD28" s="148"/>
      <c r="AE28" s="148"/>
      <c r="AF28" s="148"/>
      <c r="AG28" s="147"/>
      <c r="AH28" s="146"/>
      <c r="AI28" s="149"/>
      <c r="AJ28" s="148"/>
      <c r="AK28" s="148"/>
      <c r="AL28" s="148"/>
      <c r="AM28" s="148"/>
      <c r="AN28" s="148"/>
      <c r="AO28" s="147"/>
      <c r="AP28" s="146"/>
      <c r="AQ28" s="148"/>
      <c r="AR28" s="148"/>
      <c r="AS28" s="148"/>
      <c r="AT28" s="148"/>
      <c r="AU28" s="148"/>
      <c r="AV28" s="148"/>
      <c r="AW28" s="147"/>
      <c r="AX28" s="146"/>
      <c r="AY28" s="148"/>
      <c r="AZ28" s="148"/>
      <c r="BA28" s="148"/>
      <c r="BB28" s="148"/>
      <c r="BC28" s="148"/>
      <c r="BD28" s="148"/>
      <c r="BE28" s="147"/>
      <c r="BF28" s="146"/>
      <c r="BG28" s="235"/>
      <c r="BH28" s="198"/>
      <c r="BI28" s="237"/>
      <c r="BJ28" s="237"/>
      <c r="BK28" s="199"/>
      <c r="BM28" s="155"/>
      <c r="BN28" s="258"/>
      <c r="BO28" s="259"/>
      <c r="BP28" s="259"/>
      <c r="BQ28" s="260"/>
    </row>
    <row r="29" spans="2:69" ht="8.1" customHeight="1" x14ac:dyDescent="0.25">
      <c r="B29" s="234" t="s">
        <v>150</v>
      </c>
      <c r="C29" s="154"/>
      <c r="D29" s="153"/>
      <c r="E29" s="153"/>
      <c r="F29" s="153"/>
      <c r="G29" s="153"/>
      <c r="H29" s="159"/>
      <c r="I29" s="152"/>
      <c r="J29" s="151"/>
      <c r="L29" s="153"/>
      <c r="M29" s="153"/>
      <c r="N29" s="153"/>
      <c r="O29" s="153"/>
      <c r="P29" s="153"/>
      <c r="Q29" s="152"/>
      <c r="R29" s="151"/>
      <c r="T29" s="153"/>
      <c r="U29" s="153"/>
      <c r="V29" s="153"/>
      <c r="W29" s="153"/>
      <c r="X29" s="153"/>
      <c r="Y29" s="152"/>
      <c r="Z29" s="151"/>
      <c r="AB29" s="153"/>
      <c r="AC29" s="153"/>
      <c r="AD29" s="153"/>
      <c r="AE29" s="153"/>
      <c r="AF29" s="153"/>
      <c r="AG29" s="152"/>
      <c r="AH29" s="151"/>
      <c r="AJ29" s="153"/>
      <c r="AK29" s="153"/>
      <c r="AL29" s="153"/>
      <c r="AM29" s="153"/>
      <c r="AN29" s="153"/>
      <c r="AO29" s="152"/>
      <c r="AP29" s="151"/>
      <c r="AQ29" s="153"/>
      <c r="AR29" s="153"/>
      <c r="AS29" s="153"/>
      <c r="AT29" s="153"/>
      <c r="AU29" s="153"/>
      <c r="AV29" s="153"/>
      <c r="AW29" s="152"/>
      <c r="AX29" s="151"/>
      <c r="AY29" s="153"/>
      <c r="AZ29" s="153"/>
      <c r="BA29" s="153"/>
      <c r="BB29" s="153"/>
      <c r="BC29" s="153"/>
      <c r="BD29" s="153"/>
      <c r="BE29" s="152"/>
      <c r="BF29" s="151"/>
      <c r="BG29" s="234" t="s">
        <v>150</v>
      </c>
      <c r="BH29" s="198"/>
      <c r="BI29" s="237"/>
      <c r="BJ29" s="237"/>
      <c r="BK29" s="199"/>
      <c r="BM29" s="155"/>
      <c r="BN29" s="258"/>
      <c r="BO29" s="259"/>
      <c r="BP29" s="259"/>
      <c r="BQ29" s="260"/>
    </row>
    <row r="30" spans="2:69" ht="8.1" customHeight="1" x14ac:dyDescent="0.25">
      <c r="B30" s="235"/>
      <c r="C30" s="150"/>
      <c r="D30" s="148"/>
      <c r="E30" s="148"/>
      <c r="F30" s="148"/>
      <c r="G30" s="148"/>
      <c r="H30" s="195"/>
      <c r="I30" s="147"/>
      <c r="J30" s="146"/>
      <c r="K30" s="149"/>
      <c r="L30" s="148"/>
      <c r="M30" s="148"/>
      <c r="N30" s="148"/>
      <c r="O30" s="148"/>
      <c r="P30" s="148"/>
      <c r="Q30" s="147"/>
      <c r="R30" s="146"/>
      <c r="S30" s="149"/>
      <c r="T30" s="148"/>
      <c r="U30" s="148"/>
      <c r="V30" s="148"/>
      <c r="W30" s="148"/>
      <c r="X30" s="148"/>
      <c r="Y30" s="147"/>
      <c r="Z30" s="146"/>
      <c r="AA30" s="149"/>
      <c r="AB30" s="148"/>
      <c r="AC30" s="148"/>
      <c r="AD30" s="148"/>
      <c r="AE30" s="148"/>
      <c r="AF30" s="148"/>
      <c r="AG30" s="147"/>
      <c r="AH30" s="146"/>
      <c r="AI30" s="149"/>
      <c r="AJ30" s="148"/>
      <c r="AK30" s="148"/>
      <c r="AL30" s="148"/>
      <c r="AM30" s="148"/>
      <c r="AN30" s="148"/>
      <c r="AO30" s="147"/>
      <c r="AP30" s="146"/>
      <c r="AQ30" s="148"/>
      <c r="AR30" s="148"/>
      <c r="AS30" s="148"/>
      <c r="AT30" s="148"/>
      <c r="AU30" s="148"/>
      <c r="AV30" s="148"/>
      <c r="AW30" s="147"/>
      <c r="AX30" s="146"/>
      <c r="AY30" s="148"/>
      <c r="AZ30" s="148"/>
      <c r="BA30" s="148"/>
      <c r="BB30" s="148"/>
      <c r="BC30" s="148"/>
      <c r="BD30" s="148"/>
      <c r="BE30" s="147"/>
      <c r="BF30" s="146"/>
      <c r="BG30" s="235"/>
      <c r="BH30" s="198"/>
      <c r="BI30" s="237"/>
      <c r="BJ30" s="237"/>
      <c r="BK30" s="199"/>
      <c r="BM30" s="155"/>
      <c r="BN30" s="258"/>
      <c r="BO30" s="259"/>
      <c r="BP30" s="259"/>
      <c r="BQ30" s="260"/>
    </row>
    <row r="31" spans="2:69" ht="8.1" customHeight="1" x14ac:dyDescent="0.25">
      <c r="B31" s="234"/>
      <c r="C31" s="154"/>
      <c r="D31" s="153"/>
      <c r="E31" s="153"/>
      <c r="F31" s="153"/>
      <c r="G31" s="153"/>
      <c r="H31" s="159"/>
      <c r="I31" s="152"/>
      <c r="J31" s="151"/>
      <c r="L31" s="153"/>
      <c r="M31" s="153"/>
      <c r="N31" s="153"/>
      <c r="O31" s="153"/>
      <c r="P31" s="153"/>
      <c r="Q31" s="152"/>
      <c r="R31" s="151"/>
      <c r="T31" s="153"/>
      <c r="U31" s="153"/>
      <c r="V31" s="153"/>
      <c r="W31" s="153"/>
      <c r="X31" s="153"/>
      <c r="Y31" s="152"/>
      <c r="Z31" s="151"/>
      <c r="AB31" s="153"/>
      <c r="AC31" s="153"/>
      <c r="AD31" s="153"/>
      <c r="AE31" s="153"/>
      <c r="AF31" s="153"/>
      <c r="AG31" s="152"/>
      <c r="AH31" s="151"/>
      <c r="AJ31" s="153"/>
      <c r="AK31" s="153"/>
      <c r="AL31" s="153"/>
      <c r="AM31" s="153"/>
      <c r="AN31" s="153"/>
      <c r="AO31" s="152"/>
      <c r="AP31" s="151"/>
      <c r="AQ31" s="153"/>
      <c r="AR31" s="153"/>
      <c r="AS31" s="153"/>
      <c r="AT31" s="153"/>
      <c r="AU31" s="153"/>
      <c r="AV31" s="153"/>
      <c r="AW31" s="152"/>
      <c r="AX31" s="151"/>
      <c r="AY31" s="153"/>
      <c r="AZ31" s="153"/>
      <c r="BA31" s="153"/>
      <c r="BB31" s="153"/>
      <c r="BC31" s="153"/>
      <c r="BD31" s="153"/>
      <c r="BE31" s="152"/>
      <c r="BF31" s="151"/>
      <c r="BG31" s="234"/>
      <c r="BH31" s="198"/>
      <c r="BI31" s="237"/>
      <c r="BJ31" s="237"/>
      <c r="BK31" s="199"/>
      <c r="BM31" s="155"/>
      <c r="BN31" s="258"/>
      <c r="BO31" s="259"/>
      <c r="BP31" s="259"/>
      <c r="BQ31" s="260"/>
    </row>
    <row r="32" spans="2:69" ht="8.1" customHeight="1" x14ac:dyDescent="0.25">
      <c r="B32" s="235"/>
      <c r="C32" s="150"/>
      <c r="D32" s="148"/>
      <c r="E32" s="148"/>
      <c r="F32" s="148"/>
      <c r="G32" s="148"/>
      <c r="H32" s="195"/>
      <c r="I32" s="147"/>
      <c r="J32" s="146"/>
      <c r="K32" s="149"/>
      <c r="L32" s="148"/>
      <c r="M32" s="148"/>
      <c r="N32" s="148"/>
      <c r="O32" s="148"/>
      <c r="P32" s="148"/>
      <c r="Q32" s="147"/>
      <c r="R32" s="146"/>
      <c r="S32" s="149"/>
      <c r="T32" s="148"/>
      <c r="U32" s="148"/>
      <c r="V32" s="148"/>
      <c r="W32" s="148"/>
      <c r="X32" s="148"/>
      <c r="Y32" s="147"/>
      <c r="Z32" s="146"/>
      <c r="AA32" s="149"/>
      <c r="AB32" s="148"/>
      <c r="AC32" s="148"/>
      <c r="AD32" s="148"/>
      <c r="AE32" s="148"/>
      <c r="AF32" s="148"/>
      <c r="AG32" s="147"/>
      <c r="AH32" s="146"/>
      <c r="AI32" s="149"/>
      <c r="AJ32" s="148"/>
      <c r="AK32" s="148"/>
      <c r="AL32" s="148"/>
      <c r="AM32" s="148"/>
      <c r="AN32" s="148"/>
      <c r="AO32" s="147"/>
      <c r="AP32" s="146"/>
      <c r="AQ32" s="148"/>
      <c r="AR32" s="148"/>
      <c r="AS32" s="148"/>
      <c r="AT32" s="148"/>
      <c r="AU32" s="148"/>
      <c r="AV32" s="148"/>
      <c r="AW32" s="147"/>
      <c r="AX32" s="146"/>
      <c r="AY32" s="148"/>
      <c r="AZ32" s="148"/>
      <c r="BA32" s="148"/>
      <c r="BB32" s="148"/>
      <c r="BC32" s="148"/>
      <c r="BD32" s="148"/>
      <c r="BE32" s="147"/>
      <c r="BF32" s="146"/>
      <c r="BG32" s="235"/>
      <c r="BH32" s="198"/>
      <c r="BI32" s="237"/>
      <c r="BJ32" s="237"/>
      <c r="BK32" s="199"/>
      <c r="BM32" s="155"/>
      <c r="BN32" s="258"/>
      <c r="BO32" s="259"/>
      <c r="BP32" s="259"/>
      <c r="BQ32" s="260"/>
    </row>
    <row r="33" spans="2:69" ht="8.1" customHeight="1" x14ac:dyDescent="0.25">
      <c r="B33" s="234" t="s">
        <v>151</v>
      </c>
      <c r="C33" s="154"/>
      <c r="D33" s="153"/>
      <c r="E33" s="153"/>
      <c r="F33" s="153"/>
      <c r="G33" s="153"/>
      <c r="H33" s="159"/>
      <c r="I33" s="152"/>
      <c r="J33" s="151"/>
      <c r="L33" s="153"/>
      <c r="M33" s="153"/>
      <c r="N33" s="153"/>
      <c r="O33" s="153"/>
      <c r="P33" s="153"/>
      <c r="Q33" s="152"/>
      <c r="R33" s="151"/>
      <c r="T33" s="153"/>
      <c r="U33" s="153"/>
      <c r="V33" s="153"/>
      <c r="W33" s="153"/>
      <c r="X33" s="153"/>
      <c r="Y33" s="152"/>
      <c r="Z33" s="151"/>
      <c r="AB33" s="153"/>
      <c r="AC33" s="153"/>
      <c r="AD33" s="153"/>
      <c r="AE33" s="153"/>
      <c r="AF33" s="153"/>
      <c r="AG33" s="152"/>
      <c r="AH33" s="151"/>
      <c r="AJ33" s="153"/>
      <c r="AK33" s="153"/>
      <c r="AL33" s="153"/>
      <c r="AM33" s="153"/>
      <c r="AN33" s="153"/>
      <c r="AO33" s="152"/>
      <c r="AP33" s="151"/>
      <c r="AQ33" s="153"/>
      <c r="AR33" s="153"/>
      <c r="AS33" s="153"/>
      <c r="AT33" s="153"/>
      <c r="AU33" s="153"/>
      <c r="AV33" s="153"/>
      <c r="AW33" s="152"/>
      <c r="AX33" s="151"/>
      <c r="AY33" s="153"/>
      <c r="AZ33" s="153"/>
      <c r="BA33" s="153"/>
      <c r="BB33" s="153"/>
      <c r="BC33" s="153"/>
      <c r="BD33" s="153"/>
      <c r="BE33" s="152"/>
      <c r="BF33" s="151"/>
      <c r="BG33" s="234" t="s">
        <v>151</v>
      </c>
      <c r="BH33" s="198"/>
      <c r="BI33" s="237"/>
      <c r="BJ33" s="237"/>
      <c r="BK33" s="199"/>
      <c r="BM33" s="155"/>
      <c r="BN33" s="258"/>
      <c r="BO33" s="259"/>
      <c r="BP33" s="259"/>
      <c r="BQ33" s="260"/>
    </row>
    <row r="34" spans="2:69" ht="8.1" customHeight="1" x14ac:dyDescent="0.25">
      <c r="B34" s="235"/>
      <c r="C34" s="150"/>
      <c r="D34" s="148"/>
      <c r="E34" s="148"/>
      <c r="F34" s="148"/>
      <c r="G34" s="148"/>
      <c r="H34" s="195"/>
      <c r="I34" s="147"/>
      <c r="J34" s="146"/>
      <c r="K34" s="149"/>
      <c r="L34" s="148"/>
      <c r="M34" s="148"/>
      <c r="N34" s="148"/>
      <c r="O34" s="148"/>
      <c r="P34" s="148"/>
      <c r="Q34" s="147"/>
      <c r="R34" s="146"/>
      <c r="S34" s="149"/>
      <c r="T34" s="148"/>
      <c r="U34" s="148"/>
      <c r="V34" s="148"/>
      <c r="W34" s="148"/>
      <c r="X34" s="148"/>
      <c r="Y34" s="147"/>
      <c r="Z34" s="146"/>
      <c r="AA34" s="149"/>
      <c r="AB34" s="148"/>
      <c r="AC34" s="148"/>
      <c r="AD34" s="148"/>
      <c r="AE34" s="148"/>
      <c r="AF34" s="148"/>
      <c r="AG34" s="147"/>
      <c r="AH34" s="146"/>
      <c r="AI34" s="149"/>
      <c r="AJ34" s="148"/>
      <c r="AK34" s="148"/>
      <c r="AL34" s="148"/>
      <c r="AM34" s="148"/>
      <c r="AN34" s="148"/>
      <c r="AO34" s="147"/>
      <c r="AP34" s="146"/>
      <c r="AQ34" s="148"/>
      <c r="AR34" s="148"/>
      <c r="AS34" s="148"/>
      <c r="AT34" s="148"/>
      <c r="AU34" s="148"/>
      <c r="AV34" s="148"/>
      <c r="AW34" s="147"/>
      <c r="AX34" s="146"/>
      <c r="AY34" s="148"/>
      <c r="AZ34" s="148"/>
      <c r="BA34" s="148"/>
      <c r="BB34" s="148"/>
      <c r="BC34" s="148"/>
      <c r="BD34" s="148"/>
      <c r="BE34" s="147"/>
      <c r="BF34" s="146"/>
      <c r="BG34" s="235"/>
      <c r="BH34" s="198"/>
      <c r="BI34" s="237"/>
      <c r="BJ34" s="237"/>
      <c r="BK34" s="199"/>
      <c r="BM34" s="155"/>
      <c r="BN34" s="258"/>
      <c r="BO34" s="259"/>
      <c r="BP34" s="259"/>
      <c r="BQ34" s="260"/>
    </row>
    <row r="35" spans="2:69" ht="8.1" customHeight="1" x14ac:dyDescent="0.25">
      <c r="B35" s="234"/>
      <c r="C35" s="154"/>
      <c r="D35" s="153"/>
      <c r="E35" s="153"/>
      <c r="F35" s="153"/>
      <c r="G35" s="153"/>
      <c r="H35" s="159"/>
      <c r="I35" s="152"/>
      <c r="J35" s="151"/>
      <c r="L35" s="153"/>
      <c r="M35" s="153"/>
      <c r="N35" s="153"/>
      <c r="O35" s="153"/>
      <c r="P35" s="153"/>
      <c r="Q35" s="152"/>
      <c r="R35" s="151"/>
      <c r="T35" s="153"/>
      <c r="U35" s="153"/>
      <c r="V35" s="153"/>
      <c r="W35" s="153"/>
      <c r="X35" s="153"/>
      <c r="Y35" s="152"/>
      <c r="Z35" s="151"/>
      <c r="AB35" s="153"/>
      <c r="AC35" s="153"/>
      <c r="AD35" s="153"/>
      <c r="AE35" s="153"/>
      <c r="AF35" s="153"/>
      <c r="AG35" s="152"/>
      <c r="AH35" s="151"/>
      <c r="AJ35" s="153"/>
      <c r="AK35" s="153"/>
      <c r="AL35" s="153"/>
      <c r="AM35" s="153"/>
      <c r="AN35" s="153"/>
      <c r="AO35" s="152"/>
      <c r="AP35" s="151"/>
      <c r="AQ35" s="153"/>
      <c r="AR35" s="153"/>
      <c r="AS35" s="153"/>
      <c r="AT35" s="153"/>
      <c r="AU35" s="153"/>
      <c r="AV35" s="153"/>
      <c r="AW35" s="152"/>
      <c r="AX35" s="151"/>
      <c r="AY35" s="153"/>
      <c r="AZ35" s="153"/>
      <c r="BA35" s="153"/>
      <c r="BB35" s="153"/>
      <c r="BC35" s="153"/>
      <c r="BD35" s="153"/>
      <c r="BE35" s="152"/>
      <c r="BF35" s="151"/>
      <c r="BG35" s="234"/>
      <c r="BH35" s="198"/>
      <c r="BI35" s="237"/>
      <c r="BJ35" s="237"/>
      <c r="BK35" s="199"/>
      <c r="BM35" s="155"/>
      <c r="BN35" s="258"/>
      <c r="BO35" s="259"/>
      <c r="BP35" s="259"/>
      <c r="BQ35" s="260"/>
    </row>
    <row r="36" spans="2:69" ht="8.1" customHeight="1" x14ac:dyDescent="0.25">
      <c r="B36" s="235"/>
      <c r="C36" s="150"/>
      <c r="D36" s="148"/>
      <c r="E36" s="148"/>
      <c r="F36" s="148"/>
      <c r="G36" s="148"/>
      <c r="H36" s="195"/>
      <c r="I36" s="147"/>
      <c r="J36" s="146"/>
      <c r="K36" s="149"/>
      <c r="L36" s="148"/>
      <c r="M36" s="148"/>
      <c r="N36" s="148"/>
      <c r="O36" s="148"/>
      <c r="P36" s="148"/>
      <c r="Q36" s="147"/>
      <c r="R36" s="146"/>
      <c r="S36" s="149"/>
      <c r="T36" s="148"/>
      <c r="U36" s="148"/>
      <c r="V36" s="148"/>
      <c r="W36" s="148"/>
      <c r="X36" s="148"/>
      <c r="Y36" s="147"/>
      <c r="Z36" s="146"/>
      <c r="AA36" s="149"/>
      <c r="AB36" s="148"/>
      <c r="AC36" s="148"/>
      <c r="AD36" s="148"/>
      <c r="AE36" s="148"/>
      <c r="AF36" s="148"/>
      <c r="AG36" s="147"/>
      <c r="AH36" s="146"/>
      <c r="AI36" s="149"/>
      <c r="AJ36" s="148"/>
      <c r="AK36" s="148"/>
      <c r="AL36" s="148"/>
      <c r="AM36" s="148"/>
      <c r="AN36" s="148"/>
      <c r="AO36" s="147"/>
      <c r="AP36" s="146"/>
      <c r="AQ36" s="148"/>
      <c r="AR36" s="148"/>
      <c r="AS36" s="148"/>
      <c r="AT36" s="148"/>
      <c r="AU36" s="148"/>
      <c r="AV36" s="148"/>
      <c r="AW36" s="147"/>
      <c r="AX36" s="146"/>
      <c r="AY36" s="148"/>
      <c r="AZ36" s="148"/>
      <c r="BA36" s="148"/>
      <c r="BB36" s="148"/>
      <c r="BC36" s="148"/>
      <c r="BD36" s="148"/>
      <c r="BE36" s="147"/>
      <c r="BF36" s="146"/>
      <c r="BG36" s="235"/>
      <c r="BH36" s="198"/>
      <c r="BI36" s="237"/>
      <c r="BJ36" s="237"/>
      <c r="BK36" s="199"/>
      <c r="BM36" s="155"/>
      <c r="BN36" s="258"/>
      <c r="BO36" s="259"/>
      <c r="BP36" s="259"/>
      <c r="BQ36" s="260"/>
    </row>
    <row r="37" spans="2:69" ht="8.1" customHeight="1" x14ac:dyDescent="0.25">
      <c r="B37" s="234" t="s">
        <v>152</v>
      </c>
      <c r="C37" s="154"/>
      <c r="D37" s="153"/>
      <c r="E37" s="153"/>
      <c r="F37" s="153"/>
      <c r="G37" s="153"/>
      <c r="H37" s="159"/>
      <c r="I37" s="152"/>
      <c r="J37" s="151"/>
      <c r="L37" s="153"/>
      <c r="M37" s="153"/>
      <c r="N37" s="153"/>
      <c r="O37" s="153"/>
      <c r="P37" s="153"/>
      <c r="Q37" s="152"/>
      <c r="R37" s="151"/>
      <c r="T37" s="153"/>
      <c r="U37" s="153"/>
      <c r="V37" s="153"/>
      <c r="W37" s="153"/>
      <c r="X37" s="153"/>
      <c r="Y37" s="152"/>
      <c r="Z37" s="151"/>
      <c r="AB37" s="153"/>
      <c r="AC37" s="153"/>
      <c r="AD37" s="153"/>
      <c r="AE37" s="153"/>
      <c r="AF37" s="153"/>
      <c r="AG37" s="152"/>
      <c r="AH37" s="151"/>
      <c r="AJ37" s="153"/>
      <c r="AK37" s="153"/>
      <c r="AL37" s="153"/>
      <c r="AM37" s="153"/>
      <c r="AN37" s="153"/>
      <c r="AO37" s="152"/>
      <c r="AP37" s="151"/>
      <c r="AQ37" s="153"/>
      <c r="AR37" s="153"/>
      <c r="AS37" s="153"/>
      <c r="AT37" s="153"/>
      <c r="AU37" s="153"/>
      <c r="AV37" s="153"/>
      <c r="AW37" s="152"/>
      <c r="AX37" s="151"/>
      <c r="AY37" s="153"/>
      <c r="AZ37" s="153"/>
      <c r="BA37" s="153"/>
      <c r="BB37" s="153"/>
      <c r="BC37" s="153"/>
      <c r="BD37" s="153"/>
      <c r="BE37" s="152"/>
      <c r="BF37" s="151"/>
      <c r="BG37" s="234" t="s">
        <v>152</v>
      </c>
      <c r="BH37" s="198"/>
      <c r="BI37" s="237"/>
      <c r="BJ37" s="237"/>
      <c r="BK37" s="199"/>
      <c r="BM37" s="155"/>
      <c r="BN37" s="258"/>
      <c r="BO37" s="259"/>
      <c r="BP37" s="259"/>
      <c r="BQ37" s="260"/>
    </row>
    <row r="38" spans="2:69" ht="8.1" customHeight="1" x14ac:dyDescent="0.25">
      <c r="B38" s="235"/>
      <c r="C38" s="150"/>
      <c r="D38" s="148"/>
      <c r="E38" s="148"/>
      <c r="F38" s="148"/>
      <c r="G38" s="148"/>
      <c r="H38" s="195"/>
      <c r="I38" s="147"/>
      <c r="J38" s="146"/>
      <c r="K38" s="149"/>
      <c r="L38" s="148"/>
      <c r="M38" s="148"/>
      <c r="N38" s="148"/>
      <c r="O38" s="148"/>
      <c r="P38" s="148"/>
      <c r="Q38" s="147"/>
      <c r="R38" s="146"/>
      <c r="S38" s="149"/>
      <c r="T38" s="148"/>
      <c r="U38" s="148"/>
      <c r="V38" s="148"/>
      <c r="W38" s="148"/>
      <c r="X38" s="148"/>
      <c r="Y38" s="147"/>
      <c r="Z38" s="146"/>
      <c r="AA38" s="149"/>
      <c r="AB38" s="148"/>
      <c r="AC38" s="148"/>
      <c r="AD38" s="148"/>
      <c r="AE38" s="148"/>
      <c r="AF38" s="148"/>
      <c r="AG38" s="147"/>
      <c r="AH38" s="146"/>
      <c r="AI38" s="149"/>
      <c r="AJ38" s="148"/>
      <c r="AK38" s="148"/>
      <c r="AL38" s="148"/>
      <c r="AM38" s="148"/>
      <c r="AN38" s="148"/>
      <c r="AO38" s="147"/>
      <c r="AP38" s="146"/>
      <c r="AQ38" s="148"/>
      <c r="AR38" s="148"/>
      <c r="AS38" s="148"/>
      <c r="AT38" s="148"/>
      <c r="AU38" s="148"/>
      <c r="AV38" s="148"/>
      <c r="AW38" s="147"/>
      <c r="AX38" s="146"/>
      <c r="AY38" s="148"/>
      <c r="AZ38" s="148"/>
      <c r="BA38" s="148"/>
      <c r="BB38" s="148"/>
      <c r="BC38" s="148"/>
      <c r="BD38" s="148"/>
      <c r="BE38" s="147"/>
      <c r="BF38" s="146"/>
      <c r="BG38" s="235"/>
      <c r="BH38" s="198"/>
      <c r="BI38" s="237"/>
      <c r="BJ38" s="237"/>
      <c r="BK38" s="199"/>
      <c r="BM38" s="155"/>
      <c r="BN38" s="258"/>
      <c r="BO38" s="259"/>
      <c r="BP38" s="259"/>
      <c r="BQ38" s="260"/>
    </row>
    <row r="39" spans="2:69" ht="8.1" customHeight="1" x14ac:dyDescent="0.25">
      <c r="B39" s="234"/>
      <c r="C39" s="154"/>
      <c r="D39" s="153"/>
      <c r="E39" s="153"/>
      <c r="F39" s="153"/>
      <c r="G39" s="153"/>
      <c r="H39" s="159"/>
      <c r="I39" s="152"/>
      <c r="J39" s="151"/>
      <c r="L39" s="153"/>
      <c r="M39" s="153"/>
      <c r="N39" s="153"/>
      <c r="O39" s="153"/>
      <c r="P39" s="153"/>
      <c r="Q39" s="152"/>
      <c r="R39" s="151"/>
      <c r="T39" s="153"/>
      <c r="U39" s="153"/>
      <c r="V39" s="153"/>
      <c r="W39" s="153"/>
      <c r="X39" s="153"/>
      <c r="Y39" s="152"/>
      <c r="Z39" s="151"/>
      <c r="AB39" s="153"/>
      <c r="AC39" s="153"/>
      <c r="AD39" s="153"/>
      <c r="AE39" s="153"/>
      <c r="AF39" s="153"/>
      <c r="AG39" s="152"/>
      <c r="AH39" s="151"/>
      <c r="AJ39" s="153"/>
      <c r="AK39" s="153"/>
      <c r="AL39" s="153"/>
      <c r="AM39" s="153"/>
      <c r="AN39" s="153"/>
      <c r="AO39" s="152"/>
      <c r="AP39" s="151"/>
      <c r="AQ39" s="153"/>
      <c r="AR39" s="153"/>
      <c r="AS39" s="153"/>
      <c r="AT39" s="153"/>
      <c r="AU39" s="153"/>
      <c r="AV39" s="153"/>
      <c r="AW39" s="152"/>
      <c r="AX39" s="151"/>
      <c r="AY39" s="153"/>
      <c r="AZ39" s="153"/>
      <c r="BA39" s="153"/>
      <c r="BB39" s="153"/>
      <c r="BC39" s="153"/>
      <c r="BD39" s="153"/>
      <c r="BE39" s="152"/>
      <c r="BF39" s="151"/>
      <c r="BG39" s="234"/>
      <c r="BH39" s="198"/>
      <c r="BI39" s="203"/>
      <c r="BJ39" s="155"/>
      <c r="BK39" s="199"/>
      <c r="BM39" s="155"/>
      <c r="BN39" s="258"/>
      <c r="BO39" s="259"/>
      <c r="BP39" s="259"/>
      <c r="BQ39" s="260"/>
    </row>
    <row r="40" spans="2:69" ht="8.1" customHeight="1" x14ac:dyDescent="0.25">
      <c r="B40" s="235"/>
      <c r="C40" s="150"/>
      <c r="D40" s="148"/>
      <c r="E40" s="148"/>
      <c r="F40" s="148"/>
      <c r="G40" s="148"/>
      <c r="H40" s="195"/>
      <c r="I40" s="147"/>
      <c r="J40" s="146"/>
      <c r="K40" s="149"/>
      <c r="L40" s="148"/>
      <c r="M40" s="148"/>
      <c r="N40" s="148"/>
      <c r="O40" s="148"/>
      <c r="P40" s="148"/>
      <c r="Q40" s="147"/>
      <c r="R40" s="146"/>
      <c r="S40" s="149"/>
      <c r="T40" s="148"/>
      <c r="U40" s="148"/>
      <c r="V40" s="148"/>
      <c r="W40" s="148"/>
      <c r="X40" s="148"/>
      <c r="Y40" s="147"/>
      <c r="Z40" s="146"/>
      <c r="AA40" s="149"/>
      <c r="AB40" s="148"/>
      <c r="AC40" s="148"/>
      <c r="AD40" s="148"/>
      <c r="AE40" s="148"/>
      <c r="AF40" s="148"/>
      <c r="AG40" s="147"/>
      <c r="AH40" s="146"/>
      <c r="AI40" s="149"/>
      <c r="AJ40" s="148"/>
      <c r="AK40" s="148"/>
      <c r="AL40" s="148"/>
      <c r="AM40" s="148"/>
      <c r="AN40" s="148"/>
      <c r="AO40" s="147"/>
      <c r="AP40" s="146"/>
      <c r="AQ40" s="148"/>
      <c r="AR40" s="148"/>
      <c r="AS40" s="148"/>
      <c r="AT40" s="148"/>
      <c r="AU40" s="148"/>
      <c r="AV40" s="148"/>
      <c r="AW40" s="147"/>
      <c r="AX40" s="146"/>
      <c r="AY40" s="148"/>
      <c r="AZ40" s="148"/>
      <c r="BA40" s="148"/>
      <c r="BB40" s="148"/>
      <c r="BC40" s="148"/>
      <c r="BD40" s="148"/>
      <c r="BE40" s="147"/>
      <c r="BF40" s="146"/>
      <c r="BG40" s="235"/>
      <c r="BH40" s="198"/>
      <c r="BI40" s="203"/>
      <c r="BJ40" s="155"/>
      <c r="BK40" s="199"/>
      <c r="BM40" s="155"/>
      <c r="BN40" s="258"/>
      <c r="BO40" s="259"/>
      <c r="BP40" s="259"/>
      <c r="BQ40" s="260"/>
    </row>
    <row r="41" spans="2:69" ht="8.1" customHeight="1" x14ac:dyDescent="0.25">
      <c r="B41" s="234" t="s">
        <v>153</v>
      </c>
      <c r="C41" s="154"/>
      <c r="D41" s="153"/>
      <c r="E41" s="153"/>
      <c r="F41" s="153"/>
      <c r="G41" s="153"/>
      <c r="H41" s="159"/>
      <c r="I41" s="152"/>
      <c r="J41" s="151"/>
      <c r="L41" s="153"/>
      <c r="M41" s="153"/>
      <c r="N41" s="153"/>
      <c r="O41" s="153"/>
      <c r="P41" s="153"/>
      <c r="Q41" s="152"/>
      <c r="R41" s="151"/>
      <c r="T41" s="153"/>
      <c r="U41" s="153"/>
      <c r="V41" s="153"/>
      <c r="W41" s="153"/>
      <c r="X41" s="153"/>
      <c r="Y41" s="152"/>
      <c r="Z41" s="151"/>
      <c r="AB41" s="153"/>
      <c r="AC41" s="153"/>
      <c r="AD41" s="153"/>
      <c r="AE41" s="153"/>
      <c r="AF41" s="153"/>
      <c r="AG41" s="152"/>
      <c r="AH41" s="151"/>
      <c r="AJ41" s="153"/>
      <c r="AK41" s="153"/>
      <c r="AL41" s="153"/>
      <c r="AM41" s="153"/>
      <c r="AN41" s="153"/>
      <c r="AO41" s="152"/>
      <c r="AP41" s="151"/>
      <c r="AQ41" s="153"/>
      <c r="AR41" s="153"/>
      <c r="AS41" s="153"/>
      <c r="AT41" s="153"/>
      <c r="AU41" s="153"/>
      <c r="AV41" s="153"/>
      <c r="AW41" s="152"/>
      <c r="AX41" s="151"/>
      <c r="AY41" s="153"/>
      <c r="AZ41" s="153"/>
      <c r="BA41" s="153"/>
      <c r="BB41" s="153"/>
      <c r="BC41" s="153"/>
      <c r="BD41" s="153"/>
      <c r="BE41" s="152"/>
      <c r="BF41" s="151"/>
      <c r="BG41" s="234" t="s">
        <v>153</v>
      </c>
      <c r="BH41" s="198"/>
      <c r="BI41" s="203"/>
      <c r="BJ41" s="155"/>
      <c r="BK41" s="199"/>
      <c r="BM41" s="155"/>
      <c r="BN41" s="258"/>
      <c r="BO41" s="259"/>
      <c r="BP41" s="259"/>
      <c r="BQ41" s="260"/>
    </row>
    <row r="42" spans="2:69" ht="8.1" customHeight="1" x14ac:dyDescent="0.25">
      <c r="B42" s="235"/>
      <c r="C42" s="150"/>
      <c r="D42" s="148"/>
      <c r="E42" s="148"/>
      <c r="F42" s="148"/>
      <c r="G42" s="148"/>
      <c r="H42" s="195"/>
      <c r="I42" s="147"/>
      <c r="J42" s="146"/>
      <c r="K42" s="149"/>
      <c r="L42" s="148"/>
      <c r="M42" s="148"/>
      <c r="N42" s="148"/>
      <c r="O42" s="148"/>
      <c r="P42" s="148"/>
      <c r="Q42" s="147"/>
      <c r="R42" s="146"/>
      <c r="S42" s="149"/>
      <c r="T42" s="148"/>
      <c r="U42" s="148"/>
      <c r="V42" s="148"/>
      <c r="W42" s="148"/>
      <c r="X42" s="148"/>
      <c r="Y42" s="147"/>
      <c r="Z42" s="146"/>
      <c r="AA42" s="149"/>
      <c r="AB42" s="148"/>
      <c r="AC42" s="148"/>
      <c r="AD42" s="148"/>
      <c r="AE42" s="148"/>
      <c r="AF42" s="148"/>
      <c r="AG42" s="147"/>
      <c r="AH42" s="146"/>
      <c r="AI42" s="149"/>
      <c r="AJ42" s="148"/>
      <c r="AK42" s="148"/>
      <c r="AL42" s="148"/>
      <c r="AM42" s="148"/>
      <c r="AN42" s="148"/>
      <c r="AO42" s="147"/>
      <c r="AP42" s="146"/>
      <c r="AQ42" s="148"/>
      <c r="AR42" s="148"/>
      <c r="AS42" s="148"/>
      <c r="AT42" s="148"/>
      <c r="AU42" s="148"/>
      <c r="AV42" s="148"/>
      <c r="AW42" s="147"/>
      <c r="AX42" s="146"/>
      <c r="AY42" s="148"/>
      <c r="AZ42" s="148"/>
      <c r="BA42" s="148"/>
      <c r="BB42" s="148"/>
      <c r="BC42" s="148"/>
      <c r="BD42" s="148"/>
      <c r="BE42" s="147"/>
      <c r="BF42" s="146"/>
      <c r="BG42" s="235"/>
      <c r="BH42" s="198"/>
      <c r="BI42" s="203"/>
      <c r="BJ42" s="155"/>
      <c r="BK42" s="199"/>
      <c r="BM42" s="155"/>
      <c r="BN42" s="258"/>
      <c r="BO42" s="259"/>
      <c r="BP42" s="259"/>
      <c r="BQ42" s="260"/>
    </row>
    <row r="43" spans="2:69" ht="8.1" customHeight="1" x14ac:dyDescent="0.25">
      <c r="B43" s="234"/>
      <c r="C43" s="154"/>
      <c r="D43" s="153"/>
      <c r="E43" s="153"/>
      <c r="F43" s="153"/>
      <c r="G43" s="153"/>
      <c r="H43" s="159"/>
      <c r="I43" s="152"/>
      <c r="J43" s="151"/>
      <c r="L43" s="153"/>
      <c r="M43" s="153"/>
      <c r="N43" s="153"/>
      <c r="O43" s="153"/>
      <c r="P43" s="153"/>
      <c r="Q43" s="152"/>
      <c r="R43" s="151"/>
      <c r="T43" s="153"/>
      <c r="U43" s="153"/>
      <c r="V43" s="153"/>
      <c r="W43" s="153"/>
      <c r="X43" s="153"/>
      <c r="Y43" s="152"/>
      <c r="Z43" s="151"/>
      <c r="AB43" s="153"/>
      <c r="AC43" s="153"/>
      <c r="AD43" s="153"/>
      <c r="AE43" s="153"/>
      <c r="AF43" s="153"/>
      <c r="AG43" s="152"/>
      <c r="AH43" s="151"/>
      <c r="AJ43" s="153"/>
      <c r="AK43" s="153"/>
      <c r="AL43" s="153"/>
      <c r="AM43" s="153"/>
      <c r="AN43" s="153"/>
      <c r="AO43" s="152"/>
      <c r="AP43" s="151"/>
      <c r="AQ43" s="153"/>
      <c r="AR43" s="153"/>
      <c r="AS43" s="153"/>
      <c r="AT43" s="153"/>
      <c r="AU43" s="153"/>
      <c r="AV43" s="153"/>
      <c r="AW43" s="152"/>
      <c r="AX43" s="151"/>
      <c r="AY43" s="153"/>
      <c r="AZ43" s="153"/>
      <c r="BA43" s="153"/>
      <c r="BB43" s="153"/>
      <c r="BC43" s="153"/>
      <c r="BD43" s="153"/>
      <c r="BE43" s="152"/>
      <c r="BF43" s="151"/>
      <c r="BG43" s="234"/>
      <c r="BH43" s="198"/>
      <c r="BI43" s="203"/>
      <c r="BJ43" s="155"/>
      <c r="BK43" s="199"/>
      <c r="BM43" s="155"/>
      <c r="BN43" s="258"/>
      <c r="BO43" s="259"/>
      <c r="BP43" s="259"/>
      <c r="BQ43" s="260"/>
    </row>
    <row r="44" spans="2:69" ht="8.1" customHeight="1" x14ac:dyDescent="0.25">
      <c r="B44" s="235"/>
      <c r="C44" s="150"/>
      <c r="D44" s="148"/>
      <c r="E44" s="148"/>
      <c r="F44" s="148"/>
      <c r="G44" s="148"/>
      <c r="H44" s="195"/>
      <c r="I44" s="147"/>
      <c r="J44" s="146"/>
      <c r="K44" s="149"/>
      <c r="L44" s="148"/>
      <c r="M44" s="148"/>
      <c r="N44" s="148"/>
      <c r="O44" s="148"/>
      <c r="P44" s="148"/>
      <c r="Q44" s="147"/>
      <c r="R44" s="146"/>
      <c r="S44" s="149"/>
      <c r="T44" s="148"/>
      <c r="U44" s="148"/>
      <c r="V44" s="148"/>
      <c r="W44" s="148"/>
      <c r="X44" s="148"/>
      <c r="Y44" s="147"/>
      <c r="Z44" s="146"/>
      <c r="AA44" s="149"/>
      <c r="AB44" s="148"/>
      <c r="AC44" s="148"/>
      <c r="AD44" s="148"/>
      <c r="AE44" s="148"/>
      <c r="AF44" s="148"/>
      <c r="AG44" s="147"/>
      <c r="AH44" s="146"/>
      <c r="AI44" s="149"/>
      <c r="AJ44" s="148"/>
      <c r="AK44" s="148"/>
      <c r="AL44" s="148"/>
      <c r="AM44" s="148"/>
      <c r="AN44" s="148"/>
      <c r="AO44" s="147"/>
      <c r="AP44" s="146"/>
      <c r="AQ44" s="148"/>
      <c r="AR44" s="148"/>
      <c r="AS44" s="148"/>
      <c r="AT44" s="148"/>
      <c r="AU44" s="148"/>
      <c r="AV44" s="148"/>
      <c r="AW44" s="147"/>
      <c r="AX44" s="146"/>
      <c r="AY44" s="148"/>
      <c r="AZ44" s="148"/>
      <c r="BA44" s="148"/>
      <c r="BB44" s="148"/>
      <c r="BC44" s="148"/>
      <c r="BD44" s="148"/>
      <c r="BE44" s="147"/>
      <c r="BF44" s="146"/>
      <c r="BG44" s="235"/>
      <c r="BH44" s="198"/>
      <c r="BI44" s="203"/>
      <c r="BJ44" s="155"/>
      <c r="BK44" s="199"/>
      <c r="BM44" s="155"/>
      <c r="BN44" s="258"/>
      <c r="BO44" s="259"/>
      <c r="BP44" s="259"/>
      <c r="BQ44" s="260"/>
    </row>
    <row r="45" spans="2:69" ht="8.1" customHeight="1" x14ac:dyDescent="0.25">
      <c r="B45" s="234" t="s">
        <v>154</v>
      </c>
      <c r="C45" s="154"/>
      <c r="D45" s="153"/>
      <c r="E45" s="153"/>
      <c r="F45" s="153"/>
      <c r="G45" s="153"/>
      <c r="H45" s="159"/>
      <c r="I45" s="152"/>
      <c r="J45" s="151"/>
      <c r="L45" s="153"/>
      <c r="M45" s="153"/>
      <c r="N45" s="153"/>
      <c r="O45" s="153"/>
      <c r="P45" s="153"/>
      <c r="Q45" s="152"/>
      <c r="R45" s="151"/>
      <c r="T45" s="153"/>
      <c r="U45" s="153"/>
      <c r="V45" s="153"/>
      <c r="W45" s="153"/>
      <c r="X45" s="153"/>
      <c r="Y45" s="152"/>
      <c r="Z45" s="151"/>
      <c r="AB45" s="153"/>
      <c r="AC45" s="153"/>
      <c r="AD45" s="153"/>
      <c r="AE45" s="153"/>
      <c r="AF45" s="153"/>
      <c r="AG45" s="152"/>
      <c r="AH45" s="151"/>
      <c r="AJ45" s="153"/>
      <c r="AK45" s="153"/>
      <c r="AL45" s="153"/>
      <c r="AM45" s="153"/>
      <c r="AN45" s="153"/>
      <c r="AO45" s="152"/>
      <c r="AP45" s="151"/>
      <c r="AQ45" s="153"/>
      <c r="AR45" s="153"/>
      <c r="AS45" s="153"/>
      <c r="AT45" s="153"/>
      <c r="AU45" s="153"/>
      <c r="AV45" s="153"/>
      <c r="AW45" s="152"/>
      <c r="AX45" s="151"/>
      <c r="AY45" s="153"/>
      <c r="AZ45" s="153"/>
      <c r="BA45" s="153"/>
      <c r="BB45" s="153"/>
      <c r="BC45" s="153"/>
      <c r="BD45" s="153"/>
      <c r="BE45" s="152"/>
      <c r="BF45" s="151"/>
      <c r="BG45" s="234" t="s">
        <v>154</v>
      </c>
      <c r="BH45" s="198"/>
      <c r="BI45" s="203"/>
      <c r="BJ45" s="155"/>
      <c r="BK45" s="199"/>
      <c r="BM45" s="155"/>
      <c r="BN45" s="258"/>
      <c r="BO45" s="259"/>
      <c r="BP45" s="259"/>
      <c r="BQ45" s="260"/>
    </row>
    <row r="46" spans="2:69" ht="8.1" customHeight="1" x14ac:dyDescent="0.25">
      <c r="B46" s="235"/>
      <c r="C46" s="150"/>
      <c r="D46" s="148"/>
      <c r="E46" s="148"/>
      <c r="F46" s="148"/>
      <c r="G46" s="148"/>
      <c r="H46" s="195"/>
      <c r="I46" s="147"/>
      <c r="J46" s="146"/>
      <c r="K46" s="149"/>
      <c r="L46" s="148"/>
      <c r="M46" s="148"/>
      <c r="N46" s="148"/>
      <c r="O46" s="148"/>
      <c r="P46" s="148"/>
      <c r="Q46" s="147"/>
      <c r="R46" s="146"/>
      <c r="S46" s="149"/>
      <c r="T46" s="148"/>
      <c r="U46" s="148"/>
      <c r="V46" s="148"/>
      <c r="W46" s="148"/>
      <c r="X46" s="148"/>
      <c r="Y46" s="147"/>
      <c r="Z46" s="146"/>
      <c r="AA46" s="149"/>
      <c r="AB46" s="148"/>
      <c r="AC46" s="148"/>
      <c r="AD46" s="148"/>
      <c r="AE46" s="148"/>
      <c r="AF46" s="148"/>
      <c r="AG46" s="147"/>
      <c r="AH46" s="146"/>
      <c r="AI46" s="149"/>
      <c r="AJ46" s="148"/>
      <c r="AK46" s="148"/>
      <c r="AL46" s="148"/>
      <c r="AM46" s="148"/>
      <c r="AN46" s="148"/>
      <c r="AO46" s="147"/>
      <c r="AP46" s="146"/>
      <c r="AQ46" s="148"/>
      <c r="AR46" s="148"/>
      <c r="AS46" s="148"/>
      <c r="AT46" s="148"/>
      <c r="AU46" s="148"/>
      <c r="AV46" s="148"/>
      <c r="AW46" s="147"/>
      <c r="AX46" s="146"/>
      <c r="AY46" s="148"/>
      <c r="AZ46" s="148"/>
      <c r="BA46" s="148"/>
      <c r="BB46" s="148"/>
      <c r="BC46" s="148"/>
      <c r="BD46" s="148"/>
      <c r="BE46" s="147"/>
      <c r="BF46" s="146"/>
      <c r="BG46" s="235"/>
      <c r="BH46" s="198"/>
      <c r="BI46" s="203"/>
      <c r="BJ46" s="155"/>
      <c r="BK46" s="199"/>
      <c r="BM46" s="155"/>
      <c r="BN46" s="258"/>
      <c r="BO46" s="259"/>
      <c r="BP46" s="259"/>
      <c r="BQ46" s="260"/>
    </row>
    <row r="47" spans="2:69" ht="8.1" customHeight="1" x14ac:dyDescent="0.25">
      <c r="B47" s="234"/>
      <c r="C47" s="154"/>
      <c r="D47" s="153"/>
      <c r="E47" s="153"/>
      <c r="F47" s="153"/>
      <c r="G47" s="153"/>
      <c r="H47" s="159"/>
      <c r="I47" s="152"/>
      <c r="J47" s="151"/>
      <c r="L47" s="153"/>
      <c r="M47" s="153"/>
      <c r="N47" s="153"/>
      <c r="O47" s="153"/>
      <c r="P47" s="153"/>
      <c r="Q47" s="152"/>
      <c r="R47" s="151"/>
      <c r="T47" s="153"/>
      <c r="U47" s="153"/>
      <c r="V47" s="153"/>
      <c r="W47" s="153"/>
      <c r="X47" s="153"/>
      <c r="Y47" s="152"/>
      <c r="Z47" s="151"/>
      <c r="AB47" s="153"/>
      <c r="AC47" s="153"/>
      <c r="AD47" s="153"/>
      <c r="AE47" s="153"/>
      <c r="AF47" s="153"/>
      <c r="AG47" s="152"/>
      <c r="AH47" s="151"/>
      <c r="AJ47" s="153"/>
      <c r="AK47" s="153"/>
      <c r="AL47" s="153"/>
      <c r="AM47" s="153"/>
      <c r="AN47" s="153"/>
      <c r="AO47" s="152"/>
      <c r="AP47" s="151"/>
      <c r="AQ47" s="153"/>
      <c r="AR47" s="153"/>
      <c r="AS47" s="153"/>
      <c r="AT47" s="153"/>
      <c r="AU47" s="153"/>
      <c r="AV47" s="153"/>
      <c r="AW47" s="152"/>
      <c r="AX47" s="151"/>
      <c r="AY47" s="153"/>
      <c r="AZ47" s="153"/>
      <c r="BA47" s="153"/>
      <c r="BB47" s="153"/>
      <c r="BC47" s="153"/>
      <c r="BD47" s="153"/>
      <c r="BE47" s="152"/>
      <c r="BF47" s="151"/>
      <c r="BG47" s="234"/>
      <c r="BH47" s="198"/>
      <c r="BI47" s="203"/>
      <c r="BJ47" s="155"/>
      <c r="BK47" s="199"/>
      <c r="BM47" s="155"/>
      <c r="BN47" s="258"/>
      <c r="BO47" s="259"/>
      <c r="BP47" s="259"/>
      <c r="BQ47" s="260"/>
    </row>
    <row r="48" spans="2:69" ht="8.1" customHeight="1" x14ac:dyDescent="0.25">
      <c r="B48" s="235"/>
      <c r="C48" s="150"/>
      <c r="D48" s="148"/>
      <c r="E48" s="148"/>
      <c r="F48" s="148"/>
      <c r="G48" s="148"/>
      <c r="H48" s="195"/>
      <c r="I48" s="147"/>
      <c r="J48" s="146"/>
      <c r="K48" s="149"/>
      <c r="L48" s="148"/>
      <c r="M48" s="148"/>
      <c r="N48" s="148"/>
      <c r="O48" s="148"/>
      <c r="P48" s="148"/>
      <c r="Q48" s="147"/>
      <c r="R48" s="146"/>
      <c r="S48" s="149"/>
      <c r="T48" s="148"/>
      <c r="U48" s="148"/>
      <c r="V48" s="148"/>
      <c r="W48" s="148"/>
      <c r="X48" s="148"/>
      <c r="Y48" s="147"/>
      <c r="Z48" s="146"/>
      <c r="AA48" s="149"/>
      <c r="AB48" s="148"/>
      <c r="AC48" s="148"/>
      <c r="AD48" s="148"/>
      <c r="AE48" s="148"/>
      <c r="AF48" s="148"/>
      <c r="AG48" s="147"/>
      <c r="AH48" s="146"/>
      <c r="AI48" s="149"/>
      <c r="AJ48" s="148"/>
      <c r="AK48" s="148"/>
      <c r="AL48" s="148"/>
      <c r="AM48" s="148"/>
      <c r="AN48" s="148"/>
      <c r="AO48" s="147"/>
      <c r="AP48" s="146"/>
      <c r="AQ48" s="148"/>
      <c r="AR48" s="148"/>
      <c r="AS48" s="148"/>
      <c r="AT48" s="148"/>
      <c r="AU48" s="148"/>
      <c r="AV48" s="148"/>
      <c r="AW48" s="147"/>
      <c r="AX48" s="146"/>
      <c r="AY48" s="148"/>
      <c r="AZ48" s="148"/>
      <c r="BA48" s="148"/>
      <c r="BB48" s="148"/>
      <c r="BC48" s="148"/>
      <c r="BD48" s="148"/>
      <c r="BE48" s="147"/>
      <c r="BF48" s="146"/>
      <c r="BG48" s="235"/>
      <c r="BH48" s="198"/>
      <c r="BI48" s="203"/>
      <c r="BJ48" s="155"/>
      <c r="BK48" s="199"/>
      <c r="BM48" s="155"/>
      <c r="BN48" s="258"/>
      <c r="BO48" s="259"/>
      <c r="BP48" s="259"/>
      <c r="BQ48" s="260"/>
    </row>
    <row r="49" spans="1:69" ht="8.1" customHeight="1" x14ac:dyDescent="0.25">
      <c r="B49" s="234" t="s">
        <v>155</v>
      </c>
      <c r="C49" s="154"/>
      <c r="D49" s="153"/>
      <c r="E49" s="153"/>
      <c r="F49" s="153"/>
      <c r="G49" s="153"/>
      <c r="H49" s="159"/>
      <c r="I49" s="152"/>
      <c r="J49" s="151"/>
      <c r="L49" s="153"/>
      <c r="M49" s="153"/>
      <c r="N49" s="153"/>
      <c r="O49" s="153"/>
      <c r="P49" s="153"/>
      <c r="Q49" s="152"/>
      <c r="R49" s="151"/>
      <c r="T49" s="153"/>
      <c r="U49" s="153"/>
      <c r="V49" s="153"/>
      <c r="W49" s="153"/>
      <c r="X49" s="153"/>
      <c r="Y49" s="152"/>
      <c r="Z49" s="151"/>
      <c r="AB49" s="153"/>
      <c r="AC49" s="153"/>
      <c r="AD49" s="153"/>
      <c r="AE49" s="153"/>
      <c r="AF49" s="153"/>
      <c r="AG49" s="152"/>
      <c r="AH49" s="151"/>
      <c r="AJ49" s="153"/>
      <c r="AK49" s="153"/>
      <c r="AL49" s="153"/>
      <c r="AM49" s="153"/>
      <c r="AN49" s="153"/>
      <c r="AO49" s="152"/>
      <c r="AP49" s="151"/>
      <c r="AQ49" s="153"/>
      <c r="AR49" s="153"/>
      <c r="AS49" s="153"/>
      <c r="AT49" s="153"/>
      <c r="AU49" s="153"/>
      <c r="AV49" s="153"/>
      <c r="AW49" s="152"/>
      <c r="AX49" s="151"/>
      <c r="AY49" s="153"/>
      <c r="AZ49" s="153"/>
      <c r="BA49" s="153"/>
      <c r="BB49" s="153"/>
      <c r="BC49" s="153"/>
      <c r="BD49" s="153"/>
      <c r="BE49" s="152"/>
      <c r="BF49" s="151"/>
      <c r="BG49" s="234" t="s">
        <v>155</v>
      </c>
      <c r="BH49" s="198"/>
      <c r="BI49" s="203"/>
      <c r="BJ49" s="155"/>
      <c r="BK49" s="199"/>
      <c r="BM49" s="155"/>
      <c r="BN49" s="258"/>
      <c r="BO49" s="259"/>
      <c r="BP49" s="259"/>
      <c r="BQ49" s="260"/>
    </row>
    <row r="50" spans="1:69" ht="8.1" customHeight="1" x14ac:dyDescent="0.25">
      <c r="B50" s="235"/>
      <c r="C50" s="150"/>
      <c r="D50" s="148"/>
      <c r="E50" s="148"/>
      <c r="F50" s="148"/>
      <c r="G50" s="148"/>
      <c r="H50" s="195"/>
      <c r="I50" s="147"/>
      <c r="J50" s="146"/>
      <c r="K50" s="149"/>
      <c r="L50" s="148"/>
      <c r="M50" s="148"/>
      <c r="N50" s="148"/>
      <c r="O50" s="148"/>
      <c r="P50" s="148"/>
      <c r="Q50" s="147"/>
      <c r="R50" s="146"/>
      <c r="S50" s="149"/>
      <c r="T50" s="148"/>
      <c r="U50" s="148"/>
      <c r="V50" s="148"/>
      <c r="W50" s="148"/>
      <c r="X50" s="148"/>
      <c r="Y50" s="147"/>
      <c r="Z50" s="146"/>
      <c r="AA50" s="149"/>
      <c r="AB50" s="148"/>
      <c r="AC50" s="148"/>
      <c r="AD50" s="148"/>
      <c r="AE50" s="148"/>
      <c r="AF50" s="148"/>
      <c r="AG50" s="147"/>
      <c r="AH50" s="146"/>
      <c r="AI50" s="149"/>
      <c r="AJ50" s="148"/>
      <c r="AK50" s="148"/>
      <c r="AL50" s="148"/>
      <c r="AM50" s="148"/>
      <c r="AN50" s="148"/>
      <c r="AO50" s="147"/>
      <c r="AP50" s="146"/>
      <c r="AQ50" s="148"/>
      <c r="AR50" s="148"/>
      <c r="AS50" s="148"/>
      <c r="AT50" s="148"/>
      <c r="AU50" s="148"/>
      <c r="AV50" s="148"/>
      <c r="AW50" s="147"/>
      <c r="AX50" s="146"/>
      <c r="AY50" s="148"/>
      <c r="AZ50" s="148"/>
      <c r="BA50" s="148"/>
      <c r="BB50" s="148"/>
      <c r="BC50" s="148"/>
      <c r="BD50" s="148"/>
      <c r="BE50" s="147"/>
      <c r="BF50" s="146"/>
      <c r="BG50" s="235"/>
      <c r="BH50" s="198"/>
      <c r="BI50" s="203"/>
      <c r="BJ50" s="155"/>
      <c r="BK50" s="199"/>
      <c r="BL50" s="245"/>
      <c r="BM50" s="155"/>
      <c r="BN50" s="258"/>
      <c r="BO50" s="259"/>
      <c r="BP50" s="259"/>
      <c r="BQ50" s="260"/>
    </row>
    <row r="51" spans="1:69" ht="8.1" customHeight="1" x14ac:dyDescent="0.25">
      <c r="B51" s="234"/>
      <c r="C51" s="154"/>
      <c r="D51" s="153"/>
      <c r="E51" s="153"/>
      <c r="F51" s="153"/>
      <c r="G51" s="153"/>
      <c r="H51" s="159"/>
      <c r="I51" s="152"/>
      <c r="J51" s="151"/>
      <c r="L51" s="153"/>
      <c r="M51" s="153"/>
      <c r="N51" s="153"/>
      <c r="O51" s="153"/>
      <c r="P51" s="153"/>
      <c r="Q51" s="152"/>
      <c r="R51" s="151"/>
      <c r="T51" s="153"/>
      <c r="U51" s="153"/>
      <c r="V51" s="153"/>
      <c r="W51" s="153"/>
      <c r="X51" s="153"/>
      <c r="Y51" s="152"/>
      <c r="Z51" s="151"/>
      <c r="AB51" s="153"/>
      <c r="AC51" s="153"/>
      <c r="AD51" s="153"/>
      <c r="AE51" s="153"/>
      <c r="AF51" s="153"/>
      <c r="AG51" s="152"/>
      <c r="AH51" s="151"/>
      <c r="AJ51" s="153"/>
      <c r="AK51" s="153"/>
      <c r="AL51" s="153"/>
      <c r="AM51" s="153"/>
      <c r="AN51" s="153"/>
      <c r="AO51" s="152"/>
      <c r="AP51" s="151"/>
      <c r="AQ51" s="153"/>
      <c r="AR51" s="153"/>
      <c r="AS51" s="153"/>
      <c r="AT51" s="153"/>
      <c r="AU51" s="153"/>
      <c r="AV51" s="153"/>
      <c r="AW51" s="152"/>
      <c r="AX51" s="151"/>
      <c r="AY51" s="153"/>
      <c r="AZ51" s="153"/>
      <c r="BA51" s="153"/>
      <c r="BB51" s="153"/>
      <c r="BC51" s="153"/>
      <c r="BD51" s="153"/>
      <c r="BE51" s="152"/>
      <c r="BF51" s="151"/>
      <c r="BG51" s="234"/>
      <c r="BH51" s="198"/>
      <c r="BI51" s="203"/>
      <c r="BJ51" s="155"/>
      <c r="BK51" s="199"/>
      <c r="BL51" s="245"/>
      <c r="BM51" s="155"/>
      <c r="BN51" s="258"/>
      <c r="BO51" s="259"/>
      <c r="BP51" s="259"/>
      <c r="BQ51" s="260"/>
    </row>
    <row r="52" spans="1:69" ht="8.1" customHeight="1" x14ac:dyDescent="0.25">
      <c r="B52" s="235"/>
      <c r="C52" s="150"/>
      <c r="D52" s="148"/>
      <c r="E52" s="148"/>
      <c r="F52" s="148"/>
      <c r="G52" s="148"/>
      <c r="H52" s="195"/>
      <c r="I52" s="147"/>
      <c r="J52" s="146"/>
      <c r="K52" s="149"/>
      <c r="L52" s="148"/>
      <c r="M52" s="148"/>
      <c r="N52" s="148"/>
      <c r="O52" s="148"/>
      <c r="P52" s="148"/>
      <c r="Q52" s="147"/>
      <c r="R52" s="146"/>
      <c r="S52" s="149"/>
      <c r="T52" s="148"/>
      <c r="U52" s="148"/>
      <c r="V52" s="148"/>
      <c r="W52" s="148"/>
      <c r="X52" s="148"/>
      <c r="Y52" s="147"/>
      <c r="Z52" s="146"/>
      <c r="AA52" s="149"/>
      <c r="AB52" s="148"/>
      <c r="AC52" s="148"/>
      <c r="AD52" s="148"/>
      <c r="AE52" s="148"/>
      <c r="AF52" s="148"/>
      <c r="AG52" s="147"/>
      <c r="AH52" s="146"/>
      <c r="AI52" s="149"/>
      <c r="AJ52" s="148"/>
      <c r="AK52" s="148"/>
      <c r="AL52" s="148"/>
      <c r="AM52" s="148"/>
      <c r="AN52" s="148"/>
      <c r="AO52" s="147"/>
      <c r="AP52" s="146"/>
      <c r="AQ52" s="148"/>
      <c r="AR52" s="148"/>
      <c r="AS52" s="148"/>
      <c r="AT52" s="148"/>
      <c r="AU52" s="148"/>
      <c r="AV52" s="148"/>
      <c r="AW52" s="147"/>
      <c r="AX52" s="146"/>
      <c r="AY52" s="148"/>
      <c r="AZ52" s="148"/>
      <c r="BA52" s="148"/>
      <c r="BB52" s="148"/>
      <c r="BC52" s="148"/>
      <c r="BD52" s="148"/>
      <c r="BE52" s="147"/>
      <c r="BF52" s="146"/>
      <c r="BG52" s="235"/>
      <c r="BH52" s="198"/>
      <c r="BI52" s="203"/>
      <c r="BJ52" s="155"/>
      <c r="BK52" s="199"/>
      <c r="BM52" s="155"/>
      <c r="BN52" s="258"/>
      <c r="BO52" s="259"/>
      <c r="BP52" s="259"/>
      <c r="BQ52" s="260"/>
    </row>
    <row r="53" spans="1:69" ht="8.1" customHeight="1" x14ac:dyDescent="0.25">
      <c r="B53" s="234" t="s">
        <v>156</v>
      </c>
      <c r="C53" s="154"/>
      <c r="D53" s="153"/>
      <c r="E53" s="153"/>
      <c r="F53" s="153"/>
      <c r="G53" s="153"/>
      <c r="H53" s="159"/>
      <c r="I53" s="152"/>
      <c r="J53" s="151"/>
      <c r="L53" s="153"/>
      <c r="M53" s="153"/>
      <c r="N53" s="153"/>
      <c r="O53" s="153"/>
      <c r="P53" s="153"/>
      <c r="Q53" s="152"/>
      <c r="R53" s="151"/>
      <c r="T53" s="153"/>
      <c r="U53" s="153"/>
      <c r="V53" s="153"/>
      <c r="W53" s="153"/>
      <c r="X53" s="153"/>
      <c r="Y53" s="152"/>
      <c r="Z53" s="151"/>
      <c r="AB53" s="153"/>
      <c r="AC53" s="153"/>
      <c r="AD53" s="153"/>
      <c r="AE53" s="153"/>
      <c r="AF53" s="153"/>
      <c r="AG53" s="152"/>
      <c r="AH53" s="151"/>
      <c r="AJ53" s="153"/>
      <c r="AK53" s="153"/>
      <c r="AL53" s="153"/>
      <c r="AM53" s="153"/>
      <c r="AN53" s="153"/>
      <c r="AO53" s="152"/>
      <c r="AP53" s="151"/>
      <c r="AQ53" s="153"/>
      <c r="AR53" s="153"/>
      <c r="AS53" s="153"/>
      <c r="AT53" s="153"/>
      <c r="AU53" s="153"/>
      <c r="AV53" s="153"/>
      <c r="AW53" s="152"/>
      <c r="AX53" s="151"/>
      <c r="AY53" s="153"/>
      <c r="AZ53" s="153"/>
      <c r="BA53" s="153"/>
      <c r="BB53" s="153"/>
      <c r="BC53" s="153"/>
      <c r="BD53" s="153"/>
      <c r="BE53" s="152"/>
      <c r="BF53" s="151"/>
      <c r="BG53" s="234" t="s">
        <v>156</v>
      </c>
      <c r="BH53" s="198"/>
      <c r="BI53" s="203"/>
      <c r="BJ53" s="155"/>
      <c r="BK53" s="199"/>
      <c r="BM53" s="155"/>
      <c r="BN53" s="258"/>
      <c r="BO53" s="259"/>
      <c r="BP53" s="259"/>
      <c r="BQ53" s="260"/>
    </row>
    <row r="54" spans="1:69" ht="8.1" customHeight="1" x14ac:dyDescent="0.25">
      <c r="B54" s="235"/>
      <c r="C54" s="150"/>
      <c r="D54" s="148"/>
      <c r="E54" s="148"/>
      <c r="F54" s="148"/>
      <c r="G54" s="148"/>
      <c r="H54" s="195"/>
      <c r="I54" s="147"/>
      <c r="J54" s="146"/>
      <c r="K54" s="149"/>
      <c r="L54" s="148"/>
      <c r="M54" s="148"/>
      <c r="N54" s="148"/>
      <c r="O54" s="148"/>
      <c r="P54" s="148"/>
      <c r="Q54" s="147"/>
      <c r="R54" s="146"/>
      <c r="S54" s="149"/>
      <c r="T54" s="148"/>
      <c r="U54" s="148"/>
      <c r="V54" s="148"/>
      <c r="W54" s="148"/>
      <c r="X54" s="148"/>
      <c r="Y54" s="147"/>
      <c r="Z54" s="146"/>
      <c r="AA54" s="149"/>
      <c r="AB54" s="148"/>
      <c r="AC54" s="148"/>
      <c r="AD54" s="148"/>
      <c r="AE54" s="148"/>
      <c r="AF54" s="148"/>
      <c r="AG54" s="147"/>
      <c r="AH54" s="146"/>
      <c r="AI54" s="149"/>
      <c r="AJ54" s="148"/>
      <c r="AK54" s="148"/>
      <c r="AL54" s="148"/>
      <c r="AM54" s="148"/>
      <c r="AN54" s="148"/>
      <c r="AO54" s="147"/>
      <c r="AP54" s="146"/>
      <c r="AQ54" s="148"/>
      <c r="AR54" s="148"/>
      <c r="AS54" s="148"/>
      <c r="AT54" s="148"/>
      <c r="AU54" s="148"/>
      <c r="AV54" s="148"/>
      <c r="AW54" s="147"/>
      <c r="AX54" s="146"/>
      <c r="AY54" s="148"/>
      <c r="AZ54" s="148"/>
      <c r="BA54" s="148"/>
      <c r="BB54" s="148"/>
      <c r="BC54" s="148"/>
      <c r="BD54" s="148"/>
      <c r="BE54" s="147"/>
      <c r="BF54" s="146"/>
      <c r="BG54" s="235"/>
      <c r="BH54" s="198"/>
      <c r="BI54" s="203"/>
      <c r="BJ54" s="155"/>
      <c r="BK54" s="199"/>
      <c r="BM54" s="155"/>
      <c r="BN54" s="258"/>
      <c r="BO54" s="259"/>
      <c r="BP54" s="259"/>
      <c r="BQ54" s="260"/>
    </row>
    <row r="55" spans="1:69" ht="8.1" customHeight="1" x14ac:dyDescent="0.25">
      <c r="B55" s="234"/>
      <c r="C55" s="154"/>
      <c r="D55" s="153"/>
      <c r="E55" s="153"/>
      <c r="F55" s="153"/>
      <c r="G55" s="153"/>
      <c r="H55" s="159"/>
      <c r="I55" s="152"/>
      <c r="J55" s="151"/>
      <c r="L55" s="153"/>
      <c r="M55" s="153"/>
      <c r="N55" s="153"/>
      <c r="O55" s="153"/>
      <c r="P55" s="153"/>
      <c r="Q55" s="152"/>
      <c r="R55" s="151"/>
      <c r="T55" s="153"/>
      <c r="U55" s="153"/>
      <c r="V55" s="153"/>
      <c r="W55" s="153"/>
      <c r="X55" s="153"/>
      <c r="Y55" s="152"/>
      <c r="Z55" s="151"/>
      <c r="AB55" s="153"/>
      <c r="AC55" s="153"/>
      <c r="AD55" s="153"/>
      <c r="AE55" s="153"/>
      <c r="AF55" s="153"/>
      <c r="AG55" s="152"/>
      <c r="AH55" s="151"/>
      <c r="AJ55" s="153"/>
      <c r="AK55" s="153"/>
      <c r="AL55" s="153"/>
      <c r="AM55" s="153"/>
      <c r="AN55" s="153"/>
      <c r="AO55" s="152"/>
      <c r="AP55" s="151"/>
      <c r="AQ55" s="153"/>
      <c r="AR55" s="153"/>
      <c r="AS55" s="153"/>
      <c r="AT55" s="153"/>
      <c r="AU55" s="153"/>
      <c r="AV55" s="153"/>
      <c r="AW55" s="152"/>
      <c r="AX55" s="151"/>
      <c r="AY55" s="153"/>
      <c r="AZ55" s="153"/>
      <c r="BA55" s="153"/>
      <c r="BB55" s="153"/>
      <c r="BC55" s="153"/>
      <c r="BD55" s="153"/>
      <c r="BE55" s="152"/>
      <c r="BF55" s="151"/>
      <c r="BG55" s="234"/>
      <c r="BH55" s="198"/>
      <c r="BI55" s="203"/>
      <c r="BJ55" s="155"/>
      <c r="BK55" s="199"/>
      <c r="BM55" s="155"/>
      <c r="BN55" s="258"/>
      <c r="BO55" s="259"/>
      <c r="BP55" s="259"/>
      <c r="BQ55" s="260"/>
    </row>
    <row r="56" spans="1:69" ht="8.1" customHeight="1" x14ac:dyDescent="0.25">
      <c r="A56" s="157"/>
      <c r="B56" s="235"/>
      <c r="C56" s="150"/>
      <c r="D56" s="148"/>
      <c r="E56" s="148"/>
      <c r="F56" s="148"/>
      <c r="G56" s="148"/>
      <c r="H56" s="195"/>
      <c r="I56" s="147"/>
      <c r="J56" s="146"/>
      <c r="K56" s="149"/>
      <c r="L56" s="148"/>
      <c r="M56" s="148"/>
      <c r="N56" s="148"/>
      <c r="O56" s="148"/>
      <c r="P56" s="148"/>
      <c r="Q56" s="147"/>
      <c r="R56" s="146"/>
      <c r="S56" s="149"/>
      <c r="T56" s="148"/>
      <c r="U56" s="148"/>
      <c r="V56" s="148"/>
      <c r="W56" s="148"/>
      <c r="X56" s="148"/>
      <c r="Y56" s="147"/>
      <c r="Z56" s="146"/>
      <c r="AA56" s="149"/>
      <c r="AB56" s="148"/>
      <c r="AC56" s="148"/>
      <c r="AD56" s="148"/>
      <c r="AE56" s="148"/>
      <c r="AF56" s="148"/>
      <c r="AG56" s="147"/>
      <c r="AH56" s="146"/>
      <c r="AI56" s="149"/>
      <c r="AJ56" s="148"/>
      <c r="AK56" s="148"/>
      <c r="AL56" s="148"/>
      <c r="AM56" s="148"/>
      <c r="AN56" s="148"/>
      <c r="AO56" s="147"/>
      <c r="AP56" s="146"/>
      <c r="AQ56" s="148"/>
      <c r="AR56" s="148"/>
      <c r="AS56" s="148"/>
      <c r="AT56" s="148"/>
      <c r="AU56" s="148"/>
      <c r="AV56" s="148"/>
      <c r="AW56" s="147"/>
      <c r="AX56" s="146"/>
      <c r="AY56" s="148"/>
      <c r="AZ56" s="148"/>
      <c r="BA56" s="148"/>
      <c r="BB56" s="148"/>
      <c r="BC56" s="148"/>
      <c r="BD56" s="148"/>
      <c r="BE56" s="147"/>
      <c r="BF56" s="146"/>
      <c r="BG56" s="235"/>
      <c r="BH56" s="198"/>
      <c r="BI56" s="203"/>
      <c r="BJ56" s="155"/>
      <c r="BK56" s="199"/>
      <c r="BM56" s="155"/>
      <c r="BN56" s="258"/>
      <c r="BO56" s="259"/>
      <c r="BP56" s="259"/>
      <c r="BQ56" s="260"/>
    </row>
    <row r="57" spans="1:69" ht="8.1" customHeight="1" x14ac:dyDescent="0.25">
      <c r="B57" s="234" t="s">
        <v>157</v>
      </c>
      <c r="C57" s="154"/>
      <c r="D57" s="153"/>
      <c r="E57" s="153"/>
      <c r="F57" s="153"/>
      <c r="G57" s="153"/>
      <c r="H57" s="159"/>
      <c r="I57" s="152"/>
      <c r="J57" s="151"/>
      <c r="L57" s="153"/>
      <c r="M57" s="153"/>
      <c r="N57" s="153"/>
      <c r="O57" s="153"/>
      <c r="P57" s="153"/>
      <c r="Q57" s="152"/>
      <c r="R57" s="151"/>
      <c r="T57" s="153"/>
      <c r="U57" s="153"/>
      <c r="V57" s="153"/>
      <c r="W57" s="153"/>
      <c r="X57" s="153"/>
      <c r="Y57" s="152"/>
      <c r="Z57" s="151"/>
      <c r="AB57" s="153"/>
      <c r="AC57" s="153"/>
      <c r="AD57" s="153"/>
      <c r="AE57" s="153"/>
      <c r="AF57" s="153"/>
      <c r="AG57" s="152"/>
      <c r="AH57" s="151"/>
      <c r="AJ57" s="153"/>
      <c r="AK57" s="153"/>
      <c r="AL57" s="153"/>
      <c r="AM57" s="153"/>
      <c r="AN57" s="153"/>
      <c r="AO57" s="152"/>
      <c r="AP57" s="151"/>
      <c r="AQ57" s="153"/>
      <c r="AR57" s="153"/>
      <c r="AS57" s="153"/>
      <c r="AT57" s="153"/>
      <c r="AU57" s="153"/>
      <c r="AV57" s="153"/>
      <c r="AW57" s="152"/>
      <c r="AX57" s="151"/>
      <c r="AY57" s="153"/>
      <c r="AZ57" s="153"/>
      <c r="BA57" s="153"/>
      <c r="BB57" s="153"/>
      <c r="BC57" s="153"/>
      <c r="BD57" s="153"/>
      <c r="BE57" s="152"/>
      <c r="BF57" s="151"/>
      <c r="BG57" s="234" t="s">
        <v>157</v>
      </c>
      <c r="BH57" s="198"/>
      <c r="BI57" s="155"/>
      <c r="BJ57" s="155"/>
      <c r="BK57" s="199"/>
      <c r="BM57" s="155"/>
      <c r="BN57" s="258"/>
      <c r="BO57" s="259"/>
      <c r="BP57" s="259"/>
      <c r="BQ57" s="260"/>
    </row>
    <row r="58" spans="1:69" ht="8.1" customHeight="1" x14ac:dyDescent="0.25">
      <c r="B58" s="235"/>
      <c r="C58" s="150"/>
      <c r="D58" s="148"/>
      <c r="E58" s="148"/>
      <c r="F58" s="148"/>
      <c r="G58" s="148"/>
      <c r="H58" s="195"/>
      <c r="I58" s="147"/>
      <c r="J58" s="146"/>
      <c r="K58" s="149"/>
      <c r="L58" s="148"/>
      <c r="M58" s="148"/>
      <c r="N58" s="148"/>
      <c r="O58" s="148"/>
      <c r="P58" s="148"/>
      <c r="Q58" s="147"/>
      <c r="R58" s="146"/>
      <c r="S58" s="149"/>
      <c r="T58" s="148"/>
      <c r="U58" s="148"/>
      <c r="V58" s="148"/>
      <c r="W58" s="148"/>
      <c r="X58" s="148"/>
      <c r="Y58" s="147"/>
      <c r="Z58" s="146"/>
      <c r="AA58" s="149"/>
      <c r="AB58" s="148"/>
      <c r="AC58" s="148"/>
      <c r="AD58" s="148"/>
      <c r="AE58" s="148"/>
      <c r="AF58" s="148"/>
      <c r="AG58" s="147"/>
      <c r="AH58" s="146"/>
      <c r="AI58" s="149"/>
      <c r="AJ58" s="148"/>
      <c r="AK58" s="148"/>
      <c r="AL58" s="148"/>
      <c r="AM58" s="148"/>
      <c r="AN58" s="148"/>
      <c r="AO58" s="147"/>
      <c r="AP58" s="146"/>
      <c r="AQ58" s="148"/>
      <c r="AR58" s="148"/>
      <c r="AS58" s="148"/>
      <c r="AT58" s="148"/>
      <c r="AU58" s="148"/>
      <c r="AV58" s="148"/>
      <c r="AW58" s="147"/>
      <c r="AX58" s="146"/>
      <c r="AY58" s="148"/>
      <c r="AZ58" s="148"/>
      <c r="BA58" s="148"/>
      <c r="BB58" s="148"/>
      <c r="BC58" s="148"/>
      <c r="BD58" s="148"/>
      <c r="BE58" s="147"/>
      <c r="BF58" s="146"/>
      <c r="BG58" s="235"/>
      <c r="BH58" s="198"/>
      <c r="BI58" s="155"/>
      <c r="BJ58" s="155"/>
      <c r="BK58" s="199"/>
      <c r="BM58" s="155"/>
      <c r="BN58" s="258"/>
      <c r="BO58" s="259"/>
      <c r="BP58" s="259"/>
      <c r="BQ58" s="260"/>
    </row>
    <row r="59" spans="1:69" ht="8.1" customHeight="1" x14ac:dyDescent="0.25">
      <c r="B59" s="234"/>
      <c r="C59" s="154"/>
      <c r="D59" s="153"/>
      <c r="E59" s="153"/>
      <c r="F59" s="153"/>
      <c r="G59" s="153"/>
      <c r="H59" s="159"/>
      <c r="I59" s="152"/>
      <c r="J59" s="151"/>
      <c r="L59" s="153"/>
      <c r="M59" s="153"/>
      <c r="N59" s="153"/>
      <c r="O59" s="153"/>
      <c r="P59" s="153"/>
      <c r="Q59" s="152"/>
      <c r="R59" s="151"/>
      <c r="T59" s="153"/>
      <c r="U59" s="153"/>
      <c r="V59" s="153"/>
      <c r="W59" s="153"/>
      <c r="X59" s="153"/>
      <c r="Y59" s="152"/>
      <c r="Z59" s="151"/>
      <c r="AB59" s="153"/>
      <c r="AC59" s="153"/>
      <c r="AD59" s="153"/>
      <c r="AE59" s="153"/>
      <c r="AF59" s="153"/>
      <c r="AG59" s="152"/>
      <c r="AH59" s="151"/>
      <c r="AJ59" s="153"/>
      <c r="AK59" s="153"/>
      <c r="AL59" s="153"/>
      <c r="AM59" s="153"/>
      <c r="AN59" s="153"/>
      <c r="AO59" s="152"/>
      <c r="AP59" s="151"/>
      <c r="AQ59" s="153"/>
      <c r="AR59" s="153"/>
      <c r="AS59" s="153"/>
      <c r="AT59" s="153"/>
      <c r="AU59" s="153"/>
      <c r="AV59" s="153"/>
      <c r="AW59" s="152"/>
      <c r="AX59" s="151"/>
      <c r="AY59" s="153"/>
      <c r="AZ59" s="153"/>
      <c r="BA59" s="153"/>
      <c r="BB59" s="153"/>
      <c r="BC59" s="153"/>
      <c r="BD59" s="153"/>
      <c r="BE59" s="152"/>
      <c r="BF59" s="151"/>
      <c r="BG59" s="234"/>
      <c r="BH59" s="198"/>
      <c r="BI59" s="155"/>
      <c r="BJ59" s="155"/>
      <c r="BK59" s="199"/>
      <c r="BM59" s="155"/>
      <c r="BN59" s="258"/>
      <c r="BO59" s="259"/>
      <c r="BP59" s="259"/>
      <c r="BQ59" s="260"/>
    </row>
    <row r="60" spans="1:69" ht="8.1" customHeight="1" x14ac:dyDescent="0.25">
      <c r="B60" s="235"/>
      <c r="C60" s="150"/>
      <c r="D60" s="148"/>
      <c r="E60" s="148"/>
      <c r="F60" s="148"/>
      <c r="G60" s="148"/>
      <c r="H60" s="195"/>
      <c r="I60" s="147"/>
      <c r="J60" s="146"/>
      <c r="K60" s="149"/>
      <c r="L60" s="148"/>
      <c r="M60" s="148"/>
      <c r="N60" s="148"/>
      <c r="O60" s="148"/>
      <c r="P60" s="148"/>
      <c r="Q60" s="147"/>
      <c r="R60" s="146"/>
      <c r="S60" s="149"/>
      <c r="T60" s="148"/>
      <c r="U60" s="148"/>
      <c r="V60" s="148"/>
      <c r="W60" s="148"/>
      <c r="X60" s="148"/>
      <c r="Y60" s="147"/>
      <c r="Z60" s="146"/>
      <c r="AA60" s="149"/>
      <c r="AB60" s="148"/>
      <c r="AC60" s="148"/>
      <c r="AD60" s="148"/>
      <c r="AE60" s="148"/>
      <c r="AF60" s="148"/>
      <c r="AG60" s="147"/>
      <c r="AH60" s="146"/>
      <c r="AI60" s="149"/>
      <c r="AJ60" s="148"/>
      <c r="AK60" s="148"/>
      <c r="AL60" s="148"/>
      <c r="AM60" s="148"/>
      <c r="AN60" s="148"/>
      <c r="AO60" s="147"/>
      <c r="AP60" s="146"/>
      <c r="AQ60" s="148"/>
      <c r="AR60" s="148"/>
      <c r="AS60" s="148"/>
      <c r="AT60" s="148"/>
      <c r="AU60" s="148"/>
      <c r="AV60" s="148"/>
      <c r="AW60" s="147"/>
      <c r="AX60" s="146"/>
      <c r="AY60" s="148"/>
      <c r="AZ60" s="148"/>
      <c r="BA60" s="148"/>
      <c r="BB60" s="148"/>
      <c r="BC60" s="148"/>
      <c r="BD60" s="148"/>
      <c r="BE60" s="147"/>
      <c r="BF60" s="146"/>
      <c r="BG60" s="235"/>
      <c r="BH60" s="198"/>
      <c r="BI60" s="155"/>
      <c r="BJ60" s="155"/>
      <c r="BK60" s="199"/>
      <c r="BM60" s="155"/>
      <c r="BN60" s="258"/>
      <c r="BO60" s="259"/>
      <c r="BP60" s="259"/>
      <c r="BQ60" s="260"/>
    </row>
    <row r="61" spans="1:69" ht="8.1" customHeight="1" x14ac:dyDescent="0.25">
      <c r="B61" s="234" t="s">
        <v>21</v>
      </c>
      <c r="C61" s="154"/>
      <c r="D61" s="153"/>
      <c r="E61" s="153"/>
      <c r="F61" s="153"/>
      <c r="G61" s="153"/>
      <c r="H61" s="159"/>
      <c r="I61" s="152"/>
      <c r="J61" s="151"/>
      <c r="L61" s="153"/>
      <c r="M61" s="153"/>
      <c r="N61" s="153"/>
      <c r="O61" s="153"/>
      <c r="P61" s="153"/>
      <c r="Q61" s="152"/>
      <c r="R61" s="151"/>
      <c r="T61" s="153"/>
      <c r="U61" s="153"/>
      <c r="V61" s="153"/>
      <c r="W61" s="153"/>
      <c r="X61" s="153"/>
      <c r="Y61" s="152"/>
      <c r="Z61" s="151"/>
      <c r="AB61" s="153"/>
      <c r="AC61" s="153"/>
      <c r="AD61" s="153"/>
      <c r="AE61" s="153"/>
      <c r="AF61" s="153"/>
      <c r="AG61" s="152"/>
      <c r="AH61" s="151"/>
      <c r="AJ61" s="153"/>
      <c r="AK61" s="153"/>
      <c r="AL61" s="153"/>
      <c r="AM61" s="153"/>
      <c r="AN61" s="153"/>
      <c r="AO61" s="152"/>
      <c r="AP61" s="151"/>
      <c r="AQ61" s="153"/>
      <c r="AR61" s="153"/>
      <c r="AS61" s="153"/>
      <c r="AT61" s="153"/>
      <c r="AU61" s="153"/>
      <c r="AV61" s="153"/>
      <c r="AW61" s="152"/>
      <c r="AX61" s="151"/>
      <c r="AY61" s="153"/>
      <c r="AZ61" s="153"/>
      <c r="BA61" s="153"/>
      <c r="BB61" s="153"/>
      <c r="BC61" s="153"/>
      <c r="BD61" s="153"/>
      <c r="BE61" s="152"/>
      <c r="BF61" s="151"/>
      <c r="BG61" s="234" t="s">
        <v>21</v>
      </c>
      <c r="BH61" s="198"/>
      <c r="BI61" s="155"/>
      <c r="BJ61" s="155"/>
      <c r="BK61" s="199"/>
      <c r="BM61" s="155"/>
      <c r="BN61" s="258"/>
      <c r="BO61" s="259"/>
      <c r="BP61" s="259"/>
      <c r="BQ61" s="260"/>
    </row>
    <row r="62" spans="1:69" ht="8.1" customHeight="1" x14ac:dyDescent="0.25">
      <c r="B62" s="235"/>
      <c r="C62" s="150"/>
      <c r="D62" s="148"/>
      <c r="E62" s="148"/>
      <c r="F62" s="148"/>
      <c r="G62" s="148"/>
      <c r="H62" s="195"/>
      <c r="I62" s="147"/>
      <c r="J62" s="146"/>
      <c r="K62" s="149"/>
      <c r="L62" s="148"/>
      <c r="M62" s="148"/>
      <c r="N62" s="148"/>
      <c r="O62" s="148"/>
      <c r="P62" s="148"/>
      <c r="Q62" s="147"/>
      <c r="R62" s="146"/>
      <c r="S62" s="149"/>
      <c r="T62" s="148"/>
      <c r="U62" s="148"/>
      <c r="V62" s="148"/>
      <c r="W62" s="148"/>
      <c r="X62" s="148"/>
      <c r="Y62" s="147"/>
      <c r="Z62" s="146"/>
      <c r="AA62" s="149"/>
      <c r="AB62" s="148"/>
      <c r="AC62" s="148"/>
      <c r="AD62" s="148"/>
      <c r="AE62" s="148"/>
      <c r="AF62" s="148"/>
      <c r="AG62" s="147"/>
      <c r="AH62" s="146"/>
      <c r="AI62" s="149"/>
      <c r="AJ62" s="148"/>
      <c r="AK62" s="148"/>
      <c r="AL62" s="148"/>
      <c r="AM62" s="148"/>
      <c r="AN62" s="148"/>
      <c r="AO62" s="147"/>
      <c r="AP62" s="146"/>
      <c r="AQ62" s="148"/>
      <c r="AR62" s="148"/>
      <c r="AS62" s="148"/>
      <c r="AT62" s="148"/>
      <c r="AU62" s="148"/>
      <c r="AV62" s="148"/>
      <c r="AW62" s="147"/>
      <c r="AX62" s="146"/>
      <c r="AY62" s="148"/>
      <c r="AZ62" s="148"/>
      <c r="BA62" s="148"/>
      <c r="BB62" s="148"/>
      <c r="BC62" s="148"/>
      <c r="BD62" s="148"/>
      <c r="BE62" s="147"/>
      <c r="BF62" s="146"/>
      <c r="BG62" s="235"/>
      <c r="BH62" s="198"/>
      <c r="BI62" s="155"/>
      <c r="BJ62" s="155"/>
      <c r="BK62" s="199"/>
      <c r="BM62" s="155"/>
      <c r="BN62" s="258"/>
      <c r="BO62" s="259"/>
      <c r="BP62" s="259"/>
      <c r="BQ62" s="260"/>
    </row>
    <row r="63" spans="1:69" ht="8.1" customHeight="1" x14ac:dyDescent="0.25">
      <c r="B63" s="234"/>
      <c r="C63" s="154"/>
      <c r="D63" s="153"/>
      <c r="E63" s="153"/>
      <c r="F63" s="153"/>
      <c r="G63" s="153"/>
      <c r="H63" s="159"/>
      <c r="I63" s="152"/>
      <c r="J63" s="151"/>
      <c r="L63" s="153"/>
      <c r="M63" s="153"/>
      <c r="N63" s="153"/>
      <c r="O63" s="153"/>
      <c r="P63" s="153"/>
      <c r="Q63" s="152"/>
      <c r="R63" s="151"/>
      <c r="T63" s="153"/>
      <c r="U63" s="153"/>
      <c r="V63" s="153"/>
      <c r="W63" s="153"/>
      <c r="X63" s="153"/>
      <c r="Y63" s="152"/>
      <c r="Z63" s="151"/>
      <c r="AB63" s="153"/>
      <c r="AC63" s="153"/>
      <c r="AD63" s="153"/>
      <c r="AE63" s="153"/>
      <c r="AF63" s="153"/>
      <c r="AG63" s="152"/>
      <c r="AH63" s="151"/>
      <c r="AJ63" s="153"/>
      <c r="AK63" s="153"/>
      <c r="AL63" s="153"/>
      <c r="AM63" s="153"/>
      <c r="AN63" s="153"/>
      <c r="AO63" s="152"/>
      <c r="AP63" s="151"/>
      <c r="AQ63" s="153"/>
      <c r="AR63" s="153"/>
      <c r="AS63" s="153"/>
      <c r="AT63" s="153"/>
      <c r="AU63" s="153"/>
      <c r="AV63" s="153"/>
      <c r="AW63" s="152"/>
      <c r="AX63" s="151"/>
      <c r="AY63" s="153"/>
      <c r="AZ63" s="153"/>
      <c r="BA63" s="153"/>
      <c r="BB63" s="153"/>
      <c r="BC63" s="153"/>
      <c r="BD63" s="153"/>
      <c r="BE63" s="152"/>
      <c r="BF63" s="151"/>
      <c r="BG63" s="234"/>
      <c r="BH63" s="198"/>
      <c r="BI63" s="155"/>
      <c r="BJ63" s="155"/>
      <c r="BK63" s="199"/>
      <c r="BM63" s="155"/>
      <c r="BN63" s="258"/>
      <c r="BO63" s="259"/>
      <c r="BP63" s="259"/>
      <c r="BQ63" s="260"/>
    </row>
    <row r="64" spans="1:69" ht="8.1" customHeight="1" x14ac:dyDescent="0.25">
      <c r="B64" s="235"/>
      <c r="C64" s="150"/>
      <c r="D64" s="148"/>
      <c r="E64" s="148"/>
      <c r="F64" s="148"/>
      <c r="G64" s="148"/>
      <c r="H64" s="195"/>
      <c r="I64" s="147"/>
      <c r="J64" s="146"/>
      <c r="K64" s="149"/>
      <c r="L64" s="148"/>
      <c r="M64" s="148"/>
      <c r="N64" s="148"/>
      <c r="O64" s="148"/>
      <c r="P64" s="148"/>
      <c r="Q64" s="147"/>
      <c r="R64" s="146"/>
      <c r="S64" s="149"/>
      <c r="T64" s="148"/>
      <c r="U64" s="148"/>
      <c r="V64" s="148"/>
      <c r="W64" s="148"/>
      <c r="X64" s="148"/>
      <c r="Y64" s="147"/>
      <c r="Z64" s="146"/>
      <c r="AA64" s="149"/>
      <c r="AB64" s="148"/>
      <c r="AC64" s="148"/>
      <c r="AD64" s="148"/>
      <c r="AE64" s="148"/>
      <c r="AF64" s="148"/>
      <c r="AG64" s="147"/>
      <c r="AH64" s="146"/>
      <c r="AI64" s="149"/>
      <c r="AJ64" s="148"/>
      <c r="AK64" s="148"/>
      <c r="AL64" s="148"/>
      <c r="AM64" s="148"/>
      <c r="AN64" s="148"/>
      <c r="AO64" s="147"/>
      <c r="AP64" s="146"/>
      <c r="AQ64" s="148"/>
      <c r="AR64" s="148"/>
      <c r="AS64" s="148"/>
      <c r="AT64" s="148"/>
      <c r="AU64" s="148"/>
      <c r="AV64" s="148"/>
      <c r="AW64" s="147"/>
      <c r="AX64" s="146"/>
      <c r="AY64" s="148"/>
      <c r="AZ64" s="148"/>
      <c r="BA64" s="148"/>
      <c r="BB64" s="148"/>
      <c r="BC64" s="148"/>
      <c r="BD64" s="148"/>
      <c r="BE64" s="147"/>
      <c r="BF64" s="146"/>
      <c r="BG64" s="235"/>
      <c r="BH64" s="198"/>
      <c r="BI64" s="155"/>
      <c r="BJ64" s="155"/>
      <c r="BK64" s="199"/>
      <c r="BM64" s="155"/>
      <c r="BN64" s="258"/>
      <c r="BO64" s="259"/>
      <c r="BP64" s="259"/>
      <c r="BQ64" s="260"/>
    </row>
    <row r="65" spans="2:69" ht="8.1" customHeight="1" x14ac:dyDescent="0.25">
      <c r="B65" s="234" t="s">
        <v>158</v>
      </c>
      <c r="C65" s="154"/>
      <c r="D65" s="153"/>
      <c r="E65" s="153"/>
      <c r="F65" s="153"/>
      <c r="G65" s="153"/>
      <c r="H65" s="159"/>
      <c r="I65" s="152"/>
      <c r="J65" s="151"/>
      <c r="L65" s="153"/>
      <c r="M65" s="153"/>
      <c r="N65" s="153"/>
      <c r="O65" s="153"/>
      <c r="P65" s="153"/>
      <c r="Q65" s="152"/>
      <c r="R65" s="151"/>
      <c r="T65" s="153"/>
      <c r="U65" s="153"/>
      <c r="V65" s="153"/>
      <c r="W65" s="153"/>
      <c r="X65" s="153"/>
      <c r="Y65" s="152"/>
      <c r="Z65" s="151"/>
      <c r="AB65" s="153"/>
      <c r="AC65" s="153"/>
      <c r="AD65" s="153"/>
      <c r="AE65" s="153"/>
      <c r="AF65" s="153"/>
      <c r="AG65" s="152"/>
      <c r="AH65" s="151"/>
      <c r="AJ65" s="153"/>
      <c r="AK65" s="153"/>
      <c r="AL65" s="153"/>
      <c r="AM65" s="153"/>
      <c r="AN65" s="153"/>
      <c r="AO65" s="152"/>
      <c r="AP65" s="151"/>
      <c r="AQ65" s="153"/>
      <c r="AR65" s="153"/>
      <c r="AS65" s="153"/>
      <c r="AT65" s="153"/>
      <c r="AU65" s="153"/>
      <c r="AV65" s="153"/>
      <c r="AW65" s="152"/>
      <c r="AX65" s="151"/>
      <c r="AY65" s="153"/>
      <c r="AZ65" s="153"/>
      <c r="BA65" s="153"/>
      <c r="BB65" s="153"/>
      <c r="BC65" s="153"/>
      <c r="BD65" s="153"/>
      <c r="BE65" s="152"/>
      <c r="BF65" s="151"/>
      <c r="BG65" s="234" t="s">
        <v>158</v>
      </c>
      <c r="BH65" s="198"/>
      <c r="BI65" s="155"/>
      <c r="BJ65" s="155"/>
      <c r="BK65" s="199"/>
      <c r="BM65" s="155"/>
      <c r="BN65" s="258"/>
      <c r="BO65" s="259"/>
      <c r="BP65" s="259"/>
      <c r="BQ65" s="260"/>
    </row>
    <row r="66" spans="2:69" ht="8.1" customHeight="1" x14ac:dyDescent="0.25">
      <c r="B66" s="235"/>
      <c r="C66" s="150"/>
      <c r="D66" s="148"/>
      <c r="E66" s="148"/>
      <c r="F66" s="148"/>
      <c r="G66" s="148"/>
      <c r="H66" s="195"/>
      <c r="I66" s="147"/>
      <c r="J66" s="146"/>
      <c r="K66" s="149"/>
      <c r="L66" s="148"/>
      <c r="M66" s="148"/>
      <c r="N66" s="148"/>
      <c r="O66" s="148"/>
      <c r="P66" s="148"/>
      <c r="Q66" s="147"/>
      <c r="R66" s="146"/>
      <c r="S66" s="149"/>
      <c r="T66" s="148"/>
      <c r="U66" s="148"/>
      <c r="V66" s="148"/>
      <c r="W66" s="148"/>
      <c r="X66" s="148"/>
      <c r="Y66" s="147"/>
      <c r="Z66" s="146"/>
      <c r="AA66" s="149"/>
      <c r="AB66" s="148"/>
      <c r="AC66" s="148"/>
      <c r="AD66" s="148"/>
      <c r="AE66" s="148"/>
      <c r="AF66" s="148"/>
      <c r="AG66" s="147"/>
      <c r="AH66" s="146"/>
      <c r="AI66" s="149"/>
      <c r="AJ66" s="148"/>
      <c r="AK66" s="148"/>
      <c r="AL66" s="148"/>
      <c r="AM66" s="148"/>
      <c r="AN66" s="148"/>
      <c r="AO66" s="147"/>
      <c r="AP66" s="146"/>
      <c r="AQ66" s="148"/>
      <c r="AR66" s="148"/>
      <c r="AS66" s="148"/>
      <c r="AT66" s="148"/>
      <c r="AU66" s="148"/>
      <c r="AV66" s="148"/>
      <c r="AW66" s="147"/>
      <c r="AX66" s="146"/>
      <c r="AY66" s="148"/>
      <c r="AZ66" s="148"/>
      <c r="BA66" s="148"/>
      <c r="BB66" s="148"/>
      <c r="BC66" s="148"/>
      <c r="BD66" s="148"/>
      <c r="BE66" s="147"/>
      <c r="BF66" s="146"/>
      <c r="BG66" s="235"/>
      <c r="BH66" s="198"/>
      <c r="BI66" s="155"/>
      <c r="BJ66" s="155"/>
      <c r="BK66" s="199"/>
      <c r="BM66" s="155"/>
      <c r="BN66" s="258"/>
      <c r="BO66" s="259"/>
      <c r="BP66" s="259"/>
      <c r="BQ66" s="260"/>
    </row>
    <row r="67" spans="2:69" ht="8.1" customHeight="1" x14ac:dyDescent="0.25">
      <c r="B67" s="234"/>
      <c r="C67" s="154"/>
      <c r="D67" s="153"/>
      <c r="E67" s="153"/>
      <c r="F67" s="153"/>
      <c r="G67" s="153"/>
      <c r="H67" s="159"/>
      <c r="I67" s="152"/>
      <c r="J67" s="151"/>
      <c r="L67" s="153"/>
      <c r="M67" s="153"/>
      <c r="N67" s="153"/>
      <c r="O67" s="153"/>
      <c r="P67" s="153"/>
      <c r="Q67" s="152"/>
      <c r="R67" s="151"/>
      <c r="T67" s="153"/>
      <c r="U67" s="153"/>
      <c r="V67" s="153"/>
      <c r="W67" s="153"/>
      <c r="X67" s="153"/>
      <c r="Y67" s="152"/>
      <c r="Z67" s="151"/>
      <c r="AB67" s="153"/>
      <c r="AC67" s="153"/>
      <c r="AD67" s="153"/>
      <c r="AE67" s="153"/>
      <c r="AF67" s="153"/>
      <c r="AG67" s="152"/>
      <c r="AH67" s="151"/>
      <c r="AJ67" s="153"/>
      <c r="AK67" s="153"/>
      <c r="AL67" s="153"/>
      <c r="AM67" s="153"/>
      <c r="AN67" s="153"/>
      <c r="AO67" s="152"/>
      <c r="AP67" s="151"/>
      <c r="AQ67" s="153"/>
      <c r="AR67" s="153"/>
      <c r="AS67" s="153"/>
      <c r="AT67" s="153"/>
      <c r="AU67" s="153"/>
      <c r="AV67" s="153"/>
      <c r="AW67" s="152"/>
      <c r="AX67" s="151"/>
      <c r="AY67" s="153"/>
      <c r="AZ67" s="153"/>
      <c r="BA67" s="153"/>
      <c r="BB67" s="153"/>
      <c r="BC67" s="153"/>
      <c r="BD67" s="153"/>
      <c r="BE67" s="152"/>
      <c r="BF67" s="151"/>
      <c r="BG67" s="234"/>
      <c r="BH67" s="198"/>
      <c r="BI67" s="155"/>
      <c r="BJ67" s="155"/>
      <c r="BK67" s="199"/>
      <c r="BL67" s="156"/>
      <c r="BM67" s="155"/>
      <c r="BN67" s="258"/>
      <c r="BO67" s="259"/>
      <c r="BP67" s="259"/>
      <c r="BQ67" s="260"/>
    </row>
    <row r="68" spans="2:69" ht="8.1" customHeight="1" x14ac:dyDescent="0.25">
      <c r="B68" s="235"/>
      <c r="C68" s="150"/>
      <c r="D68" s="148"/>
      <c r="E68" s="148"/>
      <c r="F68" s="148"/>
      <c r="G68" s="148"/>
      <c r="H68" s="195"/>
      <c r="I68" s="147"/>
      <c r="J68" s="146"/>
      <c r="K68" s="149"/>
      <c r="L68" s="148"/>
      <c r="M68" s="148"/>
      <c r="N68" s="148"/>
      <c r="O68" s="148"/>
      <c r="P68" s="148"/>
      <c r="Q68" s="147"/>
      <c r="R68" s="146"/>
      <c r="S68" s="149"/>
      <c r="T68" s="148"/>
      <c r="U68" s="148"/>
      <c r="V68" s="148"/>
      <c r="W68" s="148"/>
      <c r="X68" s="148"/>
      <c r="Y68" s="147"/>
      <c r="Z68" s="146"/>
      <c r="AA68" s="149"/>
      <c r="AB68" s="148"/>
      <c r="AC68" s="148"/>
      <c r="AD68" s="148"/>
      <c r="AE68" s="148"/>
      <c r="AF68" s="148"/>
      <c r="AG68" s="147"/>
      <c r="AH68" s="146"/>
      <c r="AI68" s="149"/>
      <c r="AJ68" s="148"/>
      <c r="AK68" s="148"/>
      <c r="AL68" s="148"/>
      <c r="AM68" s="148"/>
      <c r="AN68" s="148"/>
      <c r="AO68" s="147"/>
      <c r="AP68" s="146"/>
      <c r="AQ68" s="148"/>
      <c r="AR68" s="148"/>
      <c r="AS68" s="148"/>
      <c r="AT68" s="148"/>
      <c r="AU68" s="148"/>
      <c r="AV68" s="148"/>
      <c r="AW68" s="147"/>
      <c r="AX68" s="146"/>
      <c r="AY68" s="148"/>
      <c r="AZ68" s="148"/>
      <c r="BA68" s="148"/>
      <c r="BB68" s="148"/>
      <c r="BC68" s="148"/>
      <c r="BD68" s="148"/>
      <c r="BE68" s="147"/>
      <c r="BF68" s="146"/>
      <c r="BG68" s="235"/>
      <c r="BH68" s="200"/>
      <c r="BI68" s="201"/>
      <c r="BJ68" s="201"/>
      <c r="BK68" s="202"/>
      <c r="BM68" s="155"/>
      <c r="BN68" s="261"/>
      <c r="BO68" s="262"/>
      <c r="BP68" s="262"/>
      <c r="BQ68" s="263"/>
    </row>
    <row r="69" spans="2:69" ht="8.1" customHeight="1" x14ac:dyDescent="0.25">
      <c r="B69" s="234" t="s">
        <v>159</v>
      </c>
      <c r="C69" s="154"/>
      <c r="D69" s="153"/>
      <c r="E69" s="153"/>
      <c r="F69" s="153"/>
      <c r="G69" s="153"/>
      <c r="H69" s="159"/>
      <c r="I69" s="152"/>
      <c r="J69" s="151"/>
      <c r="L69" s="153"/>
      <c r="M69" s="153"/>
      <c r="N69" s="153"/>
      <c r="O69" s="153"/>
      <c r="P69" s="153"/>
      <c r="Q69" s="152"/>
      <c r="R69" s="151"/>
      <c r="T69" s="153"/>
      <c r="U69" s="153"/>
      <c r="V69" s="153"/>
      <c r="W69" s="153"/>
      <c r="X69" s="153"/>
      <c r="Y69" s="152"/>
      <c r="Z69" s="151"/>
      <c r="AB69" s="153"/>
      <c r="AC69" s="153"/>
      <c r="AD69" s="153"/>
      <c r="AE69" s="153"/>
      <c r="AF69" s="153"/>
      <c r="AG69" s="152"/>
      <c r="AH69" s="151"/>
      <c r="AJ69" s="153"/>
      <c r="AK69" s="153"/>
      <c r="AL69" s="153"/>
      <c r="AM69" s="153"/>
      <c r="AN69" s="153"/>
      <c r="AO69" s="152"/>
      <c r="AP69" s="151"/>
      <c r="AQ69" s="153"/>
      <c r="AR69" s="153"/>
      <c r="AS69" s="153"/>
      <c r="AT69" s="153"/>
      <c r="AU69" s="153"/>
      <c r="AV69" s="153"/>
      <c r="AW69" s="152"/>
      <c r="AX69" s="151"/>
      <c r="AY69" s="153"/>
      <c r="AZ69" s="153"/>
      <c r="BA69" s="153"/>
      <c r="BB69" s="153"/>
      <c r="BC69" s="153"/>
      <c r="BD69" s="153"/>
      <c r="BE69" s="152"/>
      <c r="BF69" s="151"/>
      <c r="BG69" s="234" t="s">
        <v>159</v>
      </c>
      <c r="BH69" s="138"/>
      <c r="BI69" s="137"/>
      <c r="BJ69" s="137"/>
      <c r="BK69" s="136"/>
      <c r="BM69" s="155"/>
      <c r="BN69" s="155"/>
      <c r="BO69" s="155"/>
      <c r="BP69" s="155"/>
    </row>
    <row r="70" spans="2:69" ht="8.1" customHeight="1" x14ac:dyDescent="0.25">
      <c r="B70" s="235"/>
      <c r="C70" s="150"/>
      <c r="D70" s="148"/>
      <c r="E70" s="148"/>
      <c r="F70" s="148"/>
      <c r="G70" s="148"/>
      <c r="H70" s="195"/>
      <c r="I70" s="147"/>
      <c r="J70" s="146"/>
      <c r="K70" s="149"/>
      <c r="L70" s="148"/>
      <c r="M70" s="148"/>
      <c r="N70" s="148"/>
      <c r="O70" s="148"/>
      <c r="P70" s="148"/>
      <c r="Q70" s="147"/>
      <c r="R70" s="146"/>
      <c r="S70" s="149"/>
      <c r="T70" s="148"/>
      <c r="U70" s="148"/>
      <c r="V70" s="148"/>
      <c r="W70" s="148"/>
      <c r="X70" s="148"/>
      <c r="Y70" s="147"/>
      <c r="Z70" s="146"/>
      <c r="AA70" s="149"/>
      <c r="AB70" s="148"/>
      <c r="AC70" s="148"/>
      <c r="AD70" s="148"/>
      <c r="AE70" s="148"/>
      <c r="AF70" s="148"/>
      <c r="AG70" s="147"/>
      <c r="AH70" s="146"/>
      <c r="AI70" s="149"/>
      <c r="AJ70" s="148"/>
      <c r="AK70" s="148"/>
      <c r="AL70" s="148"/>
      <c r="AM70" s="148"/>
      <c r="AN70" s="148"/>
      <c r="AO70" s="147"/>
      <c r="AP70" s="146"/>
      <c r="AQ70" s="148"/>
      <c r="AR70" s="148"/>
      <c r="AS70" s="148"/>
      <c r="AT70" s="148"/>
      <c r="AU70" s="148"/>
      <c r="AV70" s="148"/>
      <c r="AW70" s="147"/>
      <c r="AX70" s="146"/>
      <c r="AY70" s="148"/>
      <c r="AZ70" s="148"/>
      <c r="BA70" s="148"/>
      <c r="BB70" s="148"/>
      <c r="BC70" s="148"/>
      <c r="BD70" s="148"/>
      <c r="BE70" s="147"/>
      <c r="BF70" s="146"/>
      <c r="BG70" s="235"/>
      <c r="BH70" s="138"/>
      <c r="BI70" s="267" t="s">
        <v>3</v>
      </c>
      <c r="BJ70" s="267"/>
      <c r="BK70" s="136"/>
      <c r="BM70" s="155"/>
      <c r="BN70" s="155"/>
      <c r="BO70" s="155"/>
      <c r="BP70" s="155"/>
    </row>
    <row r="71" spans="2:69" ht="8.1" customHeight="1" x14ac:dyDescent="0.25">
      <c r="B71" s="234"/>
      <c r="C71" s="154"/>
      <c r="D71" s="153"/>
      <c r="E71" s="153"/>
      <c r="F71" s="153"/>
      <c r="G71" s="153"/>
      <c r="H71" s="159"/>
      <c r="I71" s="152"/>
      <c r="J71" s="151"/>
      <c r="L71" s="153"/>
      <c r="M71" s="153"/>
      <c r="N71" s="153"/>
      <c r="O71" s="153"/>
      <c r="P71" s="153"/>
      <c r="Q71" s="152"/>
      <c r="R71" s="151"/>
      <c r="T71" s="153"/>
      <c r="U71" s="153"/>
      <c r="V71" s="153"/>
      <c r="W71" s="153"/>
      <c r="X71" s="153"/>
      <c r="Y71" s="152"/>
      <c r="Z71" s="151"/>
      <c r="AB71" s="153"/>
      <c r="AC71" s="153"/>
      <c r="AD71" s="153"/>
      <c r="AE71" s="153"/>
      <c r="AF71" s="153"/>
      <c r="AG71" s="152"/>
      <c r="AH71" s="151"/>
      <c r="AJ71" s="153"/>
      <c r="AK71" s="153"/>
      <c r="AL71" s="153"/>
      <c r="AM71" s="153"/>
      <c r="AN71" s="153"/>
      <c r="AO71" s="152"/>
      <c r="AP71" s="151"/>
      <c r="AQ71" s="153"/>
      <c r="AR71" s="153"/>
      <c r="AS71" s="153"/>
      <c r="AT71" s="153"/>
      <c r="AU71" s="153"/>
      <c r="AV71" s="153"/>
      <c r="AW71" s="152"/>
      <c r="AX71" s="151"/>
      <c r="AY71" s="153"/>
      <c r="AZ71" s="153"/>
      <c r="BA71" s="153"/>
      <c r="BB71" s="153"/>
      <c r="BC71" s="153"/>
      <c r="BD71" s="153"/>
      <c r="BE71" s="152"/>
      <c r="BF71" s="151"/>
      <c r="BG71" s="234"/>
      <c r="BH71" s="138"/>
      <c r="BI71" s="267"/>
      <c r="BJ71" s="267"/>
      <c r="BK71" s="136"/>
      <c r="BM71" s="155"/>
      <c r="BN71" s="155"/>
      <c r="BO71" s="155"/>
      <c r="BP71" s="155"/>
    </row>
    <row r="72" spans="2:69" ht="8.1" customHeight="1" x14ac:dyDescent="0.25">
      <c r="B72" s="235"/>
      <c r="C72" s="150"/>
      <c r="D72" s="148"/>
      <c r="E72" s="148"/>
      <c r="F72" s="148"/>
      <c r="G72" s="148"/>
      <c r="H72" s="195"/>
      <c r="I72" s="147"/>
      <c r="J72" s="146"/>
      <c r="K72" s="149"/>
      <c r="L72" s="148"/>
      <c r="M72" s="148"/>
      <c r="N72" s="148"/>
      <c r="O72" s="148"/>
      <c r="P72" s="148"/>
      <c r="Q72" s="147"/>
      <c r="R72" s="146"/>
      <c r="S72" s="149"/>
      <c r="T72" s="148"/>
      <c r="U72" s="148"/>
      <c r="V72" s="148"/>
      <c r="W72" s="148"/>
      <c r="X72" s="148"/>
      <c r="Y72" s="147"/>
      <c r="Z72" s="146"/>
      <c r="AA72" s="149"/>
      <c r="AB72" s="148"/>
      <c r="AC72" s="148"/>
      <c r="AD72" s="148"/>
      <c r="AE72" s="148"/>
      <c r="AF72" s="148"/>
      <c r="AG72" s="147"/>
      <c r="AH72" s="146"/>
      <c r="AI72" s="149"/>
      <c r="AJ72" s="148"/>
      <c r="AK72" s="148"/>
      <c r="AL72" s="148"/>
      <c r="AM72" s="148"/>
      <c r="AN72" s="148"/>
      <c r="AO72" s="147"/>
      <c r="AP72" s="146"/>
      <c r="AQ72" s="148"/>
      <c r="AR72" s="148"/>
      <c r="AS72" s="148"/>
      <c r="AT72" s="148"/>
      <c r="AU72" s="148"/>
      <c r="AV72" s="148"/>
      <c r="AW72" s="147"/>
      <c r="AX72" s="146"/>
      <c r="AY72" s="148"/>
      <c r="AZ72" s="148"/>
      <c r="BA72" s="148"/>
      <c r="BB72" s="148"/>
      <c r="BC72" s="148"/>
      <c r="BD72" s="148"/>
      <c r="BE72" s="147"/>
      <c r="BF72" s="146"/>
      <c r="BG72" s="235"/>
      <c r="BH72" s="138"/>
      <c r="BI72" s="233" t="e" vm="1">
        <v>#VALUE!</v>
      </c>
      <c r="BJ72" s="233"/>
      <c r="BK72" s="136"/>
      <c r="BM72" s="155"/>
      <c r="BN72" s="155"/>
      <c r="BO72" s="155"/>
      <c r="BP72" s="155"/>
    </row>
    <row r="73" spans="2:69" ht="8.1" customHeight="1" x14ac:dyDescent="0.25">
      <c r="B73" s="234" t="s">
        <v>160</v>
      </c>
      <c r="C73" s="154"/>
      <c r="D73" s="153"/>
      <c r="E73" s="153"/>
      <c r="F73" s="153"/>
      <c r="G73" s="153"/>
      <c r="H73" s="159"/>
      <c r="I73" s="152"/>
      <c r="J73" s="151"/>
      <c r="L73" s="153"/>
      <c r="M73" s="153"/>
      <c r="N73" s="153"/>
      <c r="O73" s="153"/>
      <c r="P73" s="153"/>
      <c r="Q73" s="152"/>
      <c r="R73" s="151"/>
      <c r="T73" s="153"/>
      <c r="U73" s="153"/>
      <c r="V73" s="153"/>
      <c r="W73" s="153"/>
      <c r="X73" s="153"/>
      <c r="Y73" s="152"/>
      <c r="Z73" s="151"/>
      <c r="AB73" s="153"/>
      <c r="AC73" s="153"/>
      <c r="AD73" s="153"/>
      <c r="AE73" s="153"/>
      <c r="AF73" s="153"/>
      <c r="AG73" s="152"/>
      <c r="AH73" s="151"/>
      <c r="AJ73" s="153"/>
      <c r="AK73" s="153"/>
      <c r="AL73" s="153"/>
      <c r="AM73" s="153"/>
      <c r="AN73" s="153"/>
      <c r="AO73" s="152"/>
      <c r="AP73" s="151"/>
      <c r="AQ73" s="153"/>
      <c r="AR73" s="153"/>
      <c r="AS73" s="153"/>
      <c r="AT73" s="153"/>
      <c r="AU73" s="153"/>
      <c r="AV73" s="153"/>
      <c r="AW73" s="152"/>
      <c r="AX73" s="151"/>
      <c r="AY73" s="153"/>
      <c r="AZ73" s="153"/>
      <c r="BA73" s="153"/>
      <c r="BB73" s="153"/>
      <c r="BC73" s="153"/>
      <c r="BD73" s="153"/>
      <c r="BE73" s="152"/>
      <c r="BF73" s="151"/>
      <c r="BG73" s="234" t="s">
        <v>160</v>
      </c>
      <c r="BH73" s="138"/>
      <c r="BI73" s="233"/>
      <c r="BJ73" s="233"/>
      <c r="BK73" s="136"/>
    </row>
    <row r="74" spans="2:69" ht="8.1" customHeight="1" x14ac:dyDescent="0.25">
      <c r="B74" s="235"/>
      <c r="C74" s="150"/>
      <c r="D74" s="148"/>
      <c r="E74" s="148"/>
      <c r="F74" s="148"/>
      <c r="G74" s="148"/>
      <c r="H74" s="195"/>
      <c r="I74" s="147"/>
      <c r="J74" s="146"/>
      <c r="K74" s="149"/>
      <c r="L74" s="148"/>
      <c r="M74" s="148"/>
      <c r="N74" s="148"/>
      <c r="O74" s="148"/>
      <c r="P74" s="148"/>
      <c r="Q74" s="147"/>
      <c r="R74" s="146"/>
      <c r="S74" s="149"/>
      <c r="T74" s="148"/>
      <c r="U74" s="148"/>
      <c r="V74" s="148"/>
      <c r="W74" s="148"/>
      <c r="X74" s="148"/>
      <c r="Y74" s="147"/>
      <c r="Z74" s="146"/>
      <c r="AA74" s="149"/>
      <c r="AB74" s="148"/>
      <c r="AC74" s="148"/>
      <c r="AD74" s="148"/>
      <c r="AE74" s="148"/>
      <c r="AF74" s="148"/>
      <c r="AG74" s="147"/>
      <c r="AH74" s="146"/>
      <c r="AI74" s="149"/>
      <c r="AJ74" s="148"/>
      <c r="AK74" s="148"/>
      <c r="AL74" s="148"/>
      <c r="AM74" s="148"/>
      <c r="AN74" s="148"/>
      <c r="AO74" s="147"/>
      <c r="AP74" s="146"/>
      <c r="AQ74" s="148"/>
      <c r="AR74" s="148"/>
      <c r="AS74" s="148"/>
      <c r="AT74" s="148"/>
      <c r="AU74" s="148"/>
      <c r="AV74" s="148"/>
      <c r="AW74" s="147"/>
      <c r="AX74" s="146"/>
      <c r="AY74" s="148"/>
      <c r="AZ74" s="148"/>
      <c r="BA74" s="148"/>
      <c r="BB74" s="148"/>
      <c r="BC74" s="148"/>
      <c r="BD74" s="148"/>
      <c r="BE74" s="147"/>
      <c r="BF74" s="146"/>
      <c r="BG74" s="235"/>
      <c r="BH74" s="138"/>
      <c r="BI74" s="233"/>
      <c r="BJ74" s="233"/>
      <c r="BK74" s="136"/>
    </row>
    <row r="75" spans="2:69" ht="8.1" customHeight="1" x14ac:dyDescent="0.25">
      <c r="B75" s="234"/>
      <c r="C75" s="154"/>
      <c r="D75" s="153"/>
      <c r="E75" s="153"/>
      <c r="F75" s="153"/>
      <c r="G75" s="153"/>
      <c r="H75" s="159"/>
      <c r="I75" s="152"/>
      <c r="J75" s="151"/>
      <c r="L75" s="153"/>
      <c r="M75" s="153"/>
      <c r="N75" s="153"/>
      <c r="O75" s="153"/>
      <c r="P75" s="153"/>
      <c r="Q75" s="152"/>
      <c r="R75" s="151"/>
      <c r="T75" s="153"/>
      <c r="U75" s="153"/>
      <c r="V75" s="153"/>
      <c r="W75" s="153"/>
      <c r="X75" s="153"/>
      <c r="Y75" s="152"/>
      <c r="Z75" s="151"/>
      <c r="AB75" s="153"/>
      <c r="AC75" s="153"/>
      <c r="AD75" s="153"/>
      <c r="AE75" s="153"/>
      <c r="AF75" s="153"/>
      <c r="AG75" s="152"/>
      <c r="AH75" s="151"/>
      <c r="AJ75" s="153"/>
      <c r="AK75" s="153"/>
      <c r="AL75" s="153"/>
      <c r="AM75" s="153"/>
      <c r="AN75" s="153"/>
      <c r="AO75" s="152"/>
      <c r="AP75" s="151"/>
      <c r="AQ75" s="153"/>
      <c r="AR75" s="153"/>
      <c r="AS75" s="153"/>
      <c r="AT75" s="153"/>
      <c r="AU75" s="153"/>
      <c r="AV75" s="153"/>
      <c r="AW75" s="152"/>
      <c r="AX75" s="151"/>
      <c r="AY75" s="153"/>
      <c r="AZ75" s="153"/>
      <c r="BA75" s="153"/>
      <c r="BB75" s="153"/>
      <c r="BC75" s="153"/>
      <c r="BD75" s="153"/>
      <c r="BE75" s="152"/>
      <c r="BF75" s="151"/>
      <c r="BG75" s="234"/>
      <c r="BH75" s="138"/>
      <c r="BI75" s="233"/>
      <c r="BJ75" s="233"/>
      <c r="BK75" s="136"/>
    </row>
    <row r="76" spans="2:69" ht="8.1" customHeight="1" x14ac:dyDescent="0.25">
      <c r="B76" s="235"/>
      <c r="C76" s="150"/>
      <c r="D76" s="148"/>
      <c r="E76" s="148"/>
      <c r="F76" s="148"/>
      <c r="G76" s="148"/>
      <c r="H76" s="195"/>
      <c r="I76" s="147"/>
      <c r="J76" s="146"/>
      <c r="K76" s="149"/>
      <c r="L76" s="148"/>
      <c r="M76" s="148"/>
      <c r="N76" s="148"/>
      <c r="O76" s="148"/>
      <c r="P76" s="148"/>
      <c r="Q76" s="147"/>
      <c r="R76" s="146"/>
      <c r="S76" s="149"/>
      <c r="T76" s="148"/>
      <c r="U76" s="148"/>
      <c r="V76" s="148"/>
      <c r="W76" s="148"/>
      <c r="X76" s="148"/>
      <c r="Y76" s="147"/>
      <c r="Z76" s="146"/>
      <c r="AA76" s="149"/>
      <c r="AB76" s="148"/>
      <c r="AC76" s="148"/>
      <c r="AD76" s="148"/>
      <c r="AE76" s="148"/>
      <c r="AF76" s="148"/>
      <c r="AG76" s="147"/>
      <c r="AH76" s="146"/>
      <c r="AI76" s="149"/>
      <c r="AJ76" s="148"/>
      <c r="AK76" s="148"/>
      <c r="AL76" s="148"/>
      <c r="AM76" s="148"/>
      <c r="AN76" s="148"/>
      <c r="AO76" s="147"/>
      <c r="AP76" s="146"/>
      <c r="AQ76" s="148"/>
      <c r="AR76" s="148"/>
      <c r="AS76" s="148"/>
      <c r="AT76" s="148"/>
      <c r="AU76" s="148"/>
      <c r="AV76" s="148"/>
      <c r="AW76" s="147"/>
      <c r="AX76" s="146"/>
      <c r="AY76" s="148"/>
      <c r="AZ76" s="148"/>
      <c r="BA76" s="148"/>
      <c r="BB76" s="148"/>
      <c r="BC76" s="148"/>
      <c r="BD76" s="148"/>
      <c r="BE76" s="147"/>
      <c r="BF76" s="146"/>
      <c r="BG76" s="235"/>
      <c r="BH76" s="138"/>
      <c r="BI76" s="233"/>
      <c r="BJ76" s="233"/>
      <c r="BK76" s="136"/>
    </row>
    <row r="77" spans="2:69" ht="8.1" customHeight="1" x14ac:dyDescent="0.25">
      <c r="B77" s="234" t="s">
        <v>161</v>
      </c>
      <c r="C77" s="154"/>
      <c r="D77" s="153"/>
      <c r="E77" s="153"/>
      <c r="F77" s="153"/>
      <c r="G77" s="153"/>
      <c r="H77" s="159"/>
      <c r="I77" s="152"/>
      <c r="J77" s="151"/>
      <c r="L77" s="153"/>
      <c r="M77" s="153"/>
      <c r="N77" s="153"/>
      <c r="O77" s="153"/>
      <c r="P77" s="153"/>
      <c r="Q77" s="152"/>
      <c r="R77" s="151"/>
      <c r="T77" s="153"/>
      <c r="U77" s="153"/>
      <c r="V77" s="153"/>
      <c r="W77" s="153"/>
      <c r="X77" s="153"/>
      <c r="Y77" s="152"/>
      <c r="Z77" s="151"/>
      <c r="AB77" s="153"/>
      <c r="AC77" s="153"/>
      <c r="AD77" s="153"/>
      <c r="AE77" s="153"/>
      <c r="AF77" s="153"/>
      <c r="AG77" s="152"/>
      <c r="AH77" s="151"/>
      <c r="AJ77" s="153"/>
      <c r="AK77" s="153"/>
      <c r="AL77" s="153"/>
      <c r="AM77" s="153"/>
      <c r="AN77" s="153"/>
      <c r="AO77" s="152"/>
      <c r="AP77" s="151"/>
      <c r="AQ77" s="153"/>
      <c r="AR77" s="153"/>
      <c r="AS77" s="153"/>
      <c r="AT77" s="153"/>
      <c r="AU77" s="153"/>
      <c r="AV77" s="153"/>
      <c r="AW77" s="152"/>
      <c r="AX77" s="151"/>
      <c r="AY77" s="153"/>
      <c r="AZ77" s="153"/>
      <c r="BA77" s="153"/>
      <c r="BB77" s="153"/>
      <c r="BC77" s="153"/>
      <c r="BD77" s="153"/>
      <c r="BE77" s="152"/>
      <c r="BF77" s="151"/>
      <c r="BG77" s="234" t="s">
        <v>161</v>
      </c>
      <c r="BH77" s="138"/>
      <c r="BI77" s="233"/>
      <c r="BJ77" s="233"/>
      <c r="BK77" s="136"/>
    </row>
    <row r="78" spans="2:69" ht="8.1" customHeight="1" x14ac:dyDescent="0.25">
      <c r="B78" s="235"/>
      <c r="C78" s="150"/>
      <c r="D78" s="148"/>
      <c r="E78" s="148"/>
      <c r="F78" s="148"/>
      <c r="G78" s="148"/>
      <c r="H78" s="195"/>
      <c r="I78" s="147"/>
      <c r="J78" s="146"/>
      <c r="K78" s="149"/>
      <c r="L78" s="148"/>
      <c r="M78" s="148"/>
      <c r="N78" s="148"/>
      <c r="O78" s="148"/>
      <c r="P78" s="148"/>
      <c r="Q78" s="147"/>
      <c r="R78" s="146"/>
      <c r="S78" s="149"/>
      <c r="T78" s="148"/>
      <c r="U78" s="148"/>
      <c r="V78" s="148"/>
      <c r="W78" s="148"/>
      <c r="X78" s="148"/>
      <c r="Y78" s="147"/>
      <c r="Z78" s="146"/>
      <c r="AA78" s="149"/>
      <c r="AB78" s="148"/>
      <c r="AC78" s="148"/>
      <c r="AD78" s="148"/>
      <c r="AE78" s="148"/>
      <c r="AF78" s="148"/>
      <c r="AG78" s="147"/>
      <c r="AH78" s="146"/>
      <c r="AI78" s="149"/>
      <c r="AJ78" s="148"/>
      <c r="AK78" s="148"/>
      <c r="AL78" s="148"/>
      <c r="AM78" s="148"/>
      <c r="AN78" s="148"/>
      <c r="AO78" s="147"/>
      <c r="AP78" s="146"/>
      <c r="AQ78" s="148"/>
      <c r="AR78" s="148"/>
      <c r="AS78" s="148"/>
      <c r="AT78" s="148"/>
      <c r="AU78" s="148"/>
      <c r="AV78" s="148"/>
      <c r="AW78" s="147"/>
      <c r="AX78" s="146"/>
      <c r="AY78" s="148"/>
      <c r="AZ78" s="148"/>
      <c r="BA78" s="148"/>
      <c r="BB78" s="148"/>
      <c r="BC78" s="148"/>
      <c r="BD78" s="148"/>
      <c r="BE78" s="147"/>
      <c r="BF78" s="146"/>
      <c r="BG78" s="235"/>
      <c r="BH78" s="138"/>
      <c r="BI78" s="233"/>
      <c r="BJ78" s="233"/>
      <c r="BK78" s="136"/>
    </row>
    <row r="79" spans="2:69" ht="8.1" customHeight="1" x14ac:dyDescent="0.25">
      <c r="B79" s="234"/>
      <c r="C79" s="154"/>
      <c r="D79" s="153"/>
      <c r="E79" s="153"/>
      <c r="F79" s="153"/>
      <c r="G79" s="153"/>
      <c r="H79" s="159"/>
      <c r="I79" s="152"/>
      <c r="J79" s="151"/>
      <c r="L79" s="153"/>
      <c r="M79" s="153"/>
      <c r="N79" s="153"/>
      <c r="O79" s="153"/>
      <c r="P79" s="153"/>
      <c r="Q79" s="152"/>
      <c r="R79" s="151"/>
      <c r="T79" s="153"/>
      <c r="U79" s="153"/>
      <c r="V79" s="153"/>
      <c r="W79" s="153"/>
      <c r="X79" s="153"/>
      <c r="Y79" s="152"/>
      <c r="Z79" s="151"/>
      <c r="AB79" s="153"/>
      <c r="AC79" s="153"/>
      <c r="AD79" s="153"/>
      <c r="AE79" s="153"/>
      <c r="AF79" s="153"/>
      <c r="AG79" s="152"/>
      <c r="AH79" s="151"/>
      <c r="AJ79" s="153"/>
      <c r="AK79" s="153"/>
      <c r="AL79" s="153"/>
      <c r="AM79" s="153"/>
      <c r="AN79" s="153"/>
      <c r="AO79" s="152"/>
      <c r="AP79" s="151"/>
      <c r="AQ79" s="153"/>
      <c r="AR79" s="153"/>
      <c r="AS79" s="153"/>
      <c r="AT79" s="153"/>
      <c r="AU79" s="153"/>
      <c r="AV79" s="153"/>
      <c r="AW79" s="152"/>
      <c r="AX79" s="151"/>
      <c r="AY79" s="153"/>
      <c r="AZ79" s="153"/>
      <c r="BA79" s="153"/>
      <c r="BB79" s="153"/>
      <c r="BC79" s="153"/>
      <c r="BD79" s="153"/>
      <c r="BE79" s="152"/>
      <c r="BF79" s="151"/>
      <c r="BG79" s="234"/>
      <c r="BH79" s="138"/>
      <c r="BI79" s="233"/>
      <c r="BJ79" s="233"/>
      <c r="BK79" s="136"/>
    </row>
    <row r="80" spans="2:69" ht="8.1" customHeight="1" x14ac:dyDescent="0.25">
      <c r="B80" s="235"/>
      <c r="C80" s="150"/>
      <c r="D80" s="148"/>
      <c r="E80" s="148"/>
      <c r="F80" s="148"/>
      <c r="G80" s="148"/>
      <c r="H80" s="195"/>
      <c r="I80" s="147"/>
      <c r="J80" s="146"/>
      <c r="K80" s="149"/>
      <c r="L80" s="148"/>
      <c r="M80" s="148"/>
      <c r="N80" s="148"/>
      <c r="O80" s="148"/>
      <c r="P80" s="148"/>
      <c r="Q80" s="147"/>
      <c r="R80" s="146"/>
      <c r="S80" s="149"/>
      <c r="T80" s="148"/>
      <c r="U80" s="148"/>
      <c r="V80" s="148"/>
      <c r="W80" s="148"/>
      <c r="X80" s="148"/>
      <c r="Y80" s="147"/>
      <c r="Z80" s="146"/>
      <c r="AA80" s="149"/>
      <c r="AB80" s="148"/>
      <c r="AC80" s="148"/>
      <c r="AD80" s="148"/>
      <c r="AE80" s="148"/>
      <c r="AF80" s="148"/>
      <c r="AG80" s="147"/>
      <c r="AH80" s="146"/>
      <c r="AI80" s="149"/>
      <c r="AJ80" s="148"/>
      <c r="AK80" s="148"/>
      <c r="AL80" s="148"/>
      <c r="AM80" s="148"/>
      <c r="AN80" s="148"/>
      <c r="AO80" s="147"/>
      <c r="AP80" s="146"/>
      <c r="AQ80" s="148"/>
      <c r="AR80" s="148"/>
      <c r="AS80" s="148"/>
      <c r="AT80" s="148"/>
      <c r="AU80" s="148"/>
      <c r="AV80" s="148"/>
      <c r="AW80" s="147"/>
      <c r="AX80" s="146"/>
      <c r="AY80" s="148"/>
      <c r="AZ80" s="148"/>
      <c r="BA80" s="148"/>
      <c r="BB80" s="148"/>
      <c r="BC80" s="148"/>
      <c r="BD80" s="148"/>
      <c r="BE80" s="147"/>
      <c r="BF80" s="146"/>
      <c r="BG80" s="235"/>
      <c r="BH80" s="138"/>
      <c r="BI80" s="266" t="s">
        <v>162</v>
      </c>
      <c r="BJ80" s="266"/>
      <c r="BK80" s="136"/>
    </row>
    <row r="81" spans="2:63" ht="8.1" customHeight="1" x14ac:dyDescent="0.25">
      <c r="B81" s="234" t="s">
        <v>163</v>
      </c>
      <c r="C81" s="154"/>
      <c r="D81" s="153"/>
      <c r="E81" s="153"/>
      <c r="F81" s="153"/>
      <c r="G81" s="153"/>
      <c r="H81" s="159"/>
      <c r="I81" s="152"/>
      <c r="J81" s="151"/>
      <c r="L81" s="153"/>
      <c r="M81" s="153"/>
      <c r="N81" s="153"/>
      <c r="O81" s="153"/>
      <c r="P81" s="153"/>
      <c r="Q81" s="152"/>
      <c r="R81" s="151"/>
      <c r="T81" s="153"/>
      <c r="U81" s="153"/>
      <c r="V81" s="153"/>
      <c r="W81" s="153"/>
      <c r="X81" s="153"/>
      <c r="Y81" s="152"/>
      <c r="Z81" s="151"/>
      <c r="AB81" s="153"/>
      <c r="AC81" s="153"/>
      <c r="AD81" s="153"/>
      <c r="AE81" s="153"/>
      <c r="AF81" s="153"/>
      <c r="AG81" s="152"/>
      <c r="AH81" s="151"/>
      <c r="AJ81" s="153"/>
      <c r="AK81" s="153"/>
      <c r="AL81" s="153"/>
      <c r="AM81" s="153"/>
      <c r="AN81" s="153"/>
      <c r="AO81" s="152"/>
      <c r="AP81" s="151"/>
      <c r="AQ81" s="153"/>
      <c r="AR81" s="153"/>
      <c r="AS81" s="153"/>
      <c r="AT81" s="153"/>
      <c r="AU81" s="153"/>
      <c r="AV81" s="153"/>
      <c r="AW81" s="152"/>
      <c r="AX81" s="151"/>
      <c r="AY81" s="153"/>
      <c r="AZ81" s="153"/>
      <c r="BA81" s="153"/>
      <c r="BB81" s="153"/>
      <c r="BC81" s="153"/>
      <c r="BD81" s="153"/>
      <c r="BE81" s="152"/>
      <c r="BF81" s="151"/>
      <c r="BG81" s="234" t="s">
        <v>163</v>
      </c>
      <c r="BH81" s="138"/>
      <c r="BI81" s="266"/>
      <c r="BJ81" s="266"/>
      <c r="BK81" s="136"/>
    </row>
    <row r="82" spans="2:63" ht="8.1" customHeight="1" x14ac:dyDescent="0.25">
      <c r="B82" s="234"/>
      <c r="C82" s="150"/>
      <c r="D82" s="148"/>
      <c r="E82" s="148"/>
      <c r="F82" s="148"/>
      <c r="G82" s="148"/>
      <c r="H82" s="195"/>
      <c r="I82" s="147"/>
      <c r="J82" s="146"/>
      <c r="K82" s="149"/>
      <c r="L82" s="148"/>
      <c r="M82" s="148"/>
      <c r="N82" s="148"/>
      <c r="O82" s="148"/>
      <c r="P82" s="148"/>
      <c r="Q82" s="147"/>
      <c r="R82" s="146"/>
      <c r="S82" s="149"/>
      <c r="T82" s="148"/>
      <c r="U82" s="148"/>
      <c r="V82" s="148"/>
      <c r="W82" s="148"/>
      <c r="X82" s="148"/>
      <c r="Y82" s="147"/>
      <c r="Z82" s="146"/>
      <c r="AA82" s="149"/>
      <c r="AB82" s="148"/>
      <c r="AC82" s="148"/>
      <c r="AD82" s="148"/>
      <c r="AE82" s="148"/>
      <c r="AF82" s="148"/>
      <c r="AG82" s="147"/>
      <c r="AH82" s="146"/>
      <c r="AI82" s="149"/>
      <c r="AJ82" s="148"/>
      <c r="AK82" s="148"/>
      <c r="AL82" s="148"/>
      <c r="AM82" s="148"/>
      <c r="AN82" s="148"/>
      <c r="AO82" s="147"/>
      <c r="AP82" s="146"/>
      <c r="AQ82" s="148"/>
      <c r="AR82" s="148"/>
      <c r="AS82" s="148"/>
      <c r="AT82" s="148"/>
      <c r="AU82" s="148"/>
      <c r="AV82" s="148"/>
      <c r="AW82" s="147"/>
      <c r="AX82" s="146"/>
      <c r="AY82" s="148"/>
      <c r="AZ82" s="148"/>
      <c r="BA82" s="148"/>
      <c r="BB82" s="148"/>
      <c r="BC82" s="148"/>
      <c r="BD82" s="148"/>
      <c r="BE82" s="147"/>
      <c r="BF82" s="146"/>
      <c r="BG82" s="234"/>
      <c r="BH82" s="138"/>
      <c r="BI82" s="266"/>
      <c r="BJ82" s="266"/>
      <c r="BK82" s="136"/>
    </row>
    <row r="83" spans="2:63" ht="8.1" customHeight="1" x14ac:dyDescent="0.25">
      <c r="B83" s="145"/>
      <c r="C83" s="144"/>
      <c r="D83" s="142"/>
      <c r="E83" s="142"/>
      <c r="F83" s="142"/>
      <c r="G83" s="142"/>
      <c r="H83" s="194"/>
      <c r="I83" s="141"/>
      <c r="J83" s="140"/>
      <c r="K83" s="143"/>
      <c r="L83" s="142"/>
      <c r="M83" s="142"/>
      <c r="N83" s="142"/>
      <c r="O83" s="142"/>
      <c r="P83" s="142"/>
      <c r="Q83" s="141"/>
      <c r="R83" s="140"/>
      <c r="S83" s="143"/>
      <c r="T83" s="142"/>
      <c r="U83" s="142"/>
      <c r="V83" s="142"/>
      <c r="W83" s="142"/>
      <c r="X83" s="142"/>
      <c r="Y83" s="141"/>
      <c r="Z83" s="140"/>
      <c r="AA83" s="143"/>
      <c r="AB83" s="142"/>
      <c r="AC83" s="142"/>
      <c r="AD83" s="142"/>
      <c r="AE83" s="142"/>
      <c r="AF83" s="142"/>
      <c r="AG83" s="141"/>
      <c r="AH83" s="140"/>
      <c r="AI83" s="143"/>
      <c r="AJ83" s="142"/>
      <c r="AK83" s="142"/>
      <c r="AL83" s="142"/>
      <c r="AM83" s="142"/>
      <c r="AN83" s="142"/>
      <c r="AO83" s="141"/>
      <c r="AP83" s="140"/>
      <c r="AQ83" s="142"/>
      <c r="AR83" s="142"/>
      <c r="AS83" s="142"/>
      <c r="AT83" s="142"/>
      <c r="AU83" s="142"/>
      <c r="AV83" s="142"/>
      <c r="AW83" s="141"/>
      <c r="AX83" s="140"/>
      <c r="AY83" s="142"/>
      <c r="AZ83" s="142"/>
      <c r="BA83" s="142"/>
      <c r="BB83" s="142"/>
      <c r="BC83" s="142"/>
      <c r="BD83" s="142"/>
      <c r="BE83" s="141"/>
      <c r="BF83" s="140"/>
      <c r="BG83" s="139"/>
      <c r="BH83" s="138"/>
      <c r="BI83" s="137"/>
      <c r="BJ83" s="137"/>
      <c r="BK83" s="136"/>
    </row>
    <row r="84" spans="2:63" ht="15" hidden="1" customHeight="1" x14ac:dyDescent="0.25">
      <c r="BH84" s="138"/>
      <c r="BI84" s="137"/>
      <c r="BJ84" s="137"/>
      <c r="BK84" s="136"/>
    </row>
    <row r="85" spans="2:63" ht="15" hidden="1" customHeight="1" x14ac:dyDescent="0.25">
      <c r="BH85" s="135"/>
      <c r="BI85" s="134"/>
      <c r="BJ85" s="134"/>
      <c r="BK85" s="133"/>
    </row>
    <row r="86" spans="2:63" ht="15" hidden="1" customHeight="1" x14ac:dyDescent="0.25"/>
    <row r="87" spans="2:63" ht="15" hidden="1" customHeight="1" x14ac:dyDescent="0.25"/>
    <row r="88" spans="2:63" ht="15" hidden="1" customHeight="1" x14ac:dyDescent="0.25"/>
    <row r="89" spans="2:63" ht="15" hidden="1" customHeight="1" x14ac:dyDescent="0.25"/>
    <row r="90" spans="2:63" ht="15" hidden="1" customHeight="1" x14ac:dyDescent="0.25"/>
    <row r="91" spans="2:63" ht="15" hidden="1" customHeight="1" x14ac:dyDescent="0.25"/>
    <row r="92" spans="2:63" ht="15" hidden="1" customHeight="1" x14ac:dyDescent="0.25"/>
    <row r="93" spans="2:63" ht="15" hidden="1" customHeight="1" x14ac:dyDescent="0.25"/>
    <row r="94" spans="2:63" ht="15" hidden="1" customHeight="1" x14ac:dyDescent="0.25"/>
    <row r="95" spans="2:63" ht="15" hidden="1" customHeight="1" x14ac:dyDescent="0.25"/>
    <row r="96" spans="2:63" ht="15" hidden="1" customHeight="1" x14ac:dyDescent="0.25"/>
    <row r="97" spans="3:63" ht="15" hidden="1" customHeight="1" x14ac:dyDescent="0.25"/>
    <row r="98" spans="3:63" ht="15" hidden="1" customHeight="1" x14ac:dyDescent="0.25"/>
    <row r="99" spans="3:63" ht="15" hidden="1" customHeight="1" x14ac:dyDescent="0.25"/>
    <row r="100" spans="3:63" ht="15" hidden="1" customHeight="1" x14ac:dyDescent="0.25"/>
    <row r="101" spans="3:63" ht="15" hidden="1" customHeight="1" x14ac:dyDescent="0.25"/>
    <row r="102" spans="3:63" ht="15" hidden="1" customHeight="1" x14ac:dyDescent="0.25"/>
    <row r="103" spans="3:63" ht="15" hidden="1" customHeight="1" x14ac:dyDescent="0.25"/>
    <row r="104" spans="3:63" ht="15" hidden="1" customHeight="1" x14ac:dyDescent="0.25"/>
    <row r="105" spans="3:63" ht="15" hidden="1" customHeight="1" x14ac:dyDescent="0.25"/>
    <row r="106" spans="3:63" ht="15" hidden="1" customHeight="1" x14ac:dyDescent="0.25"/>
    <row r="107" spans="3:63" ht="15" hidden="1" customHeight="1" x14ac:dyDescent="0.25"/>
    <row r="108" spans="3:63" ht="15" hidden="1" customHeight="1" x14ac:dyDescent="0.25"/>
    <row r="109" spans="3:63" ht="15" hidden="1" customHeight="1" x14ac:dyDescent="0.25"/>
    <row r="110" spans="3:63" ht="15" hidden="1" customHeight="1" x14ac:dyDescent="0.25"/>
    <row r="111" spans="3:63" ht="15" hidden="1" customHeight="1" x14ac:dyDescent="0.25"/>
    <row r="112" spans="3:63" ht="15" hidden="1" customHeight="1" x14ac:dyDescent="0.25">
      <c r="C112" s="246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7"/>
      <c r="AL112" s="247"/>
      <c r="AM112" s="247"/>
      <c r="AN112" s="247"/>
      <c r="AO112" s="247"/>
      <c r="AP112" s="247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2"/>
      <c r="BD112" s="132"/>
      <c r="BE112" s="132"/>
      <c r="BF112" s="132"/>
      <c r="BH112" s="131"/>
      <c r="BI112" s="131"/>
      <c r="BJ112" s="131"/>
      <c r="BK112" s="131"/>
    </row>
    <row r="113" spans="1:63" ht="15" hidden="1" customHeight="1" x14ac:dyDescent="0.25"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/>
      <c r="AP113" s="249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2"/>
      <c r="BC113" s="132"/>
      <c r="BD113" s="132"/>
      <c r="BE113" s="132"/>
      <c r="BF113" s="132"/>
    </row>
    <row r="114" spans="1:63" ht="15.75" hidden="1" customHeight="1" x14ac:dyDescent="0.25">
      <c r="C114" s="250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251"/>
      <c r="AM114" s="251"/>
      <c r="AN114" s="251"/>
      <c r="AO114" s="251"/>
      <c r="AP114" s="251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2"/>
      <c r="BC114" s="132"/>
      <c r="BD114" s="132"/>
      <c r="BE114" s="132"/>
      <c r="BF114" s="132"/>
    </row>
    <row r="115" spans="1:63" ht="9.75" customHeight="1" x14ac:dyDescent="0.25">
      <c r="BH115" s="131"/>
      <c r="BI115" s="131"/>
      <c r="BJ115" s="131"/>
      <c r="BK115" s="131"/>
    </row>
    <row r="116" spans="1:63" ht="12.75" customHeight="1" x14ac:dyDescent="0.25">
      <c r="A116" s="252"/>
      <c r="B116" s="253"/>
      <c r="C116" s="255" t="s">
        <v>164</v>
      </c>
      <c r="D116" s="256"/>
      <c r="E116" s="256"/>
      <c r="F116" s="256"/>
      <c r="G116" s="256"/>
      <c r="H116" s="256"/>
      <c r="I116" s="256"/>
      <c r="J116" s="257"/>
      <c r="K116" s="255" t="s">
        <v>165</v>
      </c>
      <c r="L116" s="256"/>
      <c r="M116" s="256"/>
      <c r="N116" s="256"/>
      <c r="O116" s="256"/>
      <c r="P116" s="256"/>
      <c r="Q116" s="256"/>
      <c r="R116" s="257"/>
      <c r="S116" s="255" t="s">
        <v>166</v>
      </c>
      <c r="T116" s="256"/>
      <c r="U116" s="256"/>
      <c r="V116" s="256"/>
      <c r="W116" s="256"/>
      <c r="X116" s="256"/>
      <c r="Y116" s="256"/>
      <c r="Z116" s="257"/>
      <c r="AA116" s="255" t="s">
        <v>167</v>
      </c>
      <c r="AB116" s="256"/>
      <c r="AC116" s="256"/>
      <c r="AD116" s="256"/>
      <c r="AE116" s="256"/>
      <c r="AF116" s="256"/>
      <c r="AG116" s="256"/>
      <c r="AH116" s="257"/>
      <c r="AI116" s="255" t="s">
        <v>168</v>
      </c>
      <c r="AJ116" s="256"/>
      <c r="AK116" s="256"/>
      <c r="AL116" s="256"/>
      <c r="AM116" s="256"/>
      <c r="AN116" s="256"/>
      <c r="AO116" s="256"/>
      <c r="AP116" s="257"/>
      <c r="AQ116" s="255" t="s">
        <v>125</v>
      </c>
      <c r="AR116" s="256"/>
      <c r="AS116" s="256"/>
      <c r="AT116" s="256"/>
      <c r="AU116" s="256"/>
      <c r="AV116" s="256"/>
      <c r="AW116" s="256"/>
      <c r="AX116" s="257"/>
      <c r="AY116" s="255" t="s">
        <v>125</v>
      </c>
      <c r="AZ116" s="256"/>
      <c r="BA116" s="256"/>
      <c r="BB116" s="256"/>
      <c r="BC116" s="256"/>
      <c r="BD116" s="256"/>
      <c r="BE116" s="256"/>
      <c r="BF116" s="257"/>
    </row>
    <row r="117" spans="1:63" ht="9.75" customHeight="1" x14ac:dyDescent="0.25">
      <c r="A117" s="252"/>
      <c r="B117" s="254"/>
      <c r="C117" s="230">
        <f>Einstellungen!$C$6</f>
        <v>46286</v>
      </c>
      <c r="D117" s="231"/>
      <c r="E117" s="231"/>
      <c r="F117" s="231"/>
      <c r="G117" s="231"/>
      <c r="H117" s="231"/>
      <c r="I117" s="231"/>
      <c r="J117" s="232"/>
      <c r="K117" s="230">
        <f>C117+1</f>
        <v>46287</v>
      </c>
      <c r="L117" s="231"/>
      <c r="M117" s="231"/>
      <c r="N117" s="231"/>
      <c r="O117" s="231"/>
      <c r="P117" s="231"/>
      <c r="Q117" s="231"/>
      <c r="R117" s="232"/>
      <c r="S117" s="230">
        <f>K117+1</f>
        <v>46288</v>
      </c>
      <c r="T117" s="231"/>
      <c r="U117" s="231"/>
      <c r="V117" s="231"/>
      <c r="W117" s="231"/>
      <c r="X117" s="231"/>
      <c r="Y117" s="231"/>
      <c r="Z117" s="232"/>
      <c r="AA117" s="230">
        <f>S117+1</f>
        <v>46289</v>
      </c>
      <c r="AB117" s="231"/>
      <c r="AC117" s="231"/>
      <c r="AD117" s="231"/>
      <c r="AE117" s="231"/>
      <c r="AF117" s="231"/>
      <c r="AG117" s="231"/>
      <c r="AH117" s="232"/>
      <c r="AI117" s="230">
        <f>AA117+1</f>
        <v>46290</v>
      </c>
      <c r="AJ117" s="231"/>
      <c r="AK117" s="231"/>
      <c r="AL117" s="231"/>
      <c r="AM117" s="231"/>
      <c r="AN117" s="231"/>
      <c r="AO117" s="231"/>
      <c r="AP117" s="232"/>
      <c r="AQ117" s="230">
        <f>AI117+1</f>
        <v>46291</v>
      </c>
      <c r="AR117" s="231"/>
      <c r="AS117" s="231"/>
      <c r="AT117" s="231"/>
      <c r="AU117" s="231"/>
      <c r="AV117" s="231"/>
      <c r="AW117" s="231"/>
      <c r="AX117" s="232"/>
      <c r="AY117" s="230">
        <f>AQ117+1</f>
        <v>46292</v>
      </c>
      <c r="AZ117" s="231"/>
      <c r="BA117" s="231"/>
      <c r="BB117" s="231"/>
      <c r="BC117" s="231"/>
      <c r="BD117" s="231"/>
      <c r="BE117" s="231"/>
      <c r="BF117" s="232"/>
    </row>
    <row r="118" spans="1:63" s="128" customFormat="1" ht="9.6" customHeight="1" x14ac:dyDescent="0.25">
      <c r="A118" s="130"/>
      <c r="B118" s="221" t="s">
        <v>169</v>
      </c>
      <c r="C118" s="211" t="s">
        <v>170</v>
      </c>
      <c r="D118" s="219" t="s">
        <v>171</v>
      </c>
      <c r="E118" s="219"/>
      <c r="F118" s="219"/>
      <c r="G118" s="219"/>
      <c r="H118" s="219"/>
      <c r="I118" s="219"/>
      <c r="J118" s="219"/>
      <c r="K118" s="211">
        <v>20</v>
      </c>
      <c r="L118" s="219" t="s">
        <v>172</v>
      </c>
      <c r="M118" s="219"/>
      <c r="N118" s="219"/>
      <c r="O118" s="219"/>
      <c r="P118" s="219"/>
      <c r="Q118" s="219"/>
      <c r="R118" s="220"/>
      <c r="S118" s="211">
        <v>30</v>
      </c>
      <c r="T118" s="219" t="s">
        <v>173</v>
      </c>
      <c r="U118" s="219"/>
      <c r="V118" s="219"/>
      <c r="W118" s="219"/>
      <c r="X118" s="219"/>
      <c r="Y118" s="219"/>
      <c r="Z118" s="220"/>
      <c r="AA118" s="211">
        <v>40</v>
      </c>
      <c r="AB118" s="219" t="s">
        <v>174</v>
      </c>
      <c r="AC118" s="219"/>
      <c r="AD118" s="219"/>
      <c r="AE118" s="219"/>
      <c r="AF118" s="219"/>
      <c r="AG118" s="219"/>
      <c r="AH118" s="220"/>
      <c r="AI118" s="211"/>
      <c r="AJ118" s="219"/>
      <c r="AK118" s="219"/>
      <c r="AL118" s="219"/>
      <c r="AM118" s="219"/>
      <c r="AN118" s="219"/>
      <c r="AO118" s="219"/>
      <c r="AP118" s="220"/>
      <c r="AQ118" s="206"/>
      <c r="AR118" s="219"/>
      <c r="AS118" s="219"/>
      <c r="AT118" s="219"/>
      <c r="AU118" s="219"/>
      <c r="AV118" s="219"/>
      <c r="AW118" s="219"/>
      <c r="AX118" s="220"/>
      <c r="AY118" s="206"/>
      <c r="AZ118" s="219"/>
      <c r="BA118" s="219"/>
      <c r="BB118" s="219"/>
      <c r="BC118" s="219"/>
      <c r="BD118" s="219"/>
      <c r="BE118" s="219"/>
      <c r="BF118" s="220"/>
      <c r="BG118" s="129"/>
    </row>
    <row r="119" spans="1:63" s="128" customFormat="1" ht="9.6" customHeight="1" x14ac:dyDescent="0.25">
      <c r="A119" s="130"/>
      <c r="B119" s="222"/>
      <c r="C119" s="212" t="s">
        <v>175</v>
      </c>
      <c r="D119" s="215" t="s">
        <v>176</v>
      </c>
      <c r="E119" s="215"/>
      <c r="F119" s="215"/>
      <c r="G119" s="215"/>
      <c r="H119" s="215"/>
      <c r="I119" s="215"/>
      <c r="J119" s="215"/>
      <c r="K119" s="212">
        <v>21</v>
      </c>
      <c r="L119" s="215" t="s">
        <v>177</v>
      </c>
      <c r="M119" s="215"/>
      <c r="N119" s="215"/>
      <c r="O119" s="215"/>
      <c r="P119" s="215"/>
      <c r="Q119" s="215"/>
      <c r="R119" s="216"/>
      <c r="S119" s="212">
        <v>31</v>
      </c>
      <c r="T119" s="215" t="s">
        <v>178</v>
      </c>
      <c r="U119" s="215"/>
      <c r="V119" s="215"/>
      <c r="W119" s="215"/>
      <c r="X119" s="215"/>
      <c r="Y119" s="215"/>
      <c r="Z119" s="216"/>
      <c r="AA119" s="212">
        <v>41</v>
      </c>
      <c r="AB119" s="215" t="s">
        <v>179</v>
      </c>
      <c r="AC119" s="215"/>
      <c r="AD119" s="215"/>
      <c r="AE119" s="215"/>
      <c r="AF119" s="215"/>
      <c r="AG119" s="215"/>
      <c r="AH119" s="216"/>
      <c r="AI119" s="212"/>
      <c r="AJ119" s="215"/>
      <c r="AK119" s="215"/>
      <c r="AL119" s="215"/>
      <c r="AM119" s="215"/>
      <c r="AN119" s="215"/>
      <c r="AO119" s="215"/>
      <c r="AP119" s="216"/>
      <c r="AQ119" s="207"/>
      <c r="AR119" s="215"/>
      <c r="AS119" s="215"/>
      <c r="AT119" s="215"/>
      <c r="AU119" s="215"/>
      <c r="AV119" s="215"/>
      <c r="AW119" s="215"/>
      <c r="AX119" s="216"/>
      <c r="AY119" s="207"/>
      <c r="AZ119" s="215"/>
      <c r="BA119" s="215"/>
      <c r="BB119" s="215"/>
      <c r="BC119" s="215"/>
      <c r="BD119" s="215"/>
      <c r="BE119" s="215"/>
      <c r="BF119" s="216"/>
      <c r="BG119" s="129"/>
    </row>
    <row r="120" spans="1:63" s="128" customFormat="1" ht="9.6" customHeight="1" x14ac:dyDescent="0.25">
      <c r="A120" s="130"/>
      <c r="B120" s="222"/>
      <c r="C120" s="212"/>
      <c r="D120" s="215"/>
      <c r="E120" s="215"/>
      <c r="F120" s="215"/>
      <c r="G120" s="215"/>
      <c r="H120" s="215"/>
      <c r="I120" s="215"/>
      <c r="J120" s="215"/>
      <c r="K120" s="212">
        <v>22</v>
      </c>
      <c r="L120" s="215" t="s">
        <v>180</v>
      </c>
      <c r="M120" s="215"/>
      <c r="N120" s="215"/>
      <c r="O120" s="215"/>
      <c r="P120" s="215"/>
      <c r="Q120" s="215"/>
      <c r="R120" s="216"/>
      <c r="S120" s="212">
        <v>32</v>
      </c>
      <c r="T120" s="215" t="s">
        <v>181</v>
      </c>
      <c r="U120" s="215"/>
      <c r="V120" s="215"/>
      <c r="W120" s="215"/>
      <c r="X120" s="215"/>
      <c r="Y120" s="215"/>
      <c r="Z120" s="216"/>
      <c r="AA120" s="212">
        <v>42</v>
      </c>
      <c r="AB120" s="215" t="s">
        <v>182</v>
      </c>
      <c r="AC120" s="215"/>
      <c r="AD120" s="215"/>
      <c r="AE120" s="215"/>
      <c r="AF120" s="215"/>
      <c r="AG120" s="215"/>
      <c r="AH120" s="216"/>
      <c r="AI120" s="212"/>
      <c r="AJ120" s="215"/>
      <c r="AK120" s="215"/>
      <c r="AL120" s="215"/>
      <c r="AM120" s="215"/>
      <c r="AN120" s="215"/>
      <c r="AO120" s="215"/>
      <c r="AP120" s="216"/>
      <c r="AQ120" s="207"/>
      <c r="AR120" s="215"/>
      <c r="AS120" s="215"/>
      <c r="AT120" s="215"/>
      <c r="AU120" s="215"/>
      <c r="AV120" s="215"/>
      <c r="AW120" s="215"/>
      <c r="AX120" s="216"/>
      <c r="AY120" s="207"/>
      <c r="AZ120" s="215"/>
      <c r="BA120" s="215"/>
      <c r="BB120" s="215"/>
      <c r="BC120" s="215"/>
      <c r="BD120" s="215"/>
      <c r="BE120" s="215"/>
      <c r="BF120" s="216"/>
      <c r="BG120" s="129"/>
    </row>
    <row r="121" spans="1:63" s="128" customFormat="1" ht="9.6" customHeight="1" x14ac:dyDescent="0.25">
      <c r="A121" s="130"/>
      <c r="B121" s="222"/>
      <c r="C121" s="212"/>
      <c r="D121" s="215"/>
      <c r="E121" s="215"/>
      <c r="F121" s="215"/>
      <c r="G121" s="215"/>
      <c r="H121" s="215"/>
      <c r="I121" s="215"/>
      <c r="J121" s="215"/>
      <c r="K121" s="212">
        <v>23</v>
      </c>
      <c r="L121" s="215" t="s">
        <v>183</v>
      </c>
      <c r="M121" s="215"/>
      <c r="N121" s="215"/>
      <c r="O121" s="215"/>
      <c r="P121" s="215"/>
      <c r="Q121" s="215"/>
      <c r="R121" s="216"/>
      <c r="S121" s="212"/>
      <c r="T121" s="215"/>
      <c r="U121" s="215"/>
      <c r="V121" s="215"/>
      <c r="W121" s="215"/>
      <c r="X121" s="215"/>
      <c r="Y121" s="215"/>
      <c r="Z121" s="216"/>
      <c r="AA121" s="212"/>
      <c r="AB121" s="215"/>
      <c r="AC121" s="215"/>
      <c r="AD121" s="215"/>
      <c r="AE121" s="215"/>
      <c r="AF121" s="215"/>
      <c r="AG121" s="215"/>
      <c r="AH121" s="216"/>
      <c r="AI121" s="212"/>
      <c r="AJ121" s="215"/>
      <c r="AK121" s="215"/>
      <c r="AL121" s="215"/>
      <c r="AM121" s="215"/>
      <c r="AN121" s="215"/>
      <c r="AO121" s="215"/>
      <c r="AP121" s="216"/>
      <c r="AQ121" s="207"/>
      <c r="AR121" s="215"/>
      <c r="AS121" s="215"/>
      <c r="AT121" s="215"/>
      <c r="AU121" s="215"/>
      <c r="AV121" s="215"/>
      <c r="AW121" s="215"/>
      <c r="AX121" s="216"/>
      <c r="AY121" s="207"/>
      <c r="AZ121" s="215"/>
      <c r="BA121" s="215"/>
      <c r="BB121" s="215"/>
      <c r="BC121" s="215"/>
      <c r="BD121" s="215"/>
      <c r="BE121" s="215"/>
      <c r="BF121" s="216"/>
      <c r="BG121" s="129"/>
    </row>
    <row r="122" spans="1:63" s="128" customFormat="1" ht="9.6" customHeight="1" x14ac:dyDescent="0.25">
      <c r="A122" s="130"/>
      <c r="B122" s="222"/>
      <c r="C122" s="212"/>
      <c r="D122" s="215"/>
      <c r="E122" s="215"/>
      <c r="F122" s="215"/>
      <c r="G122" s="215"/>
      <c r="H122" s="215"/>
      <c r="I122" s="215"/>
      <c r="J122" s="215"/>
      <c r="K122" s="212">
        <v>24</v>
      </c>
      <c r="L122" s="215" t="s">
        <v>184</v>
      </c>
      <c r="M122" s="215"/>
      <c r="N122" s="215"/>
      <c r="O122" s="215"/>
      <c r="P122" s="215"/>
      <c r="Q122" s="215"/>
      <c r="R122" s="216"/>
      <c r="S122" s="212"/>
      <c r="T122" s="215"/>
      <c r="U122" s="215"/>
      <c r="V122" s="215"/>
      <c r="W122" s="215"/>
      <c r="X122" s="215"/>
      <c r="Y122" s="215"/>
      <c r="Z122" s="216"/>
      <c r="AA122" s="212"/>
      <c r="AB122" s="215"/>
      <c r="AC122" s="215"/>
      <c r="AD122" s="215"/>
      <c r="AE122" s="215"/>
      <c r="AF122" s="215"/>
      <c r="AG122" s="215"/>
      <c r="AH122" s="216"/>
      <c r="AI122" s="212"/>
      <c r="AJ122" s="215"/>
      <c r="AK122" s="215"/>
      <c r="AL122" s="215"/>
      <c r="AM122" s="215"/>
      <c r="AN122" s="215"/>
      <c r="AO122" s="215"/>
      <c r="AP122" s="216"/>
      <c r="AQ122" s="207"/>
      <c r="AR122" s="215"/>
      <c r="AS122" s="215"/>
      <c r="AT122" s="215"/>
      <c r="AU122" s="215"/>
      <c r="AV122" s="215"/>
      <c r="AW122" s="215"/>
      <c r="AX122" s="216"/>
      <c r="AY122" s="207"/>
      <c r="AZ122" s="215"/>
      <c r="BA122" s="215"/>
      <c r="BB122" s="215"/>
      <c r="BC122" s="215"/>
      <c r="BD122" s="215"/>
      <c r="BE122" s="215"/>
      <c r="BF122" s="216"/>
      <c r="BG122" s="129"/>
    </row>
    <row r="123" spans="1:63" s="128" customFormat="1" ht="9.6" customHeight="1" x14ac:dyDescent="0.25">
      <c r="A123" s="130"/>
      <c r="B123" s="222"/>
      <c r="C123" s="212"/>
      <c r="D123" s="215"/>
      <c r="E123" s="215"/>
      <c r="F123" s="215"/>
      <c r="G123" s="215"/>
      <c r="H123" s="215"/>
      <c r="I123" s="215"/>
      <c r="J123" s="215"/>
      <c r="K123" s="212">
        <v>25</v>
      </c>
      <c r="L123" s="215" t="s">
        <v>185</v>
      </c>
      <c r="M123" s="215"/>
      <c r="N123" s="215"/>
      <c r="O123" s="215"/>
      <c r="P123" s="215"/>
      <c r="Q123" s="215"/>
      <c r="R123" s="216"/>
      <c r="S123" s="212"/>
      <c r="T123" s="215"/>
      <c r="U123" s="215"/>
      <c r="V123" s="215"/>
      <c r="W123" s="215"/>
      <c r="X123" s="215"/>
      <c r="Y123" s="215"/>
      <c r="Z123" s="216"/>
      <c r="AA123" s="212"/>
      <c r="AB123" s="215"/>
      <c r="AC123" s="215"/>
      <c r="AD123" s="215"/>
      <c r="AE123" s="215"/>
      <c r="AF123" s="215"/>
      <c r="AG123" s="215"/>
      <c r="AH123" s="216"/>
      <c r="AI123" s="212"/>
      <c r="AJ123" s="215"/>
      <c r="AK123" s="215"/>
      <c r="AL123" s="215"/>
      <c r="AM123" s="215"/>
      <c r="AN123" s="215"/>
      <c r="AO123" s="215"/>
      <c r="AP123" s="216"/>
      <c r="AQ123" s="207"/>
      <c r="AR123" s="215"/>
      <c r="AS123" s="215"/>
      <c r="AT123" s="215"/>
      <c r="AU123" s="215"/>
      <c r="AV123" s="215"/>
      <c r="AW123" s="215"/>
      <c r="AX123" s="216"/>
      <c r="AY123" s="207"/>
      <c r="AZ123" s="215"/>
      <c r="BA123" s="215"/>
      <c r="BB123" s="215"/>
      <c r="BC123" s="215"/>
      <c r="BD123" s="215"/>
      <c r="BE123" s="215"/>
      <c r="BF123" s="216"/>
      <c r="BG123" s="129"/>
    </row>
    <row r="124" spans="1:63" s="128" customFormat="1" ht="9.6" customHeight="1" x14ac:dyDescent="0.25">
      <c r="A124" s="130"/>
      <c r="B124" s="222"/>
      <c r="C124" s="212"/>
      <c r="D124" s="215"/>
      <c r="E124" s="215"/>
      <c r="F124" s="215"/>
      <c r="G124" s="215"/>
      <c r="H124" s="215"/>
      <c r="I124" s="215"/>
      <c r="J124" s="215"/>
      <c r="K124" s="212"/>
      <c r="L124" s="215"/>
      <c r="M124" s="215"/>
      <c r="N124" s="215"/>
      <c r="O124" s="215"/>
      <c r="P124" s="215"/>
      <c r="Q124" s="215"/>
      <c r="R124" s="216"/>
      <c r="S124" s="212"/>
      <c r="T124" s="215"/>
      <c r="U124" s="215"/>
      <c r="V124" s="215"/>
      <c r="W124" s="215"/>
      <c r="X124" s="215"/>
      <c r="Y124" s="215"/>
      <c r="Z124" s="216"/>
      <c r="AA124" s="212"/>
      <c r="AB124" s="215"/>
      <c r="AC124" s="215"/>
      <c r="AD124" s="215"/>
      <c r="AE124" s="215"/>
      <c r="AF124" s="215"/>
      <c r="AG124" s="215"/>
      <c r="AH124" s="216"/>
      <c r="AI124" s="212"/>
      <c r="AJ124" s="215"/>
      <c r="AK124" s="215"/>
      <c r="AL124" s="215"/>
      <c r="AM124" s="215"/>
      <c r="AN124" s="215"/>
      <c r="AO124" s="215"/>
      <c r="AP124" s="216"/>
      <c r="AQ124" s="207"/>
      <c r="AR124" s="215"/>
      <c r="AS124" s="215"/>
      <c r="AT124" s="215"/>
      <c r="AU124" s="215"/>
      <c r="AV124" s="215"/>
      <c r="AW124" s="215"/>
      <c r="AX124" s="216"/>
      <c r="AY124" s="207"/>
      <c r="AZ124" s="215"/>
      <c r="BA124" s="215"/>
      <c r="BB124" s="215"/>
      <c r="BC124" s="215"/>
      <c r="BD124" s="215"/>
      <c r="BE124" s="215"/>
      <c r="BF124" s="216"/>
      <c r="BG124" s="129"/>
    </row>
    <row r="125" spans="1:63" s="128" customFormat="1" ht="9.6" customHeight="1" x14ac:dyDescent="0.25">
      <c r="A125" s="130"/>
      <c r="B125" s="223"/>
      <c r="C125" s="213"/>
      <c r="D125" s="217"/>
      <c r="E125" s="217"/>
      <c r="F125" s="217"/>
      <c r="G125" s="217"/>
      <c r="H125" s="217"/>
      <c r="I125" s="217"/>
      <c r="J125" s="217"/>
      <c r="K125" s="213"/>
      <c r="L125" s="217"/>
      <c r="M125" s="217"/>
      <c r="N125" s="217"/>
      <c r="O125" s="217"/>
      <c r="P125" s="217"/>
      <c r="Q125" s="217"/>
      <c r="R125" s="218"/>
      <c r="S125" s="213"/>
      <c r="T125" s="217"/>
      <c r="U125" s="217"/>
      <c r="V125" s="217"/>
      <c r="W125" s="217"/>
      <c r="X125" s="217"/>
      <c r="Y125" s="217"/>
      <c r="Z125" s="218"/>
      <c r="AA125" s="213"/>
      <c r="AB125" s="217"/>
      <c r="AC125" s="217"/>
      <c r="AD125" s="217"/>
      <c r="AE125" s="217"/>
      <c r="AF125" s="217"/>
      <c r="AG125" s="217"/>
      <c r="AH125" s="218"/>
      <c r="AI125" s="213"/>
      <c r="AJ125" s="217"/>
      <c r="AK125" s="217"/>
      <c r="AL125" s="217"/>
      <c r="AM125" s="217"/>
      <c r="AN125" s="217"/>
      <c r="AO125" s="217"/>
      <c r="AP125" s="218"/>
      <c r="AQ125" s="208"/>
      <c r="AR125" s="217"/>
      <c r="AS125" s="217"/>
      <c r="AT125" s="217"/>
      <c r="AU125" s="217"/>
      <c r="AV125" s="217"/>
      <c r="AW125" s="217"/>
      <c r="AX125" s="218"/>
      <c r="AY125" s="208"/>
      <c r="AZ125" s="217"/>
      <c r="BA125" s="217"/>
      <c r="BB125" s="217"/>
      <c r="BC125" s="217"/>
      <c r="BD125" s="217"/>
      <c r="BE125" s="217"/>
      <c r="BF125" s="218"/>
      <c r="BG125" s="129"/>
    </row>
    <row r="126" spans="1:63" x14ac:dyDescent="0.25">
      <c r="B126" s="127" t="s">
        <v>37</v>
      </c>
      <c r="C126" s="264" t="str">
        <f>VLOOKUP(C117,Einstellungen!$G$34:$H$60,2,FALSE)</f>
        <v>Oblt Sieber</v>
      </c>
      <c r="D126" s="264"/>
      <c r="E126" s="264"/>
      <c r="F126" s="264"/>
      <c r="G126" s="264"/>
      <c r="H126" s="264"/>
      <c r="I126" s="264"/>
      <c r="J126" s="264"/>
      <c r="K126" s="264" t="str">
        <f>VLOOKUP(K117,Einstellungen!$G$34:$H$60,2,FALSE)</f>
        <v>Lt Gemeinder</v>
      </c>
      <c r="L126" s="264"/>
      <c r="M126" s="264"/>
      <c r="N126" s="264"/>
      <c r="O126" s="264"/>
      <c r="P126" s="264"/>
      <c r="Q126" s="264"/>
      <c r="R126" s="264"/>
      <c r="S126" s="265" t="str">
        <f>VLOOKUP(S117,Einstellungen!$G$34:$H$60,2,FALSE)</f>
        <v>Lt Köchli</v>
      </c>
      <c r="T126" s="265"/>
      <c r="U126" s="265"/>
      <c r="V126" s="265"/>
      <c r="W126" s="265"/>
      <c r="X126" s="265"/>
      <c r="Y126" s="265"/>
      <c r="Z126" s="265"/>
      <c r="AA126" s="265" t="str">
        <f>VLOOKUP(AA117,Einstellungen!$G$34:$H$60,2,FALSE)</f>
        <v>Lt Lehner</v>
      </c>
      <c r="AB126" s="265"/>
      <c r="AC126" s="265"/>
      <c r="AD126" s="265"/>
      <c r="AE126" s="265"/>
      <c r="AF126" s="265"/>
      <c r="AG126" s="265"/>
      <c r="AH126" s="265"/>
      <c r="AI126" s="265" t="str">
        <f>VLOOKUP(AI117,Einstellungen!$G$34:$H$60,2,FALSE)</f>
        <v>Lt Christophe Lopez-Polo</v>
      </c>
      <c r="AJ126" s="265"/>
      <c r="AK126" s="265"/>
      <c r="AL126" s="265"/>
      <c r="AM126" s="265"/>
      <c r="AN126" s="265"/>
      <c r="AO126" s="265"/>
      <c r="AP126" s="265"/>
      <c r="AQ126" s="265" t="str">
        <f>VLOOKUP(AQ117,Einstellungen!$G$34:$H$60,2,FALSE)</f>
        <v>Lt Lopez-Polo</v>
      </c>
      <c r="AR126" s="265"/>
      <c r="AS126" s="265"/>
      <c r="AT126" s="265"/>
      <c r="AU126" s="265"/>
      <c r="AV126" s="265"/>
      <c r="AW126" s="265"/>
      <c r="AX126" s="265"/>
      <c r="AY126" s="265" t="str">
        <f>VLOOKUP(AY117,Einstellungen!$G$34:$H$60,2,FALSE)</f>
        <v>Lt Lopez-Polo</v>
      </c>
      <c r="AZ126" s="265"/>
      <c r="BA126" s="265"/>
      <c r="BB126" s="265"/>
      <c r="BC126" s="265"/>
      <c r="BD126" s="265"/>
      <c r="BE126" s="265"/>
      <c r="BF126" s="265"/>
    </row>
  </sheetData>
  <mergeCells count="178">
    <mergeCell ref="BN8:BQ68"/>
    <mergeCell ref="C126:J126"/>
    <mergeCell ref="K126:R126"/>
    <mergeCell ref="S126:Z126"/>
    <mergeCell ref="AA126:AH126"/>
    <mergeCell ref="AI126:AP126"/>
    <mergeCell ref="AQ126:AX126"/>
    <mergeCell ref="AY126:BF126"/>
    <mergeCell ref="AQ116:AX116"/>
    <mergeCell ref="AY116:BF116"/>
    <mergeCell ref="C117:J117"/>
    <mergeCell ref="K117:R117"/>
    <mergeCell ref="S117:Z117"/>
    <mergeCell ref="AA117:AH117"/>
    <mergeCell ref="AI117:AP117"/>
    <mergeCell ref="AQ117:AX117"/>
    <mergeCell ref="AY117:BF117"/>
    <mergeCell ref="BI80:BJ82"/>
    <mergeCell ref="BI70:BJ71"/>
    <mergeCell ref="BG17:BG18"/>
    <mergeCell ref="L119:R119"/>
    <mergeCell ref="L120:R120"/>
    <mergeCell ref="L121:R121"/>
    <mergeCell ref="L122:R122"/>
    <mergeCell ref="B81:B82"/>
    <mergeCell ref="BG81:BG82"/>
    <mergeCell ref="C112:AP114"/>
    <mergeCell ref="A116:B117"/>
    <mergeCell ref="C116:J116"/>
    <mergeCell ref="K116:R116"/>
    <mergeCell ref="S116:Z116"/>
    <mergeCell ref="AA116:AH116"/>
    <mergeCell ref="AI116:AP116"/>
    <mergeCell ref="B79:B80"/>
    <mergeCell ref="BG79:BG80"/>
    <mergeCell ref="B67:B68"/>
    <mergeCell ref="BG67:BG68"/>
    <mergeCell ref="B69:B70"/>
    <mergeCell ref="BG69:BG70"/>
    <mergeCell ref="B61:B62"/>
    <mergeCell ref="BG61:BG62"/>
    <mergeCell ref="B63:B64"/>
    <mergeCell ref="BG63:BG64"/>
    <mergeCell ref="B65:B66"/>
    <mergeCell ref="BG65:BG66"/>
    <mergeCell ref="B71:B72"/>
    <mergeCell ref="BG71:BG72"/>
    <mergeCell ref="B73:B74"/>
    <mergeCell ref="BG73:BG74"/>
    <mergeCell ref="B75:B76"/>
    <mergeCell ref="BG75:BG76"/>
    <mergeCell ref="B77:B78"/>
    <mergeCell ref="BG77:BG78"/>
    <mergeCell ref="B53:B54"/>
    <mergeCell ref="BG53:BG54"/>
    <mergeCell ref="B55:B56"/>
    <mergeCell ref="BG55:BG56"/>
    <mergeCell ref="B57:B58"/>
    <mergeCell ref="BG57:BG58"/>
    <mergeCell ref="B39:B40"/>
    <mergeCell ref="BG39:BG40"/>
    <mergeCell ref="B59:B60"/>
    <mergeCell ref="BG59:BG60"/>
    <mergeCell ref="B47:B48"/>
    <mergeCell ref="BG47:BG48"/>
    <mergeCell ref="B49:B50"/>
    <mergeCell ref="BG49:BG50"/>
    <mergeCell ref="B41:B42"/>
    <mergeCell ref="BG41:BG42"/>
    <mergeCell ref="B43:B44"/>
    <mergeCell ref="BG43:BG44"/>
    <mergeCell ref="B45:B46"/>
    <mergeCell ref="BG45:BG46"/>
    <mergeCell ref="B19:B20"/>
    <mergeCell ref="BG19:BG20"/>
    <mergeCell ref="B21:B22"/>
    <mergeCell ref="BG21:BG22"/>
    <mergeCell ref="B23:B24"/>
    <mergeCell ref="BG23:BG24"/>
    <mergeCell ref="BG37:BG38"/>
    <mergeCell ref="BL50:BL51"/>
    <mergeCell ref="B51:B52"/>
    <mergeCell ref="BG51:BG52"/>
    <mergeCell ref="B35:B36"/>
    <mergeCell ref="BG35:BG36"/>
    <mergeCell ref="B37:B38"/>
    <mergeCell ref="B25:B26"/>
    <mergeCell ref="BG25:BG26"/>
    <mergeCell ref="B27:B28"/>
    <mergeCell ref="BG27:BG28"/>
    <mergeCell ref="B29:B30"/>
    <mergeCell ref="BG29:BG30"/>
    <mergeCell ref="B31:B32"/>
    <mergeCell ref="BG31:BG32"/>
    <mergeCell ref="B33:B34"/>
    <mergeCell ref="BG33:BG34"/>
    <mergeCell ref="B17:B18"/>
    <mergeCell ref="B1:K1"/>
    <mergeCell ref="C5:J5"/>
    <mergeCell ref="K5:R5"/>
    <mergeCell ref="S5:Z5"/>
    <mergeCell ref="AA5:AH5"/>
    <mergeCell ref="AI5:AP5"/>
    <mergeCell ref="AQ5:AX5"/>
    <mergeCell ref="AY5:BF5"/>
    <mergeCell ref="AQ7:AV7"/>
    <mergeCell ref="AY7:BD7"/>
    <mergeCell ref="B9:B10"/>
    <mergeCell ref="B11:B12"/>
    <mergeCell ref="B13:B14"/>
    <mergeCell ref="B15:B16"/>
    <mergeCell ref="BH5:BK6"/>
    <mergeCell ref="C6:J6"/>
    <mergeCell ref="K6:R6"/>
    <mergeCell ref="S6:Z6"/>
    <mergeCell ref="AA6:AH6"/>
    <mergeCell ref="AI6:AP6"/>
    <mergeCell ref="AQ6:AX6"/>
    <mergeCell ref="AY6:BF6"/>
    <mergeCell ref="L118:R118"/>
    <mergeCell ref="T118:Z118"/>
    <mergeCell ref="AZ118:BF118"/>
    <mergeCell ref="BI72:BJ79"/>
    <mergeCell ref="BG9:BG10"/>
    <mergeCell ref="BG11:BG12"/>
    <mergeCell ref="BG13:BG14"/>
    <mergeCell ref="BG15:BG16"/>
    <mergeCell ref="BI24:BJ38"/>
    <mergeCell ref="L123:R123"/>
    <mergeCell ref="L124:R124"/>
    <mergeCell ref="L125:R125"/>
    <mergeCell ref="B118:B125"/>
    <mergeCell ref="D118:J118"/>
    <mergeCell ref="D119:J119"/>
    <mergeCell ref="D120:J120"/>
    <mergeCell ref="D121:J121"/>
    <mergeCell ref="D122:J122"/>
    <mergeCell ref="D123:J123"/>
    <mergeCell ref="D124:J124"/>
    <mergeCell ref="D125:J125"/>
    <mergeCell ref="T119:Z119"/>
    <mergeCell ref="T120:Z120"/>
    <mergeCell ref="T121:Z121"/>
    <mergeCell ref="T122:Z122"/>
    <mergeCell ref="T123:Z123"/>
    <mergeCell ref="T124:Z124"/>
    <mergeCell ref="T125:Z125"/>
    <mergeCell ref="AB118:AH118"/>
    <mergeCell ref="AB119:AH119"/>
    <mergeCell ref="AB120:AH120"/>
    <mergeCell ref="AB121:AH121"/>
    <mergeCell ref="AB122:AH122"/>
    <mergeCell ref="AB123:AH123"/>
    <mergeCell ref="AB124:AH124"/>
    <mergeCell ref="AB125:AH125"/>
    <mergeCell ref="AZ119:BF119"/>
    <mergeCell ref="AZ120:BF120"/>
    <mergeCell ref="AZ121:BF121"/>
    <mergeCell ref="AZ122:BF122"/>
    <mergeCell ref="AZ123:BF123"/>
    <mergeCell ref="AZ124:BF124"/>
    <mergeCell ref="AZ125:BF125"/>
    <mergeCell ref="AJ118:AP118"/>
    <mergeCell ref="AJ119:AP119"/>
    <mergeCell ref="AJ120:AP120"/>
    <mergeCell ref="AJ121:AP121"/>
    <mergeCell ref="AJ122:AP122"/>
    <mergeCell ref="AJ123:AP123"/>
    <mergeCell ref="AJ124:AP124"/>
    <mergeCell ref="AJ125:AP125"/>
    <mergeCell ref="AR118:AX118"/>
    <mergeCell ref="AR119:AX119"/>
    <mergeCell ref="AR120:AX120"/>
    <mergeCell ref="AR121:AX121"/>
    <mergeCell ref="AR122:AX122"/>
    <mergeCell ref="AR123:AX123"/>
    <mergeCell ref="AR124:AX124"/>
    <mergeCell ref="AR125:AX125"/>
  </mergeCells>
  <phoneticPr fontId="25" type="noConversion"/>
  <printOptions horizontalCentered="1" verticalCentered="1"/>
  <pageMargins left="0.25" right="0.25" top="0.75" bottom="0.75" header="0.3" footer="0.3"/>
  <pageSetup scale="49" orientation="landscape" r:id="rId1"/>
  <ignoredErrors>
    <ignoredError sqref="C118:C11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F3F8-E0F2-41D4-891A-728FEFF5A3FC}">
  <sheetPr>
    <tabColor rgb="FFFFFF00"/>
    <pageSetUpPr fitToPage="1"/>
  </sheetPr>
  <dimension ref="A1:BJ126"/>
  <sheetViews>
    <sheetView view="pageBreakPreview" zoomScale="115" zoomScaleNormal="55" zoomScaleSheetLayoutView="115" zoomScalePageLayoutView="70" workbookViewId="0">
      <pane ySplit="7" topLeftCell="A8" activePane="bottomLeft" state="frozen"/>
      <selection activeCell="C119" sqref="C119:I119"/>
      <selection pane="bottomLeft" activeCell="AD49" sqref="AD49"/>
    </sheetView>
  </sheetViews>
  <sheetFormatPr defaultColWidth="14.88671875" defaultRowHeight="13.8" x14ac:dyDescent="0.25"/>
  <cols>
    <col min="1" max="1" width="2.5546875" style="125" customWidth="1"/>
    <col min="2" max="2" width="7.109375" style="126" customWidth="1"/>
    <col min="3" max="7" width="5" style="125" customWidth="1"/>
    <col min="8" max="9" width="4.109375" style="125" customWidth="1"/>
    <col min="10" max="14" width="5" style="125" customWidth="1"/>
    <col min="15" max="16" width="4.109375" style="125" customWidth="1"/>
    <col min="17" max="21" width="5" style="125" customWidth="1"/>
    <col min="22" max="23" width="4.109375" style="125" customWidth="1"/>
    <col min="24" max="28" width="5" style="125" customWidth="1"/>
    <col min="29" max="30" width="4.109375" style="125" customWidth="1"/>
    <col min="31" max="35" width="5" style="125" customWidth="1"/>
    <col min="36" max="37" width="4.109375" style="125" customWidth="1"/>
    <col min="38" max="51" width="2.88671875" style="125" customWidth="1"/>
    <col min="52" max="52" width="6.6640625" style="126" customWidth="1"/>
    <col min="53" max="53" width="0.88671875" style="125" customWidth="1"/>
    <col min="54" max="55" width="11.109375" style="125" customWidth="1"/>
    <col min="56" max="56" width="0.88671875" style="125" customWidth="1"/>
    <col min="57" max="16384" width="14.88671875" style="125"/>
  </cols>
  <sheetData>
    <row r="1" spans="2:61" s="185" customFormat="1" ht="23.25" customHeight="1" x14ac:dyDescent="0.4">
      <c r="B1" s="238" t="s">
        <v>186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N1" s="197" t="str">
        <f>_xlfn.CONCAT(TEXT(Einstellungen!$C$6+7,"DD.MM.YYYY")," bis ",TEXT(Einstellungen!$C$6+13,"DD.MM.YYYY"))</f>
        <v>28.09.2026 bis 04.10.2026</v>
      </c>
      <c r="O1" s="193"/>
      <c r="P1" s="192"/>
      <c r="Q1" s="192"/>
      <c r="R1" s="192"/>
      <c r="AI1" s="190"/>
      <c r="AJ1" s="190"/>
      <c r="AK1" s="190"/>
      <c r="AQ1" s="190"/>
      <c r="AR1" s="190"/>
      <c r="AX1" s="190"/>
      <c r="AY1" s="190"/>
      <c r="AZ1" s="189"/>
      <c r="BD1" s="188"/>
    </row>
    <row r="2" spans="2:61" s="185" customFormat="1" ht="12" customHeight="1" x14ac:dyDescent="0.25">
      <c r="B2" s="186"/>
      <c r="AC2" s="187"/>
      <c r="AZ2" s="126"/>
    </row>
    <row r="3" spans="2:61" s="185" customFormat="1" ht="6.75" customHeight="1" x14ac:dyDescent="0.25">
      <c r="B3" s="186"/>
      <c r="AZ3" s="126"/>
    </row>
    <row r="4" spans="2:61" s="175" customFormat="1" ht="23.25" customHeight="1" x14ac:dyDescent="0.4">
      <c r="J4" s="184"/>
      <c r="S4" s="183"/>
      <c r="T4" s="182"/>
      <c r="U4" s="181"/>
      <c r="AJ4" s="179"/>
      <c r="AK4" s="179"/>
      <c r="AQ4" s="179"/>
      <c r="AR4" s="179"/>
      <c r="AX4" s="179"/>
      <c r="AY4" s="179"/>
      <c r="AZ4" s="180"/>
      <c r="BA4" s="179"/>
      <c r="BB4" s="178"/>
      <c r="BC4" s="178" t="s">
        <v>118</v>
      </c>
      <c r="BD4" s="177"/>
      <c r="BE4" s="176"/>
    </row>
    <row r="5" spans="2:61" s="126" customFormat="1" ht="13.5" customHeight="1" x14ac:dyDescent="0.25">
      <c r="B5" s="174" t="s">
        <v>119</v>
      </c>
      <c r="C5" s="239" t="s">
        <v>120</v>
      </c>
      <c r="D5" s="240"/>
      <c r="E5" s="240"/>
      <c r="F5" s="240"/>
      <c r="G5" s="240"/>
      <c r="H5" s="240"/>
      <c r="I5" s="241"/>
      <c r="J5" s="239" t="s">
        <v>121</v>
      </c>
      <c r="K5" s="240"/>
      <c r="L5" s="240"/>
      <c r="M5" s="240"/>
      <c r="N5" s="240"/>
      <c r="O5" s="240"/>
      <c r="P5" s="241"/>
      <c r="Q5" s="239" t="s">
        <v>122</v>
      </c>
      <c r="R5" s="240"/>
      <c r="S5" s="240"/>
      <c r="T5" s="240"/>
      <c r="U5" s="240"/>
      <c r="V5" s="240"/>
      <c r="W5" s="241"/>
      <c r="X5" s="239" t="s">
        <v>123</v>
      </c>
      <c r="Y5" s="240"/>
      <c r="Z5" s="240"/>
      <c r="AA5" s="240"/>
      <c r="AB5" s="240"/>
      <c r="AC5" s="240"/>
      <c r="AD5" s="241"/>
      <c r="AE5" s="239" t="s">
        <v>124</v>
      </c>
      <c r="AF5" s="240"/>
      <c r="AG5" s="240"/>
      <c r="AH5" s="240"/>
      <c r="AI5" s="240"/>
      <c r="AJ5" s="240"/>
      <c r="AK5" s="241"/>
      <c r="AL5" s="239" t="s">
        <v>125</v>
      </c>
      <c r="AM5" s="240"/>
      <c r="AN5" s="240"/>
      <c r="AO5" s="240"/>
      <c r="AP5" s="240"/>
      <c r="AQ5" s="240"/>
      <c r="AR5" s="241"/>
      <c r="AS5" s="239" t="s">
        <v>126</v>
      </c>
      <c r="AT5" s="240"/>
      <c r="AU5" s="240"/>
      <c r="AV5" s="240"/>
      <c r="AW5" s="240"/>
      <c r="AX5" s="240"/>
      <c r="AY5" s="241"/>
      <c r="AZ5" s="174" t="s">
        <v>119</v>
      </c>
      <c r="BA5" s="224" t="s">
        <v>127</v>
      </c>
      <c r="BB5" s="225"/>
      <c r="BC5" s="225"/>
      <c r="BD5" s="226"/>
    </row>
    <row r="6" spans="2:61" ht="13.5" customHeight="1" x14ac:dyDescent="0.25">
      <c r="B6" s="173" t="s">
        <v>128</v>
      </c>
      <c r="C6" s="230">
        <f>'WAP - KVK'!$AY$6+1</f>
        <v>46293</v>
      </c>
      <c r="D6" s="231"/>
      <c r="E6" s="231"/>
      <c r="F6" s="231"/>
      <c r="G6" s="231"/>
      <c r="H6" s="231"/>
      <c r="I6" s="232"/>
      <c r="J6" s="230">
        <f>C6+1</f>
        <v>46294</v>
      </c>
      <c r="K6" s="231"/>
      <c r="L6" s="231"/>
      <c r="M6" s="231"/>
      <c r="N6" s="231"/>
      <c r="O6" s="231"/>
      <c r="P6" s="232"/>
      <c r="Q6" s="230">
        <f>J6+1</f>
        <v>46295</v>
      </c>
      <c r="R6" s="231"/>
      <c r="S6" s="231"/>
      <c r="T6" s="231"/>
      <c r="U6" s="231"/>
      <c r="V6" s="231"/>
      <c r="W6" s="232"/>
      <c r="X6" s="230">
        <f>Q6+1</f>
        <v>46296</v>
      </c>
      <c r="Y6" s="231"/>
      <c r="Z6" s="231"/>
      <c r="AA6" s="231"/>
      <c r="AB6" s="231"/>
      <c r="AC6" s="231"/>
      <c r="AD6" s="232"/>
      <c r="AE6" s="230">
        <f>X6+1</f>
        <v>46297</v>
      </c>
      <c r="AF6" s="231"/>
      <c r="AG6" s="231"/>
      <c r="AH6" s="231"/>
      <c r="AI6" s="231"/>
      <c r="AJ6" s="231"/>
      <c r="AK6" s="232"/>
      <c r="AL6" s="230">
        <f>AE6+1</f>
        <v>46298</v>
      </c>
      <c r="AM6" s="231"/>
      <c r="AN6" s="231"/>
      <c r="AO6" s="231"/>
      <c r="AP6" s="231"/>
      <c r="AQ6" s="231"/>
      <c r="AR6" s="232"/>
      <c r="AS6" s="230">
        <f>AL6+1</f>
        <v>46299</v>
      </c>
      <c r="AT6" s="231"/>
      <c r="AU6" s="231"/>
      <c r="AV6" s="231"/>
      <c r="AW6" s="231"/>
      <c r="AX6" s="231"/>
      <c r="AY6" s="232"/>
      <c r="AZ6" s="172" t="s">
        <v>128</v>
      </c>
      <c r="BA6" s="227"/>
      <c r="BB6" s="228"/>
      <c r="BC6" s="228"/>
      <c r="BD6" s="229"/>
    </row>
    <row r="7" spans="2:61" s="162" customFormat="1" ht="68.25" customHeight="1" x14ac:dyDescent="0.25">
      <c r="B7" s="171"/>
      <c r="C7" s="169" t="s">
        <v>187</v>
      </c>
      <c r="D7" s="169" t="s">
        <v>188</v>
      </c>
      <c r="E7" s="196" t="s">
        <v>189</v>
      </c>
      <c r="F7" s="169" t="s">
        <v>190</v>
      </c>
      <c r="G7" s="169"/>
      <c r="H7" s="168" t="s">
        <v>134</v>
      </c>
      <c r="I7" s="170" t="s">
        <v>135</v>
      </c>
      <c r="J7" s="169" t="s">
        <v>191</v>
      </c>
      <c r="K7" s="169" t="s">
        <v>192</v>
      </c>
      <c r="L7" s="169" t="s">
        <v>63</v>
      </c>
      <c r="M7" s="169" t="s">
        <v>64</v>
      </c>
      <c r="N7" s="169" t="s">
        <v>66</v>
      </c>
      <c r="O7" s="168" t="s">
        <v>134</v>
      </c>
      <c r="P7" s="170" t="s">
        <v>135</v>
      </c>
      <c r="Q7" s="169" t="s">
        <v>191</v>
      </c>
      <c r="R7" s="169" t="s">
        <v>192</v>
      </c>
      <c r="S7" s="169" t="s">
        <v>63</v>
      </c>
      <c r="T7" s="169" t="s">
        <v>64</v>
      </c>
      <c r="U7" s="169" t="s">
        <v>66</v>
      </c>
      <c r="V7" s="168" t="s">
        <v>134</v>
      </c>
      <c r="W7" s="170" t="s">
        <v>135</v>
      </c>
      <c r="X7" s="169" t="s">
        <v>191</v>
      </c>
      <c r="Y7" s="169" t="s">
        <v>192</v>
      </c>
      <c r="Z7" s="169" t="s">
        <v>63</v>
      </c>
      <c r="AA7" s="169" t="s">
        <v>64</v>
      </c>
      <c r="AB7" s="169" t="s">
        <v>66</v>
      </c>
      <c r="AC7" s="168" t="s">
        <v>134</v>
      </c>
      <c r="AD7" s="170" t="s">
        <v>135</v>
      </c>
      <c r="AE7" s="169" t="s">
        <v>191</v>
      </c>
      <c r="AF7" s="169" t="s">
        <v>192</v>
      </c>
      <c r="AG7" s="169" t="s">
        <v>63</v>
      </c>
      <c r="AH7" s="169" t="s">
        <v>64</v>
      </c>
      <c r="AI7" s="169" t="s">
        <v>66</v>
      </c>
      <c r="AJ7" s="168" t="s">
        <v>134</v>
      </c>
      <c r="AK7" s="167" t="s">
        <v>135</v>
      </c>
      <c r="AL7" s="242" t="s">
        <v>136</v>
      </c>
      <c r="AM7" s="243"/>
      <c r="AN7" s="243"/>
      <c r="AO7" s="243"/>
      <c r="AP7" s="244"/>
      <c r="AQ7" s="168" t="s">
        <v>134</v>
      </c>
      <c r="AR7" s="167" t="s">
        <v>135</v>
      </c>
      <c r="AS7" s="242" t="s">
        <v>136</v>
      </c>
      <c r="AT7" s="243"/>
      <c r="AU7" s="243"/>
      <c r="AV7" s="243"/>
      <c r="AW7" s="244"/>
      <c r="AX7" s="168" t="s">
        <v>134</v>
      </c>
      <c r="AY7" s="167" t="s">
        <v>135</v>
      </c>
      <c r="AZ7" s="166"/>
      <c r="BB7" s="165" t="s">
        <v>137</v>
      </c>
      <c r="BC7" s="164">
        <f ca="1">TODAY()</f>
        <v>46267</v>
      </c>
      <c r="BD7" s="163"/>
    </row>
    <row r="8" spans="2:61" ht="8.1" customHeight="1" x14ac:dyDescent="0.25">
      <c r="B8" s="161"/>
      <c r="C8" s="154"/>
      <c r="D8" s="153"/>
      <c r="E8" s="153"/>
      <c r="F8" s="153"/>
      <c r="G8" s="153"/>
      <c r="H8" s="152"/>
      <c r="I8" s="151"/>
      <c r="K8" s="153"/>
      <c r="L8" s="153"/>
      <c r="M8" s="153"/>
      <c r="N8" s="153"/>
      <c r="O8" s="152"/>
      <c r="P8" s="151"/>
      <c r="R8" s="153"/>
      <c r="S8" s="153"/>
      <c r="T8" s="153"/>
      <c r="U8" s="153"/>
      <c r="V8" s="152"/>
      <c r="W8" s="151"/>
      <c r="Y8" s="153"/>
      <c r="Z8" s="153"/>
      <c r="AA8" s="153"/>
      <c r="AB8" s="153"/>
      <c r="AC8" s="152"/>
      <c r="AD8" s="151"/>
      <c r="AE8" s="159"/>
      <c r="AF8" s="153"/>
      <c r="AG8" s="153"/>
      <c r="AH8" s="153"/>
      <c r="AI8" s="153"/>
      <c r="AJ8" s="152"/>
      <c r="AK8" s="151"/>
      <c r="AL8" s="148"/>
      <c r="AM8" s="148"/>
      <c r="AN8" s="148"/>
      <c r="AO8" s="148"/>
      <c r="AP8" s="153"/>
      <c r="AQ8" s="152"/>
      <c r="AR8" s="151"/>
      <c r="AS8" s="148"/>
      <c r="AT8" s="148"/>
      <c r="AU8" s="148"/>
      <c r="AV8" s="148"/>
      <c r="AW8" s="153"/>
      <c r="AX8" s="152"/>
      <c r="AY8" s="151"/>
      <c r="AZ8" s="160"/>
      <c r="BA8" s="198"/>
      <c r="BB8" s="155"/>
      <c r="BC8" s="155"/>
      <c r="BD8" s="199"/>
    </row>
    <row r="9" spans="2:61" ht="8.1" customHeight="1" x14ac:dyDescent="0.25">
      <c r="B9" s="234" t="s">
        <v>138</v>
      </c>
      <c r="C9" s="154"/>
      <c r="D9" s="153"/>
      <c r="E9" s="153"/>
      <c r="F9" s="153"/>
      <c r="G9" s="153"/>
      <c r="H9" s="152"/>
      <c r="I9" s="151"/>
      <c r="K9" s="153"/>
      <c r="L9" s="153"/>
      <c r="M9" s="153"/>
      <c r="N9" s="153"/>
      <c r="O9" s="152"/>
      <c r="P9" s="151"/>
      <c r="R9" s="153"/>
      <c r="S9" s="153"/>
      <c r="T9" s="153"/>
      <c r="U9" s="153"/>
      <c r="V9" s="152"/>
      <c r="W9" s="151"/>
      <c r="Y9" s="153"/>
      <c r="Z9" s="153"/>
      <c r="AA9" s="153"/>
      <c r="AB9" s="153"/>
      <c r="AC9" s="152"/>
      <c r="AD9" s="151"/>
      <c r="AE9" s="159"/>
      <c r="AF9" s="153"/>
      <c r="AG9" s="153"/>
      <c r="AH9" s="153"/>
      <c r="AI9" s="153"/>
      <c r="AJ9" s="152"/>
      <c r="AK9" s="158"/>
      <c r="AL9" s="153"/>
      <c r="AM9" s="153"/>
      <c r="AN9" s="153"/>
      <c r="AO9" s="153"/>
      <c r="AQ9" s="152"/>
      <c r="AR9" s="158"/>
      <c r="AS9" s="153"/>
      <c r="AT9" s="153"/>
      <c r="AU9" s="153"/>
      <c r="AV9" s="153"/>
      <c r="AX9" s="152"/>
      <c r="AY9" s="158"/>
      <c r="AZ9" s="234" t="s">
        <v>138</v>
      </c>
      <c r="BA9" s="198"/>
      <c r="BB9" s="203" t="s">
        <v>72</v>
      </c>
      <c r="BC9" s="155"/>
      <c r="BD9" s="199"/>
      <c r="BG9" s="155"/>
      <c r="BH9" s="155"/>
      <c r="BI9" s="155"/>
    </row>
    <row r="10" spans="2:61" ht="8.1" customHeight="1" x14ac:dyDescent="0.25">
      <c r="B10" s="235"/>
      <c r="C10" s="150"/>
      <c r="D10" s="148"/>
      <c r="E10" s="148"/>
      <c r="F10" s="148"/>
      <c r="G10" s="148"/>
      <c r="H10" s="147"/>
      <c r="I10" s="146"/>
      <c r="J10" s="149"/>
      <c r="K10" s="148"/>
      <c r="L10" s="148"/>
      <c r="M10" s="148"/>
      <c r="N10" s="148"/>
      <c r="O10" s="147"/>
      <c r="P10" s="146"/>
      <c r="Q10" s="149"/>
      <c r="R10" s="148"/>
      <c r="S10" s="148"/>
      <c r="T10" s="148"/>
      <c r="U10" s="148"/>
      <c r="V10" s="147"/>
      <c r="W10" s="146"/>
      <c r="X10" s="149"/>
      <c r="Y10" s="148"/>
      <c r="Z10" s="148"/>
      <c r="AA10" s="148"/>
      <c r="AB10" s="148"/>
      <c r="AC10" s="147"/>
      <c r="AD10" s="146"/>
      <c r="AE10" s="149"/>
      <c r="AF10" s="148"/>
      <c r="AG10" s="148"/>
      <c r="AH10" s="148"/>
      <c r="AI10" s="148"/>
      <c r="AJ10" s="147"/>
      <c r="AK10" s="146"/>
      <c r="AL10" s="148"/>
      <c r="AM10" s="148"/>
      <c r="AN10" s="148"/>
      <c r="AO10" s="148"/>
      <c r="AP10" s="148"/>
      <c r="AQ10" s="147"/>
      <c r="AR10" s="146"/>
      <c r="AS10" s="148"/>
      <c r="AT10" s="148"/>
      <c r="AU10" s="148"/>
      <c r="AV10" s="148"/>
      <c r="AW10" s="148"/>
      <c r="AX10" s="147"/>
      <c r="AY10" s="146"/>
      <c r="AZ10" s="235"/>
      <c r="BA10" s="198"/>
      <c r="BB10" s="204" t="s">
        <v>139</v>
      </c>
      <c r="BC10" s="155"/>
      <c r="BD10" s="199"/>
      <c r="BF10" s="155"/>
      <c r="BG10" s="155"/>
      <c r="BH10" s="155"/>
      <c r="BI10" s="155"/>
    </row>
    <row r="11" spans="2:61" ht="8.1" customHeight="1" x14ac:dyDescent="0.25">
      <c r="B11" s="234"/>
      <c r="C11" s="154"/>
      <c r="D11" s="153"/>
      <c r="E11" s="153"/>
      <c r="F11" s="153"/>
      <c r="G11" s="153"/>
      <c r="H11" s="152"/>
      <c r="I11" s="151"/>
      <c r="K11" s="153"/>
      <c r="L11" s="153"/>
      <c r="M11" s="153"/>
      <c r="N11" s="153"/>
      <c r="O11" s="152"/>
      <c r="P11" s="151"/>
      <c r="R11" s="153"/>
      <c r="S11" s="153"/>
      <c r="T11" s="153"/>
      <c r="U11" s="153"/>
      <c r="V11" s="152"/>
      <c r="W11" s="151"/>
      <c r="Y11" s="153"/>
      <c r="Z11" s="153"/>
      <c r="AA11" s="153"/>
      <c r="AB11" s="153"/>
      <c r="AC11" s="152"/>
      <c r="AD11" s="151"/>
      <c r="AF11" s="153"/>
      <c r="AG11" s="153"/>
      <c r="AH11" s="153"/>
      <c r="AI11" s="153"/>
      <c r="AJ11" s="152"/>
      <c r="AK11" s="151"/>
      <c r="AL11" s="153"/>
      <c r="AM11" s="153"/>
      <c r="AN11" s="153"/>
      <c r="AO11" s="153"/>
      <c r="AP11" s="153"/>
      <c r="AQ11" s="152"/>
      <c r="AR11" s="151"/>
      <c r="AS11" s="153"/>
      <c r="AT11" s="153"/>
      <c r="AU11" s="153"/>
      <c r="AV11" s="153"/>
      <c r="AW11" s="153"/>
      <c r="AX11" s="152"/>
      <c r="AY11" s="151"/>
      <c r="AZ11" s="234"/>
      <c r="BA11" s="198"/>
      <c r="BB11" s="204" t="s">
        <v>140</v>
      </c>
      <c r="BC11" s="155"/>
      <c r="BD11" s="199"/>
      <c r="BF11" s="155"/>
      <c r="BG11" s="155"/>
      <c r="BH11" s="155"/>
      <c r="BI11" s="155"/>
    </row>
    <row r="12" spans="2:61" ht="8.1" customHeight="1" x14ac:dyDescent="0.25">
      <c r="B12" s="235"/>
      <c r="C12" s="150"/>
      <c r="D12" s="148"/>
      <c r="E12" s="148"/>
      <c r="F12" s="148"/>
      <c r="G12" s="148"/>
      <c r="H12" s="147"/>
      <c r="I12" s="146"/>
      <c r="J12" s="149"/>
      <c r="K12" s="148"/>
      <c r="L12" s="148"/>
      <c r="M12" s="148"/>
      <c r="N12" s="148"/>
      <c r="O12" s="147"/>
      <c r="P12" s="146"/>
      <c r="Q12" s="149"/>
      <c r="R12" s="148"/>
      <c r="S12" s="148"/>
      <c r="T12" s="148"/>
      <c r="U12" s="148"/>
      <c r="V12" s="147"/>
      <c r="W12" s="146"/>
      <c r="X12" s="149"/>
      <c r="Y12" s="148"/>
      <c r="Z12" s="148"/>
      <c r="AA12" s="148"/>
      <c r="AB12" s="148"/>
      <c r="AC12" s="147"/>
      <c r="AD12" s="146"/>
      <c r="AE12" s="149"/>
      <c r="AF12" s="148"/>
      <c r="AG12" s="148"/>
      <c r="AH12" s="148"/>
      <c r="AI12" s="148"/>
      <c r="AJ12" s="147"/>
      <c r="AK12" s="146"/>
      <c r="AL12" s="148"/>
      <c r="AM12" s="148"/>
      <c r="AN12" s="148"/>
      <c r="AO12" s="148"/>
      <c r="AP12" s="148"/>
      <c r="AQ12" s="147"/>
      <c r="AR12" s="146"/>
      <c r="AS12" s="148"/>
      <c r="AT12" s="148"/>
      <c r="AU12" s="148"/>
      <c r="AV12" s="148"/>
      <c r="AW12" s="148"/>
      <c r="AX12" s="147"/>
      <c r="AY12" s="146"/>
      <c r="AZ12" s="235"/>
      <c r="BA12" s="198"/>
      <c r="BB12" s="204" t="s">
        <v>141</v>
      </c>
      <c r="BC12" s="155"/>
      <c r="BD12" s="199"/>
      <c r="BF12" s="155"/>
      <c r="BG12" s="155"/>
      <c r="BH12" s="155"/>
      <c r="BI12" s="155"/>
    </row>
    <row r="13" spans="2:61" ht="8.1" customHeight="1" x14ac:dyDescent="0.25">
      <c r="B13" s="234" t="s">
        <v>142</v>
      </c>
      <c r="C13" s="154"/>
      <c r="D13" s="153"/>
      <c r="E13" s="153"/>
      <c r="F13" s="153"/>
      <c r="G13" s="153"/>
      <c r="H13" s="152"/>
      <c r="I13" s="151"/>
      <c r="K13" s="153"/>
      <c r="L13" s="153"/>
      <c r="M13" s="153"/>
      <c r="N13" s="153"/>
      <c r="O13" s="152"/>
      <c r="P13" s="151"/>
      <c r="R13" s="153"/>
      <c r="S13" s="153"/>
      <c r="T13" s="153"/>
      <c r="U13" s="153"/>
      <c r="V13" s="152"/>
      <c r="W13" s="151"/>
      <c r="Y13" s="153"/>
      <c r="Z13" s="153"/>
      <c r="AA13" s="153"/>
      <c r="AB13" s="153"/>
      <c r="AC13" s="152"/>
      <c r="AD13" s="151"/>
      <c r="AF13" s="153"/>
      <c r="AG13" s="153"/>
      <c r="AH13" s="153"/>
      <c r="AI13" s="153"/>
      <c r="AJ13" s="152"/>
      <c r="AK13" s="151"/>
      <c r="AL13" s="153"/>
      <c r="AM13" s="153"/>
      <c r="AN13" s="153"/>
      <c r="AO13" s="153"/>
      <c r="AP13" s="153"/>
      <c r="AQ13" s="152"/>
      <c r="AR13" s="151"/>
      <c r="AS13" s="153"/>
      <c r="AT13" s="153"/>
      <c r="AU13" s="153"/>
      <c r="AV13" s="153"/>
      <c r="AW13" s="153"/>
      <c r="AX13" s="152"/>
      <c r="AY13" s="151"/>
      <c r="AZ13" s="234" t="s">
        <v>142</v>
      </c>
      <c r="BA13" s="198"/>
      <c r="BB13" s="204" t="s">
        <v>143</v>
      </c>
      <c r="BC13" s="155"/>
      <c r="BD13" s="199"/>
      <c r="BF13" s="155"/>
      <c r="BG13" s="155"/>
      <c r="BH13" s="155"/>
      <c r="BI13" s="155"/>
    </row>
    <row r="14" spans="2:61" ht="8.1" customHeight="1" x14ac:dyDescent="0.25">
      <c r="B14" s="235"/>
      <c r="C14" s="150"/>
      <c r="D14" s="148"/>
      <c r="E14" s="148"/>
      <c r="F14" s="148"/>
      <c r="G14" s="148"/>
      <c r="H14" s="147"/>
      <c r="I14" s="146"/>
      <c r="J14" s="149"/>
      <c r="K14" s="148"/>
      <c r="L14" s="148"/>
      <c r="M14" s="148"/>
      <c r="N14" s="148"/>
      <c r="O14" s="147"/>
      <c r="P14" s="146"/>
      <c r="Q14" s="149"/>
      <c r="R14" s="148"/>
      <c r="S14" s="148"/>
      <c r="T14" s="148"/>
      <c r="U14" s="148"/>
      <c r="V14" s="147"/>
      <c r="W14" s="146"/>
      <c r="X14" s="149"/>
      <c r="Y14" s="148"/>
      <c r="Z14" s="148"/>
      <c r="AA14" s="148"/>
      <c r="AB14" s="148"/>
      <c r="AC14" s="147"/>
      <c r="AD14" s="146"/>
      <c r="AE14" s="149"/>
      <c r="AF14" s="148"/>
      <c r="AG14" s="148"/>
      <c r="AH14" s="148"/>
      <c r="AI14" s="148"/>
      <c r="AJ14" s="147"/>
      <c r="AK14" s="146"/>
      <c r="AL14" s="148"/>
      <c r="AM14" s="148"/>
      <c r="AN14" s="148"/>
      <c r="AO14" s="148"/>
      <c r="AP14" s="148"/>
      <c r="AQ14" s="147"/>
      <c r="AR14" s="146"/>
      <c r="AS14" s="148"/>
      <c r="AT14" s="148"/>
      <c r="AU14" s="148"/>
      <c r="AV14" s="148"/>
      <c r="AW14" s="148"/>
      <c r="AX14" s="147"/>
      <c r="AY14" s="146"/>
      <c r="AZ14" s="235"/>
      <c r="BA14" s="198"/>
      <c r="BB14" s="203"/>
      <c r="BC14" s="155"/>
      <c r="BD14" s="199"/>
      <c r="BF14" s="155"/>
      <c r="BG14" s="155"/>
      <c r="BH14" s="155"/>
      <c r="BI14" s="155"/>
    </row>
    <row r="15" spans="2:61" ht="8.1" customHeight="1" x14ac:dyDescent="0.25">
      <c r="B15" s="234"/>
      <c r="C15" s="154"/>
      <c r="D15" s="153"/>
      <c r="E15" s="153"/>
      <c r="F15" s="153"/>
      <c r="G15" s="153"/>
      <c r="H15" s="152"/>
      <c r="I15" s="151"/>
      <c r="K15" s="153"/>
      <c r="L15" s="153"/>
      <c r="M15" s="153"/>
      <c r="N15" s="153"/>
      <c r="O15" s="152"/>
      <c r="P15" s="151"/>
      <c r="R15" s="153"/>
      <c r="S15" s="153"/>
      <c r="T15" s="153"/>
      <c r="U15" s="153"/>
      <c r="V15" s="152"/>
      <c r="W15" s="151"/>
      <c r="Y15" s="153"/>
      <c r="Z15" s="153"/>
      <c r="AA15" s="153"/>
      <c r="AB15" s="153"/>
      <c r="AC15" s="152"/>
      <c r="AD15" s="151"/>
      <c r="AF15" s="153"/>
      <c r="AG15" s="153"/>
      <c r="AH15" s="153"/>
      <c r="AI15" s="153"/>
      <c r="AJ15" s="152"/>
      <c r="AK15" s="151"/>
      <c r="AL15" s="153"/>
      <c r="AM15" s="153"/>
      <c r="AN15" s="153"/>
      <c r="AO15" s="153"/>
      <c r="AP15" s="153"/>
      <c r="AQ15" s="152"/>
      <c r="AR15" s="151"/>
      <c r="AS15" s="153"/>
      <c r="AT15" s="153"/>
      <c r="AU15" s="153"/>
      <c r="AV15" s="153"/>
      <c r="AW15" s="153"/>
      <c r="AX15" s="152"/>
      <c r="AY15" s="151"/>
      <c r="AZ15" s="234"/>
      <c r="BA15" s="198"/>
      <c r="BB15" s="203"/>
      <c r="BC15" s="155"/>
      <c r="BD15" s="199"/>
      <c r="BF15" s="155"/>
      <c r="BG15" s="155"/>
      <c r="BH15" s="155"/>
      <c r="BI15" s="155"/>
    </row>
    <row r="16" spans="2:61" ht="8.1" customHeight="1" x14ac:dyDescent="0.25">
      <c r="B16" s="235"/>
      <c r="C16" s="150"/>
      <c r="D16" s="148"/>
      <c r="E16" s="148"/>
      <c r="F16" s="148"/>
      <c r="G16" s="148"/>
      <c r="H16" s="147"/>
      <c r="I16" s="146"/>
      <c r="J16" s="149"/>
      <c r="K16" s="148"/>
      <c r="L16" s="148"/>
      <c r="M16" s="148"/>
      <c r="N16" s="148"/>
      <c r="O16" s="147"/>
      <c r="P16" s="146"/>
      <c r="Q16" s="149"/>
      <c r="R16" s="148"/>
      <c r="S16" s="148"/>
      <c r="T16" s="148"/>
      <c r="U16" s="148"/>
      <c r="V16" s="147"/>
      <c r="W16" s="146"/>
      <c r="X16" s="149"/>
      <c r="Y16" s="148"/>
      <c r="Z16" s="148"/>
      <c r="AA16" s="148"/>
      <c r="AB16" s="148"/>
      <c r="AC16" s="147"/>
      <c r="AD16" s="146"/>
      <c r="AE16" s="149"/>
      <c r="AF16" s="148"/>
      <c r="AG16" s="148"/>
      <c r="AH16" s="148"/>
      <c r="AI16" s="148"/>
      <c r="AJ16" s="147"/>
      <c r="AK16" s="146"/>
      <c r="AL16" s="148"/>
      <c r="AM16" s="148"/>
      <c r="AN16" s="148"/>
      <c r="AO16" s="148"/>
      <c r="AP16" s="148"/>
      <c r="AQ16" s="147"/>
      <c r="AR16" s="146"/>
      <c r="AS16" s="148"/>
      <c r="AT16" s="148"/>
      <c r="AU16" s="148"/>
      <c r="AV16" s="148"/>
      <c r="AW16" s="148"/>
      <c r="AX16" s="147"/>
      <c r="AY16" s="146"/>
      <c r="AZ16" s="235"/>
      <c r="BA16" s="198"/>
      <c r="BB16" s="203" t="s">
        <v>144</v>
      </c>
      <c r="BC16" s="155"/>
      <c r="BD16" s="199"/>
      <c r="BF16" s="155"/>
      <c r="BG16" s="155"/>
      <c r="BH16" s="155"/>
      <c r="BI16" s="155"/>
    </row>
    <row r="17" spans="2:61" ht="8.1" customHeight="1" x14ac:dyDescent="0.25">
      <c r="B17" s="234" t="s">
        <v>145</v>
      </c>
      <c r="C17" s="154"/>
      <c r="D17" s="153"/>
      <c r="E17" s="153"/>
      <c r="F17" s="153"/>
      <c r="G17" s="153"/>
      <c r="H17" s="152"/>
      <c r="I17" s="151"/>
      <c r="K17" s="153"/>
      <c r="L17" s="153"/>
      <c r="M17" s="153"/>
      <c r="N17" s="153"/>
      <c r="O17" s="152"/>
      <c r="P17" s="151"/>
      <c r="R17" s="153"/>
      <c r="S17" s="153"/>
      <c r="T17" s="153"/>
      <c r="U17" s="153"/>
      <c r="V17" s="152"/>
      <c r="W17" s="151"/>
      <c r="Y17" s="153"/>
      <c r="Z17" s="153"/>
      <c r="AA17" s="153"/>
      <c r="AB17" s="153"/>
      <c r="AC17" s="152"/>
      <c r="AD17" s="151"/>
      <c r="AF17" s="153"/>
      <c r="AG17" s="153"/>
      <c r="AH17" s="153"/>
      <c r="AI17" s="153"/>
      <c r="AJ17" s="152"/>
      <c r="AK17" s="151"/>
      <c r="AL17" s="153"/>
      <c r="AM17" s="153"/>
      <c r="AN17" s="153"/>
      <c r="AO17" s="153"/>
      <c r="AP17" s="153"/>
      <c r="AQ17" s="152"/>
      <c r="AR17" s="151"/>
      <c r="AS17" s="153"/>
      <c r="AT17" s="153"/>
      <c r="AU17" s="153"/>
      <c r="AV17" s="153"/>
      <c r="AW17" s="153"/>
      <c r="AX17" s="152"/>
      <c r="AY17" s="151"/>
      <c r="AZ17" s="234" t="s">
        <v>145</v>
      </c>
      <c r="BA17" s="198"/>
      <c r="BB17" s="204" t="str">
        <f>_xlfn.CONCAT("KP: ",Einstellungen!$P$34)</f>
        <v>KP: (noch nicht bekannt)</v>
      </c>
      <c r="BC17" s="155"/>
      <c r="BD17" s="199"/>
      <c r="BF17" s="155"/>
      <c r="BG17" s="155"/>
      <c r="BH17" s="155"/>
      <c r="BI17" s="155"/>
    </row>
    <row r="18" spans="2:61" ht="8.1" customHeight="1" x14ac:dyDescent="0.25">
      <c r="B18" s="235"/>
      <c r="C18" s="150"/>
      <c r="D18" s="148"/>
      <c r="E18" s="148"/>
      <c r="F18" s="148"/>
      <c r="G18" s="148"/>
      <c r="H18" s="147"/>
      <c r="I18" s="146"/>
      <c r="J18" s="149"/>
      <c r="K18" s="148"/>
      <c r="L18" s="148"/>
      <c r="M18" s="148"/>
      <c r="N18" s="148"/>
      <c r="O18" s="147"/>
      <c r="P18" s="146"/>
      <c r="Q18" s="149"/>
      <c r="R18" s="148"/>
      <c r="S18" s="148"/>
      <c r="T18" s="148"/>
      <c r="U18" s="148"/>
      <c r="V18" s="147"/>
      <c r="W18" s="146"/>
      <c r="X18" s="149"/>
      <c r="Y18" s="148"/>
      <c r="Z18" s="148"/>
      <c r="AA18" s="148"/>
      <c r="AB18" s="148"/>
      <c r="AC18" s="147"/>
      <c r="AD18" s="146"/>
      <c r="AE18" s="149"/>
      <c r="AF18" s="148"/>
      <c r="AG18" s="148"/>
      <c r="AH18" s="148"/>
      <c r="AI18" s="148"/>
      <c r="AJ18" s="147"/>
      <c r="AK18" s="146"/>
      <c r="AL18" s="148"/>
      <c r="AM18" s="148"/>
      <c r="AN18" s="148"/>
      <c r="AO18" s="148"/>
      <c r="AP18" s="148"/>
      <c r="AQ18" s="147"/>
      <c r="AR18" s="146"/>
      <c r="AS18" s="148"/>
      <c r="AT18" s="148"/>
      <c r="AU18" s="148"/>
      <c r="AV18" s="148"/>
      <c r="AW18" s="148"/>
      <c r="AX18" s="147"/>
      <c r="AY18" s="146"/>
      <c r="AZ18" s="235"/>
      <c r="BA18" s="198"/>
      <c r="BB18" s="204" t="str">
        <f>_xlfn.CONCAT("LVZ/MCC: ",Einstellungen!$R$34)</f>
        <v>LVZ/MCC: (noch nicht bekannt)</v>
      </c>
      <c r="BC18" s="155"/>
      <c r="BD18" s="199"/>
      <c r="BF18" s="155"/>
      <c r="BG18" s="155"/>
      <c r="BH18" s="155"/>
      <c r="BI18" s="155"/>
    </row>
    <row r="19" spans="2:61" ht="8.1" customHeight="1" x14ac:dyDescent="0.25">
      <c r="B19" s="234"/>
      <c r="C19" s="154"/>
      <c r="D19" s="153"/>
      <c r="E19" s="153"/>
      <c r="F19" s="153"/>
      <c r="G19" s="153"/>
      <c r="H19" s="152"/>
      <c r="I19" s="151"/>
      <c r="K19" s="153"/>
      <c r="L19" s="153"/>
      <c r="M19" s="153"/>
      <c r="N19" s="153"/>
      <c r="O19" s="152"/>
      <c r="P19" s="151"/>
      <c r="R19" s="153"/>
      <c r="S19" s="153"/>
      <c r="T19" s="153"/>
      <c r="U19" s="153"/>
      <c r="V19" s="152"/>
      <c r="W19" s="151"/>
      <c r="Y19" s="153"/>
      <c r="Z19" s="153"/>
      <c r="AA19" s="153"/>
      <c r="AB19" s="153"/>
      <c r="AC19" s="152"/>
      <c r="AD19" s="151"/>
      <c r="AF19" s="153"/>
      <c r="AG19" s="153"/>
      <c r="AH19" s="153"/>
      <c r="AI19" s="153"/>
      <c r="AJ19" s="152"/>
      <c r="AK19" s="151"/>
      <c r="AL19" s="153"/>
      <c r="AM19" s="153"/>
      <c r="AN19" s="153"/>
      <c r="AO19" s="153"/>
      <c r="AP19" s="153"/>
      <c r="AQ19" s="152"/>
      <c r="AR19" s="151"/>
      <c r="AS19" s="153"/>
      <c r="AT19" s="153"/>
      <c r="AU19" s="153"/>
      <c r="AV19" s="153"/>
      <c r="AW19" s="153"/>
      <c r="AX19" s="152"/>
      <c r="AY19" s="151"/>
      <c r="AZ19" s="234"/>
      <c r="BA19" s="198"/>
      <c r="BB19" s="204" t="str">
        <f>_xlfn.CONCAT("Tagesof: ",Einstellungen!$P$37)</f>
        <v>Tagesof: (noch nicht bekannt)</v>
      </c>
      <c r="BC19" s="155"/>
      <c r="BD19" s="199"/>
      <c r="BF19" s="155"/>
      <c r="BG19" s="155"/>
      <c r="BH19" s="155"/>
      <c r="BI19" s="155"/>
    </row>
    <row r="20" spans="2:61" ht="8.1" customHeight="1" x14ac:dyDescent="0.25">
      <c r="B20" s="235"/>
      <c r="C20" s="150"/>
      <c r="D20" s="148"/>
      <c r="E20" s="148"/>
      <c r="F20" s="148"/>
      <c r="G20" s="148"/>
      <c r="H20" s="147"/>
      <c r="I20" s="146"/>
      <c r="J20" s="149"/>
      <c r="K20" s="148"/>
      <c r="L20" s="148"/>
      <c r="M20" s="148"/>
      <c r="N20" s="148"/>
      <c r="O20" s="147"/>
      <c r="P20" s="146"/>
      <c r="Q20" s="149"/>
      <c r="R20" s="148"/>
      <c r="S20" s="148"/>
      <c r="T20" s="148"/>
      <c r="U20" s="148"/>
      <c r="V20" s="147"/>
      <c r="W20" s="146"/>
      <c r="X20" s="149"/>
      <c r="Y20" s="148"/>
      <c r="Z20" s="148"/>
      <c r="AA20" s="148"/>
      <c r="AB20" s="148"/>
      <c r="AC20" s="147"/>
      <c r="AD20" s="146"/>
      <c r="AE20" s="149"/>
      <c r="AF20" s="148"/>
      <c r="AG20" s="148"/>
      <c r="AH20" s="148"/>
      <c r="AI20" s="148"/>
      <c r="AJ20" s="147"/>
      <c r="AK20" s="146"/>
      <c r="AL20" s="148"/>
      <c r="AM20" s="148"/>
      <c r="AN20" s="148"/>
      <c r="AO20" s="148"/>
      <c r="AP20" s="148"/>
      <c r="AQ20" s="147"/>
      <c r="AR20" s="146"/>
      <c r="AS20" s="148"/>
      <c r="AT20" s="148"/>
      <c r="AU20" s="148"/>
      <c r="AV20" s="148"/>
      <c r="AW20" s="148"/>
      <c r="AX20" s="147"/>
      <c r="AY20" s="146"/>
      <c r="AZ20" s="235"/>
      <c r="BA20" s="198"/>
      <c r="BB20" s="204" t="str">
        <f>_xlfn.CONCAT("Wachtof: ",Einstellungen!$R$37)</f>
        <v>Wachtof: (noch nicht bekannt)</v>
      </c>
      <c r="BC20" s="155"/>
      <c r="BD20" s="199"/>
      <c r="BF20" s="155"/>
      <c r="BG20" s="155"/>
      <c r="BH20" s="155"/>
      <c r="BI20" s="155"/>
    </row>
    <row r="21" spans="2:61" ht="8.1" customHeight="1" x14ac:dyDescent="0.25">
      <c r="B21" s="234" t="s">
        <v>146</v>
      </c>
      <c r="C21" s="154"/>
      <c r="D21" s="153"/>
      <c r="E21" s="153"/>
      <c r="F21" s="153"/>
      <c r="G21" s="153"/>
      <c r="H21" s="152"/>
      <c r="I21" s="151"/>
      <c r="K21" s="153"/>
      <c r="L21" s="153"/>
      <c r="M21" s="153"/>
      <c r="N21" s="153"/>
      <c r="O21" s="152"/>
      <c r="P21" s="151"/>
      <c r="R21" s="153"/>
      <c r="S21" s="153"/>
      <c r="T21" s="153"/>
      <c r="U21" s="153"/>
      <c r="V21" s="152"/>
      <c r="W21" s="151"/>
      <c r="Y21" s="153"/>
      <c r="Z21" s="153"/>
      <c r="AA21" s="153"/>
      <c r="AB21" s="153"/>
      <c r="AC21" s="152"/>
      <c r="AD21" s="151"/>
      <c r="AF21" s="153"/>
      <c r="AG21" s="153"/>
      <c r="AH21" s="153"/>
      <c r="AI21" s="153"/>
      <c r="AJ21" s="152"/>
      <c r="AK21" s="151"/>
      <c r="AL21" s="153"/>
      <c r="AM21" s="153"/>
      <c r="AN21" s="153"/>
      <c r="AO21" s="153"/>
      <c r="AP21" s="153"/>
      <c r="AQ21" s="152"/>
      <c r="AR21" s="151"/>
      <c r="AS21" s="153"/>
      <c r="AT21" s="153"/>
      <c r="AU21" s="153"/>
      <c r="AV21" s="153"/>
      <c r="AW21" s="153"/>
      <c r="AX21" s="152"/>
      <c r="AY21" s="151"/>
      <c r="AZ21" s="234" t="s">
        <v>146</v>
      </c>
      <c r="BA21" s="198"/>
      <c r="BB21" s="203"/>
      <c r="BC21" s="155"/>
      <c r="BD21" s="199"/>
      <c r="BF21" s="155"/>
      <c r="BG21" s="155"/>
      <c r="BH21" s="155"/>
      <c r="BI21" s="155"/>
    </row>
    <row r="22" spans="2:61" ht="8.1" customHeight="1" x14ac:dyDescent="0.25">
      <c r="B22" s="235"/>
      <c r="C22" s="150"/>
      <c r="D22" s="148"/>
      <c r="E22" s="148"/>
      <c r="F22" s="148"/>
      <c r="G22" s="148"/>
      <c r="H22" s="147"/>
      <c r="I22" s="146"/>
      <c r="J22" s="149"/>
      <c r="K22" s="148"/>
      <c r="L22" s="148"/>
      <c r="M22" s="148"/>
      <c r="N22" s="148"/>
      <c r="O22" s="147"/>
      <c r="P22" s="146"/>
      <c r="Q22" s="149"/>
      <c r="R22" s="148"/>
      <c r="S22" s="148"/>
      <c r="T22" s="148"/>
      <c r="U22" s="148"/>
      <c r="V22" s="147"/>
      <c r="W22" s="146"/>
      <c r="X22" s="149"/>
      <c r="Y22" s="148"/>
      <c r="Z22" s="148"/>
      <c r="AA22" s="148"/>
      <c r="AB22" s="148"/>
      <c r="AC22" s="147"/>
      <c r="AD22" s="146"/>
      <c r="AE22" s="149"/>
      <c r="AF22" s="148"/>
      <c r="AG22" s="148"/>
      <c r="AH22" s="148"/>
      <c r="AI22" s="148"/>
      <c r="AJ22" s="147"/>
      <c r="AK22" s="146"/>
      <c r="AL22" s="148"/>
      <c r="AM22" s="148"/>
      <c r="AN22" s="148"/>
      <c r="AO22" s="148"/>
      <c r="AP22" s="148"/>
      <c r="AQ22" s="147"/>
      <c r="AR22" s="146"/>
      <c r="AS22" s="148"/>
      <c r="AT22" s="148"/>
      <c r="AU22" s="148"/>
      <c r="AV22" s="148"/>
      <c r="AW22" s="148"/>
      <c r="AX22" s="147"/>
      <c r="AY22" s="146"/>
      <c r="AZ22" s="235"/>
      <c r="BA22" s="198"/>
      <c r="BB22" s="203"/>
      <c r="BC22" s="155"/>
      <c r="BD22" s="199"/>
      <c r="BF22" s="155"/>
      <c r="BG22" s="155"/>
      <c r="BH22" s="155"/>
      <c r="BI22" s="155"/>
    </row>
    <row r="23" spans="2:61" ht="8.1" customHeight="1" x14ac:dyDescent="0.25">
      <c r="B23" s="234"/>
      <c r="C23" s="154"/>
      <c r="D23" s="153"/>
      <c r="E23" s="153"/>
      <c r="F23" s="153"/>
      <c r="G23" s="153"/>
      <c r="H23" s="152"/>
      <c r="I23" s="151"/>
      <c r="K23" s="153"/>
      <c r="L23" s="153"/>
      <c r="M23" s="153"/>
      <c r="N23" s="153"/>
      <c r="O23" s="152"/>
      <c r="P23" s="151"/>
      <c r="R23" s="153"/>
      <c r="S23" s="153"/>
      <c r="T23" s="153"/>
      <c r="U23" s="153"/>
      <c r="V23" s="152"/>
      <c r="W23" s="151"/>
      <c r="Y23" s="153"/>
      <c r="Z23" s="153"/>
      <c r="AA23" s="153"/>
      <c r="AB23" s="153"/>
      <c r="AC23" s="152"/>
      <c r="AD23" s="151"/>
      <c r="AF23" s="153"/>
      <c r="AG23" s="153"/>
      <c r="AH23" s="153"/>
      <c r="AI23" s="153"/>
      <c r="AJ23" s="152"/>
      <c r="AK23" s="151"/>
      <c r="AL23" s="153"/>
      <c r="AM23" s="153"/>
      <c r="AN23" s="153"/>
      <c r="AO23" s="153"/>
      <c r="AP23" s="153"/>
      <c r="AQ23" s="152"/>
      <c r="AR23" s="151"/>
      <c r="AS23" s="153"/>
      <c r="AT23" s="153"/>
      <c r="AU23" s="153"/>
      <c r="AV23" s="153"/>
      <c r="AW23" s="153"/>
      <c r="AX23" s="152"/>
      <c r="AY23" s="151"/>
      <c r="AZ23" s="234"/>
      <c r="BA23" s="198"/>
      <c r="BB23" s="203"/>
      <c r="BC23" s="155"/>
      <c r="BD23" s="199"/>
      <c r="BF23" s="155"/>
      <c r="BG23" s="155"/>
      <c r="BH23" s="155"/>
      <c r="BI23" s="155"/>
    </row>
    <row r="24" spans="2:61" ht="8.1" customHeight="1" x14ac:dyDescent="0.25">
      <c r="B24" s="235"/>
      <c r="C24" s="150"/>
      <c r="D24" s="148"/>
      <c r="E24" s="148"/>
      <c r="F24" s="148"/>
      <c r="G24" s="148"/>
      <c r="H24" s="147"/>
      <c r="I24" s="146"/>
      <c r="J24" s="149"/>
      <c r="K24" s="148"/>
      <c r="L24" s="148"/>
      <c r="M24" s="148"/>
      <c r="N24" s="148"/>
      <c r="O24" s="147"/>
      <c r="P24" s="146"/>
      <c r="Q24" s="149"/>
      <c r="R24" s="148"/>
      <c r="S24" s="148"/>
      <c r="T24" s="148"/>
      <c r="U24" s="148"/>
      <c r="V24" s="147"/>
      <c r="W24" s="146"/>
      <c r="X24" s="149"/>
      <c r="Y24" s="148"/>
      <c r="Z24" s="148"/>
      <c r="AA24" s="148"/>
      <c r="AB24" s="148"/>
      <c r="AC24" s="147"/>
      <c r="AD24" s="146"/>
      <c r="AE24" s="149"/>
      <c r="AF24" s="148"/>
      <c r="AG24" s="148"/>
      <c r="AH24" s="148"/>
      <c r="AI24" s="148"/>
      <c r="AJ24" s="147"/>
      <c r="AK24" s="146"/>
      <c r="AL24" s="148"/>
      <c r="AM24" s="148"/>
      <c r="AN24" s="148"/>
      <c r="AO24" s="148"/>
      <c r="AP24" s="148"/>
      <c r="AQ24" s="147"/>
      <c r="AR24" s="146"/>
      <c r="AS24" s="148"/>
      <c r="AT24" s="148"/>
      <c r="AU24" s="148"/>
      <c r="AV24" s="148"/>
      <c r="AW24" s="148"/>
      <c r="AX24" s="147"/>
      <c r="AY24" s="146"/>
      <c r="AZ24" s="235"/>
      <c r="BA24" s="198"/>
      <c r="BB24" s="204"/>
      <c r="BC24" s="155"/>
      <c r="BD24" s="199"/>
      <c r="BF24" s="155"/>
      <c r="BG24" s="155"/>
      <c r="BH24" s="155"/>
      <c r="BI24" s="155"/>
    </row>
    <row r="25" spans="2:61" ht="8.1" customHeight="1" x14ac:dyDescent="0.25">
      <c r="B25" s="234" t="s">
        <v>149</v>
      </c>
      <c r="C25" s="154"/>
      <c r="D25" s="153"/>
      <c r="E25" s="153"/>
      <c r="F25" s="153"/>
      <c r="G25" s="153"/>
      <c r="H25" s="152"/>
      <c r="I25" s="151"/>
      <c r="K25" s="153"/>
      <c r="L25" s="153"/>
      <c r="M25" s="153"/>
      <c r="N25" s="153"/>
      <c r="O25" s="152"/>
      <c r="P25" s="151"/>
      <c r="R25" s="153"/>
      <c r="S25" s="153"/>
      <c r="T25" s="153"/>
      <c r="U25" s="153"/>
      <c r="V25" s="152"/>
      <c r="W25" s="151"/>
      <c r="Y25" s="153"/>
      <c r="Z25" s="153"/>
      <c r="AA25" s="153"/>
      <c r="AB25" s="153"/>
      <c r="AC25" s="152"/>
      <c r="AD25" s="151"/>
      <c r="AF25" s="153"/>
      <c r="AG25" s="153"/>
      <c r="AH25" s="153"/>
      <c r="AI25" s="153"/>
      <c r="AJ25" s="152"/>
      <c r="AK25" s="151"/>
      <c r="AL25" s="153"/>
      <c r="AM25" s="153"/>
      <c r="AN25" s="153"/>
      <c r="AO25" s="153"/>
      <c r="AP25" s="153"/>
      <c r="AQ25" s="152"/>
      <c r="AR25" s="151"/>
      <c r="AS25" s="153"/>
      <c r="AT25" s="153"/>
      <c r="AU25" s="153"/>
      <c r="AV25" s="153"/>
      <c r="AW25" s="153"/>
      <c r="AX25" s="152"/>
      <c r="AY25" s="151"/>
      <c r="AZ25" s="234" t="s">
        <v>149</v>
      </c>
      <c r="BA25" s="198"/>
      <c r="BB25" s="203"/>
      <c r="BC25" s="155"/>
      <c r="BD25" s="199"/>
      <c r="BF25" s="155"/>
      <c r="BG25" s="155"/>
      <c r="BH25" s="155"/>
      <c r="BI25" s="155"/>
    </row>
    <row r="26" spans="2:61" ht="8.1" customHeight="1" x14ac:dyDescent="0.25">
      <c r="B26" s="235"/>
      <c r="C26" s="150"/>
      <c r="D26" s="148"/>
      <c r="E26" s="148"/>
      <c r="F26" s="148"/>
      <c r="G26" s="148"/>
      <c r="H26" s="147"/>
      <c r="I26" s="146"/>
      <c r="J26" s="149"/>
      <c r="K26" s="148"/>
      <c r="L26" s="148"/>
      <c r="M26" s="148"/>
      <c r="N26" s="148"/>
      <c r="O26" s="147"/>
      <c r="P26" s="146"/>
      <c r="Q26" s="149"/>
      <c r="R26" s="148"/>
      <c r="S26" s="148"/>
      <c r="T26" s="148"/>
      <c r="U26" s="148"/>
      <c r="V26" s="147"/>
      <c r="W26" s="146"/>
      <c r="X26" s="149"/>
      <c r="Y26" s="148"/>
      <c r="Z26" s="148"/>
      <c r="AA26" s="148"/>
      <c r="AB26" s="148"/>
      <c r="AC26" s="147"/>
      <c r="AD26" s="146"/>
      <c r="AE26" s="149"/>
      <c r="AF26" s="148"/>
      <c r="AG26" s="148"/>
      <c r="AH26" s="148"/>
      <c r="AI26" s="148"/>
      <c r="AJ26" s="147"/>
      <c r="AK26" s="146"/>
      <c r="AL26" s="148"/>
      <c r="AM26" s="148"/>
      <c r="AN26" s="148"/>
      <c r="AO26" s="148"/>
      <c r="AP26" s="148"/>
      <c r="AQ26" s="147"/>
      <c r="AR26" s="146"/>
      <c r="AS26" s="148"/>
      <c r="AT26" s="148"/>
      <c r="AU26" s="148"/>
      <c r="AV26" s="148"/>
      <c r="AW26" s="148"/>
      <c r="AX26" s="147"/>
      <c r="AY26" s="146"/>
      <c r="AZ26" s="235"/>
      <c r="BA26" s="198"/>
      <c r="BB26" s="203"/>
      <c r="BC26" s="155"/>
      <c r="BD26" s="199"/>
      <c r="BF26" s="155"/>
      <c r="BG26" s="155"/>
      <c r="BH26" s="155"/>
      <c r="BI26" s="155"/>
    </row>
    <row r="27" spans="2:61" ht="8.1" customHeight="1" x14ac:dyDescent="0.25">
      <c r="B27" s="234"/>
      <c r="C27" s="154"/>
      <c r="D27" s="153"/>
      <c r="E27" s="153"/>
      <c r="F27" s="153"/>
      <c r="G27" s="153"/>
      <c r="H27" s="152"/>
      <c r="I27" s="151"/>
      <c r="K27" s="153"/>
      <c r="L27" s="153"/>
      <c r="M27" s="153"/>
      <c r="N27" s="153"/>
      <c r="O27" s="152"/>
      <c r="P27" s="151"/>
      <c r="R27" s="153"/>
      <c r="S27" s="153"/>
      <c r="T27" s="153"/>
      <c r="U27" s="153"/>
      <c r="V27" s="152"/>
      <c r="W27" s="151"/>
      <c r="Y27" s="153"/>
      <c r="Z27" s="153"/>
      <c r="AA27" s="153"/>
      <c r="AB27" s="153"/>
      <c r="AC27" s="152"/>
      <c r="AD27" s="151"/>
      <c r="AF27" s="153"/>
      <c r="AG27" s="153"/>
      <c r="AH27" s="153"/>
      <c r="AI27" s="153"/>
      <c r="AJ27" s="152"/>
      <c r="AK27" s="151"/>
      <c r="AL27" s="153"/>
      <c r="AM27" s="153"/>
      <c r="AN27" s="153"/>
      <c r="AO27" s="153"/>
      <c r="AP27" s="153"/>
      <c r="AQ27" s="152"/>
      <c r="AR27" s="151"/>
      <c r="AS27" s="153"/>
      <c r="AT27" s="153"/>
      <c r="AU27" s="153"/>
      <c r="AV27" s="153"/>
      <c r="AW27" s="153"/>
      <c r="AX27" s="152"/>
      <c r="AY27" s="151"/>
      <c r="AZ27" s="234"/>
      <c r="BA27" s="198"/>
      <c r="BB27" s="203"/>
      <c r="BC27" s="155"/>
      <c r="BD27" s="199"/>
      <c r="BF27" s="155"/>
      <c r="BG27" s="155"/>
      <c r="BH27" s="155"/>
      <c r="BI27" s="155"/>
    </row>
    <row r="28" spans="2:61" ht="8.1" customHeight="1" x14ac:dyDescent="0.25">
      <c r="B28" s="235"/>
      <c r="C28" s="150"/>
      <c r="D28" s="148"/>
      <c r="E28" s="148"/>
      <c r="F28" s="148"/>
      <c r="G28" s="148"/>
      <c r="H28" s="147"/>
      <c r="I28" s="146"/>
      <c r="J28" s="149"/>
      <c r="K28" s="148"/>
      <c r="L28" s="148"/>
      <c r="M28" s="148"/>
      <c r="N28" s="148"/>
      <c r="O28" s="147"/>
      <c r="P28" s="146"/>
      <c r="Q28" s="149"/>
      <c r="R28" s="148"/>
      <c r="S28" s="148"/>
      <c r="T28" s="148"/>
      <c r="U28" s="148"/>
      <c r="V28" s="147"/>
      <c r="W28" s="146"/>
      <c r="X28" s="149"/>
      <c r="Y28" s="148"/>
      <c r="Z28" s="148"/>
      <c r="AA28" s="148"/>
      <c r="AB28" s="148"/>
      <c r="AC28" s="147"/>
      <c r="AD28" s="146"/>
      <c r="AE28" s="149"/>
      <c r="AF28" s="148"/>
      <c r="AG28" s="148"/>
      <c r="AH28" s="148"/>
      <c r="AI28" s="148"/>
      <c r="AJ28" s="147"/>
      <c r="AK28" s="146"/>
      <c r="AL28" s="148"/>
      <c r="AM28" s="148"/>
      <c r="AN28" s="148"/>
      <c r="AO28" s="148"/>
      <c r="AP28" s="148"/>
      <c r="AQ28" s="147"/>
      <c r="AR28" s="146"/>
      <c r="AS28" s="148"/>
      <c r="AT28" s="148"/>
      <c r="AU28" s="148"/>
      <c r="AV28" s="148"/>
      <c r="AW28" s="148"/>
      <c r="AX28" s="147"/>
      <c r="AY28" s="146"/>
      <c r="AZ28" s="235"/>
      <c r="BA28" s="198"/>
      <c r="BB28" s="203"/>
      <c r="BC28" s="155"/>
      <c r="BD28" s="199"/>
      <c r="BF28" s="155"/>
      <c r="BG28" s="155"/>
      <c r="BH28" s="155"/>
      <c r="BI28" s="155"/>
    </row>
    <row r="29" spans="2:61" ht="8.1" customHeight="1" x14ac:dyDescent="0.25">
      <c r="B29" s="234" t="s">
        <v>150</v>
      </c>
      <c r="C29" s="154"/>
      <c r="D29" s="153"/>
      <c r="E29" s="153"/>
      <c r="F29" s="153"/>
      <c r="G29" s="153"/>
      <c r="H29" s="152"/>
      <c r="I29" s="151"/>
      <c r="K29" s="153"/>
      <c r="L29" s="153"/>
      <c r="M29" s="153"/>
      <c r="N29" s="153"/>
      <c r="O29" s="152"/>
      <c r="P29" s="151"/>
      <c r="R29" s="153"/>
      <c r="S29" s="153"/>
      <c r="T29" s="153"/>
      <c r="U29" s="153"/>
      <c r="V29" s="152"/>
      <c r="W29" s="151"/>
      <c r="Y29" s="153"/>
      <c r="Z29" s="153"/>
      <c r="AA29" s="153"/>
      <c r="AB29" s="153"/>
      <c r="AC29" s="152"/>
      <c r="AD29" s="151"/>
      <c r="AF29" s="153"/>
      <c r="AG29" s="153"/>
      <c r="AH29" s="153"/>
      <c r="AI29" s="153"/>
      <c r="AJ29" s="152"/>
      <c r="AK29" s="151"/>
      <c r="AL29" s="153"/>
      <c r="AM29" s="153"/>
      <c r="AN29" s="153"/>
      <c r="AO29" s="153"/>
      <c r="AP29" s="153"/>
      <c r="AQ29" s="152"/>
      <c r="AR29" s="151"/>
      <c r="AS29" s="153"/>
      <c r="AT29" s="153"/>
      <c r="AU29" s="153"/>
      <c r="AV29" s="153"/>
      <c r="AW29" s="153"/>
      <c r="AX29" s="152"/>
      <c r="AY29" s="151"/>
      <c r="AZ29" s="234" t="s">
        <v>150</v>
      </c>
      <c r="BA29" s="198"/>
      <c r="BB29" s="203"/>
      <c r="BC29" s="155"/>
      <c r="BD29" s="199"/>
      <c r="BF29" s="155"/>
      <c r="BG29" s="155"/>
      <c r="BH29" s="155"/>
      <c r="BI29" s="155"/>
    </row>
    <row r="30" spans="2:61" ht="8.1" customHeight="1" x14ac:dyDescent="0.25">
      <c r="B30" s="235"/>
      <c r="C30" s="150"/>
      <c r="D30" s="148"/>
      <c r="E30" s="148"/>
      <c r="F30" s="148"/>
      <c r="G30" s="148"/>
      <c r="H30" s="147"/>
      <c r="I30" s="146"/>
      <c r="J30" s="149"/>
      <c r="K30" s="148"/>
      <c r="L30" s="148"/>
      <c r="M30" s="148"/>
      <c r="N30" s="148"/>
      <c r="O30" s="147"/>
      <c r="P30" s="146"/>
      <c r="Q30" s="149"/>
      <c r="R30" s="148"/>
      <c r="S30" s="148"/>
      <c r="T30" s="148"/>
      <c r="U30" s="148"/>
      <c r="V30" s="147"/>
      <c r="W30" s="146"/>
      <c r="X30" s="149"/>
      <c r="Y30" s="148"/>
      <c r="Z30" s="148"/>
      <c r="AA30" s="148"/>
      <c r="AB30" s="148"/>
      <c r="AC30" s="147"/>
      <c r="AD30" s="146"/>
      <c r="AE30" s="149"/>
      <c r="AF30" s="148"/>
      <c r="AG30" s="148"/>
      <c r="AH30" s="148"/>
      <c r="AI30" s="148"/>
      <c r="AJ30" s="147"/>
      <c r="AK30" s="146"/>
      <c r="AL30" s="148"/>
      <c r="AM30" s="148"/>
      <c r="AN30" s="148"/>
      <c r="AO30" s="148"/>
      <c r="AP30" s="148"/>
      <c r="AQ30" s="147"/>
      <c r="AR30" s="146"/>
      <c r="AS30" s="148"/>
      <c r="AT30" s="148"/>
      <c r="AU30" s="148"/>
      <c r="AV30" s="148"/>
      <c r="AW30" s="148"/>
      <c r="AX30" s="147"/>
      <c r="AY30" s="146"/>
      <c r="AZ30" s="235"/>
      <c r="BA30" s="198"/>
      <c r="BB30" s="203"/>
      <c r="BC30" s="155"/>
      <c r="BD30" s="199"/>
      <c r="BF30" s="155"/>
      <c r="BG30" s="155"/>
      <c r="BH30" s="155"/>
      <c r="BI30" s="155"/>
    </row>
    <row r="31" spans="2:61" ht="8.1" customHeight="1" x14ac:dyDescent="0.25">
      <c r="B31" s="234"/>
      <c r="C31" s="154"/>
      <c r="D31" s="153"/>
      <c r="E31" s="153"/>
      <c r="F31" s="153"/>
      <c r="G31" s="153"/>
      <c r="H31" s="152"/>
      <c r="I31" s="151"/>
      <c r="K31" s="153"/>
      <c r="L31" s="153"/>
      <c r="M31" s="153"/>
      <c r="N31" s="153"/>
      <c r="O31" s="152"/>
      <c r="P31" s="151"/>
      <c r="R31" s="153"/>
      <c r="S31" s="153"/>
      <c r="T31" s="153"/>
      <c r="U31" s="153"/>
      <c r="V31" s="152"/>
      <c r="W31" s="151"/>
      <c r="Y31" s="153"/>
      <c r="Z31" s="153"/>
      <c r="AA31" s="153"/>
      <c r="AB31" s="153"/>
      <c r="AC31" s="152"/>
      <c r="AD31" s="151"/>
      <c r="AF31" s="153"/>
      <c r="AG31" s="153"/>
      <c r="AH31" s="153"/>
      <c r="AI31" s="153"/>
      <c r="AJ31" s="152"/>
      <c r="AK31" s="151"/>
      <c r="AL31" s="153"/>
      <c r="AM31" s="153"/>
      <c r="AN31" s="153"/>
      <c r="AO31" s="153"/>
      <c r="AP31" s="153"/>
      <c r="AQ31" s="152"/>
      <c r="AR31" s="151"/>
      <c r="AS31" s="153"/>
      <c r="AT31" s="153"/>
      <c r="AU31" s="153"/>
      <c r="AV31" s="153"/>
      <c r="AW31" s="153"/>
      <c r="AX31" s="152"/>
      <c r="AY31" s="151"/>
      <c r="AZ31" s="234"/>
      <c r="BA31" s="198"/>
      <c r="BB31" s="155"/>
      <c r="BC31" s="155"/>
      <c r="BD31" s="199"/>
      <c r="BF31" s="155"/>
      <c r="BG31" s="155"/>
      <c r="BH31" s="155"/>
      <c r="BI31" s="155"/>
    </row>
    <row r="32" spans="2:61" ht="8.1" customHeight="1" x14ac:dyDescent="0.25">
      <c r="B32" s="235"/>
      <c r="C32" s="150"/>
      <c r="D32" s="148"/>
      <c r="E32" s="148"/>
      <c r="F32" s="148"/>
      <c r="G32" s="148"/>
      <c r="H32" s="147"/>
      <c r="I32" s="146"/>
      <c r="J32" s="149"/>
      <c r="K32" s="148"/>
      <c r="L32" s="148"/>
      <c r="M32" s="148"/>
      <c r="N32" s="148"/>
      <c r="O32" s="147"/>
      <c r="P32" s="146"/>
      <c r="Q32" s="149"/>
      <c r="R32" s="148"/>
      <c r="S32" s="148"/>
      <c r="T32" s="148"/>
      <c r="U32" s="148"/>
      <c r="V32" s="147"/>
      <c r="W32" s="146"/>
      <c r="X32" s="149"/>
      <c r="Y32" s="148"/>
      <c r="Z32" s="148"/>
      <c r="AA32" s="148"/>
      <c r="AB32" s="148"/>
      <c r="AC32" s="147"/>
      <c r="AD32" s="146"/>
      <c r="AE32" s="149"/>
      <c r="AF32" s="148"/>
      <c r="AG32" s="148"/>
      <c r="AH32" s="148"/>
      <c r="AI32" s="148"/>
      <c r="AJ32" s="147"/>
      <c r="AK32" s="146"/>
      <c r="AL32" s="148"/>
      <c r="AM32" s="148"/>
      <c r="AN32" s="148"/>
      <c r="AO32" s="148"/>
      <c r="AP32" s="148"/>
      <c r="AQ32" s="147"/>
      <c r="AR32" s="146"/>
      <c r="AS32" s="148"/>
      <c r="AT32" s="148"/>
      <c r="AU32" s="148"/>
      <c r="AV32" s="148"/>
      <c r="AW32" s="148"/>
      <c r="AX32" s="147"/>
      <c r="AY32" s="146"/>
      <c r="AZ32" s="235"/>
      <c r="BA32" s="198"/>
      <c r="BB32" s="155"/>
      <c r="BC32" s="155"/>
      <c r="BD32" s="199"/>
      <c r="BF32" s="155"/>
      <c r="BG32" s="155"/>
      <c r="BH32" s="155"/>
      <c r="BI32" s="155"/>
    </row>
    <row r="33" spans="2:61" ht="8.1" customHeight="1" x14ac:dyDescent="0.25">
      <c r="B33" s="234" t="s">
        <v>151</v>
      </c>
      <c r="C33" s="154"/>
      <c r="D33" s="153"/>
      <c r="E33" s="153"/>
      <c r="F33" s="153"/>
      <c r="G33" s="153"/>
      <c r="H33" s="152"/>
      <c r="I33" s="151"/>
      <c r="K33" s="153"/>
      <c r="L33" s="153"/>
      <c r="M33" s="153"/>
      <c r="N33" s="153"/>
      <c r="O33" s="152"/>
      <c r="P33" s="151"/>
      <c r="R33" s="153"/>
      <c r="S33" s="153"/>
      <c r="T33" s="153"/>
      <c r="U33" s="153"/>
      <c r="V33" s="152"/>
      <c r="W33" s="151"/>
      <c r="Y33" s="153"/>
      <c r="Z33" s="153"/>
      <c r="AA33" s="153"/>
      <c r="AB33" s="153"/>
      <c r="AC33" s="152"/>
      <c r="AD33" s="151"/>
      <c r="AF33" s="153"/>
      <c r="AG33" s="153"/>
      <c r="AH33" s="153"/>
      <c r="AI33" s="153"/>
      <c r="AJ33" s="152"/>
      <c r="AK33" s="151"/>
      <c r="AL33" s="153"/>
      <c r="AM33" s="153"/>
      <c r="AN33" s="153"/>
      <c r="AO33" s="153"/>
      <c r="AP33" s="153"/>
      <c r="AQ33" s="152"/>
      <c r="AR33" s="151"/>
      <c r="AS33" s="153"/>
      <c r="AT33" s="153"/>
      <c r="AU33" s="153"/>
      <c r="AV33" s="153"/>
      <c r="AW33" s="153"/>
      <c r="AX33" s="152"/>
      <c r="AY33" s="151"/>
      <c r="AZ33" s="234" t="s">
        <v>151</v>
      </c>
      <c r="BA33" s="198"/>
      <c r="BB33" s="155"/>
      <c r="BC33" s="155"/>
      <c r="BD33" s="199"/>
      <c r="BF33" s="155"/>
      <c r="BG33" s="155"/>
      <c r="BH33" s="155"/>
      <c r="BI33" s="155"/>
    </row>
    <row r="34" spans="2:61" ht="8.1" customHeight="1" x14ac:dyDescent="0.25">
      <c r="B34" s="235"/>
      <c r="C34" s="150"/>
      <c r="D34" s="148"/>
      <c r="E34" s="148"/>
      <c r="F34" s="148"/>
      <c r="G34" s="148"/>
      <c r="H34" s="147"/>
      <c r="I34" s="146"/>
      <c r="J34" s="149"/>
      <c r="K34" s="148"/>
      <c r="L34" s="148"/>
      <c r="M34" s="148"/>
      <c r="N34" s="148"/>
      <c r="O34" s="147"/>
      <c r="P34" s="146"/>
      <c r="Q34" s="149"/>
      <c r="R34" s="148"/>
      <c r="S34" s="148"/>
      <c r="T34" s="148"/>
      <c r="U34" s="148"/>
      <c r="V34" s="147"/>
      <c r="W34" s="146"/>
      <c r="X34" s="149"/>
      <c r="Y34" s="148"/>
      <c r="Z34" s="148"/>
      <c r="AA34" s="148"/>
      <c r="AB34" s="148"/>
      <c r="AC34" s="147"/>
      <c r="AD34" s="146"/>
      <c r="AE34" s="149"/>
      <c r="AF34" s="148"/>
      <c r="AG34" s="148"/>
      <c r="AH34" s="148"/>
      <c r="AI34" s="148"/>
      <c r="AJ34" s="147"/>
      <c r="AK34" s="146"/>
      <c r="AL34" s="148"/>
      <c r="AM34" s="148"/>
      <c r="AN34" s="148"/>
      <c r="AO34" s="148"/>
      <c r="AP34" s="148"/>
      <c r="AQ34" s="147"/>
      <c r="AR34" s="146"/>
      <c r="AS34" s="148"/>
      <c r="AT34" s="148"/>
      <c r="AU34" s="148"/>
      <c r="AV34" s="148"/>
      <c r="AW34" s="148"/>
      <c r="AX34" s="147"/>
      <c r="AY34" s="146"/>
      <c r="AZ34" s="235"/>
      <c r="BA34" s="198"/>
      <c r="BB34" s="155"/>
      <c r="BC34" s="155"/>
      <c r="BD34" s="199"/>
      <c r="BF34" s="155"/>
      <c r="BG34" s="155"/>
      <c r="BH34" s="155"/>
      <c r="BI34" s="155"/>
    </row>
    <row r="35" spans="2:61" ht="8.1" customHeight="1" x14ac:dyDescent="0.25">
      <c r="B35" s="234"/>
      <c r="C35" s="154"/>
      <c r="D35" s="153"/>
      <c r="E35" s="153"/>
      <c r="F35" s="153"/>
      <c r="G35" s="153"/>
      <c r="H35" s="152"/>
      <c r="I35" s="151"/>
      <c r="K35" s="153"/>
      <c r="L35" s="153"/>
      <c r="M35" s="153"/>
      <c r="N35" s="153"/>
      <c r="O35" s="152"/>
      <c r="P35" s="151"/>
      <c r="R35" s="153"/>
      <c r="S35" s="153"/>
      <c r="T35" s="153"/>
      <c r="U35" s="153"/>
      <c r="V35" s="152"/>
      <c r="W35" s="151"/>
      <c r="Y35" s="153"/>
      <c r="Z35" s="153"/>
      <c r="AA35" s="153"/>
      <c r="AB35" s="153"/>
      <c r="AC35" s="152"/>
      <c r="AD35" s="151"/>
      <c r="AF35" s="153"/>
      <c r="AG35" s="153"/>
      <c r="AH35" s="153"/>
      <c r="AI35" s="153"/>
      <c r="AJ35" s="152"/>
      <c r="AK35" s="151"/>
      <c r="AL35" s="153"/>
      <c r="AM35" s="153"/>
      <c r="AN35" s="153"/>
      <c r="AO35" s="153"/>
      <c r="AP35" s="153"/>
      <c r="AQ35" s="152"/>
      <c r="AR35" s="151"/>
      <c r="AS35" s="153"/>
      <c r="AT35" s="153"/>
      <c r="AU35" s="153"/>
      <c r="AV35" s="153"/>
      <c r="AW35" s="153"/>
      <c r="AX35" s="152"/>
      <c r="AY35" s="151"/>
      <c r="AZ35" s="234"/>
      <c r="BA35" s="198"/>
      <c r="BB35" s="155"/>
      <c r="BC35" s="155"/>
      <c r="BD35" s="199"/>
      <c r="BF35" s="155"/>
      <c r="BG35" s="155"/>
      <c r="BH35" s="155"/>
      <c r="BI35" s="155"/>
    </row>
    <row r="36" spans="2:61" ht="8.1" customHeight="1" x14ac:dyDescent="0.25">
      <c r="B36" s="235"/>
      <c r="C36" s="150"/>
      <c r="D36" s="148"/>
      <c r="E36" s="148"/>
      <c r="F36" s="148"/>
      <c r="G36" s="148"/>
      <c r="H36" s="147"/>
      <c r="I36" s="146"/>
      <c r="J36" s="149"/>
      <c r="K36" s="148"/>
      <c r="L36" s="148"/>
      <c r="M36" s="148"/>
      <c r="N36" s="148"/>
      <c r="O36" s="147"/>
      <c r="P36" s="146"/>
      <c r="Q36" s="149"/>
      <c r="R36" s="148"/>
      <c r="S36" s="148"/>
      <c r="T36" s="148"/>
      <c r="U36" s="148"/>
      <c r="V36" s="147"/>
      <c r="W36" s="146"/>
      <c r="X36" s="149"/>
      <c r="Y36" s="148"/>
      <c r="Z36" s="148"/>
      <c r="AA36" s="148"/>
      <c r="AB36" s="148"/>
      <c r="AC36" s="147"/>
      <c r="AD36" s="146"/>
      <c r="AE36" s="149"/>
      <c r="AF36" s="148"/>
      <c r="AG36" s="148"/>
      <c r="AH36" s="148"/>
      <c r="AI36" s="148"/>
      <c r="AJ36" s="147"/>
      <c r="AK36" s="146"/>
      <c r="AL36" s="148"/>
      <c r="AM36" s="148"/>
      <c r="AN36" s="148"/>
      <c r="AO36" s="148"/>
      <c r="AP36" s="148"/>
      <c r="AQ36" s="147"/>
      <c r="AR36" s="146"/>
      <c r="AS36" s="148"/>
      <c r="AT36" s="148"/>
      <c r="AU36" s="148"/>
      <c r="AV36" s="148"/>
      <c r="AW36" s="148"/>
      <c r="AX36" s="147"/>
      <c r="AY36" s="146"/>
      <c r="AZ36" s="235"/>
      <c r="BA36" s="198"/>
      <c r="BB36" s="155"/>
      <c r="BC36" s="155"/>
      <c r="BD36" s="199"/>
      <c r="BF36" s="155"/>
      <c r="BG36" s="155"/>
      <c r="BH36" s="155"/>
      <c r="BI36" s="155"/>
    </row>
    <row r="37" spans="2:61" ht="8.1" customHeight="1" x14ac:dyDescent="0.25">
      <c r="B37" s="234" t="s">
        <v>152</v>
      </c>
      <c r="C37" s="154"/>
      <c r="D37" s="153"/>
      <c r="E37" s="153"/>
      <c r="F37" s="153"/>
      <c r="G37" s="153"/>
      <c r="H37" s="152"/>
      <c r="I37" s="151"/>
      <c r="K37" s="153"/>
      <c r="L37" s="153"/>
      <c r="M37" s="153"/>
      <c r="N37" s="153"/>
      <c r="O37" s="152"/>
      <c r="P37" s="151"/>
      <c r="R37" s="153"/>
      <c r="S37" s="153"/>
      <c r="T37" s="153"/>
      <c r="U37" s="153"/>
      <c r="V37" s="152"/>
      <c r="W37" s="151"/>
      <c r="Y37" s="153"/>
      <c r="Z37" s="153"/>
      <c r="AA37" s="153"/>
      <c r="AB37" s="153"/>
      <c r="AC37" s="152"/>
      <c r="AD37" s="151"/>
      <c r="AF37" s="153"/>
      <c r="AG37" s="153"/>
      <c r="AH37" s="153"/>
      <c r="AI37" s="153"/>
      <c r="AJ37" s="152"/>
      <c r="AK37" s="151"/>
      <c r="AL37" s="153"/>
      <c r="AM37" s="153"/>
      <c r="AN37" s="153"/>
      <c r="AO37" s="153"/>
      <c r="AP37" s="153"/>
      <c r="AQ37" s="152"/>
      <c r="AR37" s="151"/>
      <c r="AS37" s="153"/>
      <c r="AT37" s="153"/>
      <c r="AU37" s="153"/>
      <c r="AV37" s="153"/>
      <c r="AW37" s="153"/>
      <c r="AX37" s="152"/>
      <c r="AY37" s="151"/>
      <c r="AZ37" s="234" t="s">
        <v>152</v>
      </c>
      <c r="BA37" s="198"/>
      <c r="BB37" s="155"/>
      <c r="BC37" s="155"/>
      <c r="BD37" s="199"/>
      <c r="BF37" s="155"/>
      <c r="BG37" s="155"/>
      <c r="BH37" s="155"/>
      <c r="BI37" s="155"/>
    </row>
    <row r="38" spans="2:61" ht="8.1" customHeight="1" x14ac:dyDescent="0.25">
      <c r="B38" s="235"/>
      <c r="C38" s="150"/>
      <c r="D38" s="148"/>
      <c r="E38" s="148"/>
      <c r="F38" s="148"/>
      <c r="G38" s="148"/>
      <c r="H38" s="147"/>
      <c r="I38" s="146"/>
      <c r="J38" s="149"/>
      <c r="K38" s="148"/>
      <c r="L38" s="148"/>
      <c r="M38" s="148"/>
      <c r="N38" s="148"/>
      <c r="O38" s="147"/>
      <c r="P38" s="146"/>
      <c r="Q38" s="149"/>
      <c r="R38" s="148"/>
      <c r="S38" s="148"/>
      <c r="T38" s="148"/>
      <c r="U38" s="148"/>
      <c r="V38" s="147"/>
      <c r="W38" s="146"/>
      <c r="X38" s="149"/>
      <c r="Y38" s="148"/>
      <c r="Z38" s="148"/>
      <c r="AA38" s="148"/>
      <c r="AB38" s="148"/>
      <c r="AC38" s="147"/>
      <c r="AD38" s="146"/>
      <c r="AE38" s="149"/>
      <c r="AF38" s="148"/>
      <c r="AG38" s="148"/>
      <c r="AH38" s="148"/>
      <c r="AI38" s="148"/>
      <c r="AJ38" s="147"/>
      <c r="AK38" s="146"/>
      <c r="AL38" s="148"/>
      <c r="AM38" s="148"/>
      <c r="AN38" s="148"/>
      <c r="AO38" s="148"/>
      <c r="AP38" s="148"/>
      <c r="AQ38" s="147"/>
      <c r="AR38" s="146"/>
      <c r="AS38" s="148"/>
      <c r="AT38" s="148"/>
      <c r="AU38" s="148"/>
      <c r="AV38" s="148"/>
      <c r="AW38" s="148"/>
      <c r="AX38" s="147"/>
      <c r="AY38" s="146"/>
      <c r="AZ38" s="235"/>
      <c r="BA38" s="198"/>
      <c r="BB38" s="155"/>
      <c r="BC38" s="155"/>
      <c r="BD38" s="199"/>
      <c r="BF38" s="155"/>
      <c r="BG38" s="155"/>
      <c r="BH38" s="155"/>
      <c r="BI38" s="155"/>
    </row>
    <row r="39" spans="2:61" ht="8.1" customHeight="1" x14ac:dyDescent="0.25">
      <c r="B39" s="234"/>
      <c r="C39" s="154"/>
      <c r="D39" s="153"/>
      <c r="E39" s="153"/>
      <c r="F39" s="153"/>
      <c r="G39" s="153"/>
      <c r="H39" s="152"/>
      <c r="I39" s="151"/>
      <c r="K39" s="153"/>
      <c r="L39" s="153"/>
      <c r="M39" s="153"/>
      <c r="N39" s="153"/>
      <c r="O39" s="152"/>
      <c r="P39" s="151"/>
      <c r="R39" s="153"/>
      <c r="S39" s="153"/>
      <c r="T39" s="153"/>
      <c r="U39" s="153"/>
      <c r="V39" s="152"/>
      <c r="W39" s="151"/>
      <c r="Y39" s="153"/>
      <c r="Z39" s="153"/>
      <c r="AA39" s="153"/>
      <c r="AB39" s="153"/>
      <c r="AC39" s="152"/>
      <c r="AD39" s="151"/>
      <c r="AF39" s="153"/>
      <c r="AG39" s="153"/>
      <c r="AH39" s="153"/>
      <c r="AI39" s="153"/>
      <c r="AJ39" s="152"/>
      <c r="AK39" s="151"/>
      <c r="AL39" s="153"/>
      <c r="AM39" s="153"/>
      <c r="AN39" s="153"/>
      <c r="AO39" s="153"/>
      <c r="AP39" s="153"/>
      <c r="AQ39" s="152"/>
      <c r="AR39" s="151"/>
      <c r="AS39" s="153"/>
      <c r="AT39" s="153"/>
      <c r="AU39" s="153"/>
      <c r="AV39" s="153"/>
      <c r="AW39" s="153"/>
      <c r="AX39" s="152"/>
      <c r="AY39" s="151"/>
      <c r="AZ39" s="234"/>
      <c r="BA39" s="198"/>
      <c r="BB39" s="155"/>
      <c r="BC39" s="155"/>
      <c r="BD39" s="199"/>
      <c r="BF39" s="155"/>
      <c r="BG39" s="155"/>
      <c r="BH39" s="155"/>
      <c r="BI39" s="155"/>
    </row>
    <row r="40" spans="2:61" ht="8.1" customHeight="1" x14ac:dyDescent="0.25">
      <c r="B40" s="235"/>
      <c r="C40" s="150"/>
      <c r="D40" s="148"/>
      <c r="E40" s="148"/>
      <c r="F40" s="148"/>
      <c r="G40" s="148"/>
      <c r="H40" s="147"/>
      <c r="I40" s="146"/>
      <c r="J40" s="149"/>
      <c r="K40" s="148"/>
      <c r="L40" s="148"/>
      <c r="M40" s="148"/>
      <c r="N40" s="148"/>
      <c r="O40" s="147"/>
      <c r="P40" s="146"/>
      <c r="Q40" s="149"/>
      <c r="R40" s="148"/>
      <c r="S40" s="148"/>
      <c r="T40" s="148"/>
      <c r="U40" s="148"/>
      <c r="V40" s="147"/>
      <c r="W40" s="146"/>
      <c r="X40" s="149"/>
      <c r="Y40" s="148"/>
      <c r="Z40" s="148"/>
      <c r="AA40" s="148"/>
      <c r="AB40" s="148"/>
      <c r="AC40" s="147"/>
      <c r="AD40" s="146"/>
      <c r="AE40" s="149"/>
      <c r="AF40" s="148"/>
      <c r="AG40" s="148"/>
      <c r="AH40" s="148"/>
      <c r="AI40" s="148"/>
      <c r="AJ40" s="147"/>
      <c r="AK40" s="146"/>
      <c r="AL40" s="148"/>
      <c r="AM40" s="148"/>
      <c r="AN40" s="148"/>
      <c r="AO40" s="148"/>
      <c r="AP40" s="148"/>
      <c r="AQ40" s="147"/>
      <c r="AR40" s="146"/>
      <c r="AS40" s="148"/>
      <c r="AT40" s="148"/>
      <c r="AU40" s="148"/>
      <c r="AV40" s="148"/>
      <c r="AW40" s="148"/>
      <c r="AX40" s="147"/>
      <c r="AY40" s="146"/>
      <c r="AZ40" s="235"/>
      <c r="BA40" s="198"/>
      <c r="BB40" s="155"/>
      <c r="BC40" s="155"/>
      <c r="BD40" s="199"/>
      <c r="BF40" s="155"/>
      <c r="BG40" s="155"/>
      <c r="BH40" s="155"/>
      <c r="BI40" s="155"/>
    </row>
    <row r="41" spans="2:61" ht="8.1" customHeight="1" x14ac:dyDescent="0.25">
      <c r="B41" s="234" t="s">
        <v>153</v>
      </c>
      <c r="C41" s="154"/>
      <c r="D41" s="153"/>
      <c r="E41" s="153"/>
      <c r="F41" s="153"/>
      <c r="G41" s="153"/>
      <c r="H41" s="152"/>
      <c r="I41" s="151"/>
      <c r="K41" s="153"/>
      <c r="L41" s="153"/>
      <c r="M41" s="153"/>
      <c r="N41" s="153"/>
      <c r="O41" s="152"/>
      <c r="P41" s="151"/>
      <c r="R41" s="153"/>
      <c r="S41" s="153"/>
      <c r="T41" s="153"/>
      <c r="U41" s="153"/>
      <c r="V41" s="152"/>
      <c r="W41" s="151"/>
      <c r="Y41" s="153"/>
      <c r="Z41" s="153"/>
      <c r="AA41" s="153"/>
      <c r="AB41" s="153"/>
      <c r="AC41" s="152"/>
      <c r="AD41" s="151"/>
      <c r="AF41" s="153"/>
      <c r="AG41" s="153"/>
      <c r="AH41" s="153"/>
      <c r="AI41" s="153"/>
      <c r="AJ41" s="152"/>
      <c r="AK41" s="151"/>
      <c r="AL41" s="153"/>
      <c r="AM41" s="153"/>
      <c r="AN41" s="153"/>
      <c r="AO41" s="153"/>
      <c r="AP41" s="153"/>
      <c r="AQ41" s="152"/>
      <c r="AR41" s="151"/>
      <c r="AS41" s="153"/>
      <c r="AT41" s="153"/>
      <c r="AU41" s="153"/>
      <c r="AV41" s="153"/>
      <c r="AW41" s="153"/>
      <c r="AX41" s="152"/>
      <c r="AY41" s="151"/>
      <c r="AZ41" s="234" t="s">
        <v>153</v>
      </c>
      <c r="BA41" s="198"/>
      <c r="BB41" s="155"/>
      <c r="BC41" s="155"/>
      <c r="BD41" s="199"/>
      <c r="BF41" s="155"/>
      <c r="BG41" s="155"/>
      <c r="BH41" s="155"/>
      <c r="BI41" s="155"/>
    </row>
    <row r="42" spans="2:61" ht="8.1" customHeight="1" x14ac:dyDescent="0.25">
      <c r="B42" s="235"/>
      <c r="C42" s="150"/>
      <c r="D42" s="148"/>
      <c r="E42" s="148"/>
      <c r="F42" s="148"/>
      <c r="G42" s="148"/>
      <c r="H42" s="147"/>
      <c r="I42" s="146"/>
      <c r="J42" s="149"/>
      <c r="K42" s="148"/>
      <c r="L42" s="148"/>
      <c r="M42" s="148"/>
      <c r="N42" s="148"/>
      <c r="O42" s="147"/>
      <c r="P42" s="146"/>
      <c r="Q42" s="149"/>
      <c r="R42" s="148"/>
      <c r="S42" s="148"/>
      <c r="T42" s="148"/>
      <c r="U42" s="148"/>
      <c r="V42" s="147"/>
      <c r="W42" s="146"/>
      <c r="X42" s="149"/>
      <c r="Y42" s="148"/>
      <c r="Z42" s="148"/>
      <c r="AA42" s="148"/>
      <c r="AB42" s="148"/>
      <c r="AC42" s="147"/>
      <c r="AD42" s="146"/>
      <c r="AE42" s="149"/>
      <c r="AF42" s="148"/>
      <c r="AG42" s="148"/>
      <c r="AH42" s="148"/>
      <c r="AI42" s="148"/>
      <c r="AJ42" s="147"/>
      <c r="AK42" s="146"/>
      <c r="AL42" s="148"/>
      <c r="AM42" s="148"/>
      <c r="AN42" s="148"/>
      <c r="AO42" s="148"/>
      <c r="AP42" s="148"/>
      <c r="AQ42" s="147"/>
      <c r="AR42" s="146"/>
      <c r="AS42" s="148"/>
      <c r="AT42" s="148"/>
      <c r="AU42" s="148"/>
      <c r="AV42" s="148"/>
      <c r="AW42" s="148"/>
      <c r="AX42" s="147"/>
      <c r="AY42" s="146"/>
      <c r="AZ42" s="235"/>
      <c r="BA42" s="198"/>
      <c r="BB42" s="155"/>
      <c r="BC42" s="155"/>
      <c r="BD42" s="199"/>
      <c r="BF42" s="155"/>
      <c r="BG42" s="155"/>
      <c r="BH42" s="155"/>
      <c r="BI42" s="155"/>
    </row>
    <row r="43" spans="2:61" ht="8.1" customHeight="1" x14ac:dyDescent="0.25">
      <c r="B43" s="234"/>
      <c r="C43" s="154"/>
      <c r="D43" s="153"/>
      <c r="E43" s="153"/>
      <c r="F43" s="153"/>
      <c r="G43" s="153"/>
      <c r="H43" s="152"/>
      <c r="I43" s="151"/>
      <c r="K43" s="153"/>
      <c r="L43" s="153"/>
      <c r="M43" s="153"/>
      <c r="N43" s="153"/>
      <c r="O43" s="152"/>
      <c r="P43" s="151"/>
      <c r="R43" s="153"/>
      <c r="S43" s="153"/>
      <c r="T43" s="153"/>
      <c r="U43" s="153"/>
      <c r="V43" s="152"/>
      <c r="W43" s="151"/>
      <c r="Y43" s="153"/>
      <c r="Z43" s="153"/>
      <c r="AA43" s="153"/>
      <c r="AB43" s="153"/>
      <c r="AC43" s="152"/>
      <c r="AD43" s="151"/>
      <c r="AF43" s="153"/>
      <c r="AG43" s="153"/>
      <c r="AH43" s="153"/>
      <c r="AI43" s="153"/>
      <c r="AJ43" s="152"/>
      <c r="AK43" s="151"/>
      <c r="AL43" s="153"/>
      <c r="AM43" s="153"/>
      <c r="AN43" s="153"/>
      <c r="AO43" s="153"/>
      <c r="AP43" s="153"/>
      <c r="AQ43" s="152"/>
      <c r="AR43" s="151"/>
      <c r="AS43" s="153"/>
      <c r="AT43" s="153"/>
      <c r="AU43" s="153"/>
      <c r="AV43" s="153"/>
      <c r="AW43" s="153"/>
      <c r="AX43" s="152"/>
      <c r="AY43" s="151"/>
      <c r="AZ43" s="234"/>
      <c r="BA43" s="198"/>
      <c r="BB43" s="155"/>
      <c r="BC43" s="155"/>
      <c r="BD43" s="199"/>
      <c r="BF43" s="155"/>
      <c r="BG43" s="155"/>
      <c r="BH43" s="155"/>
      <c r="BI43" s="155"/>
    </row>
    <row r="44" spans="2:61" ht="8.1" customHeight="1" x14ac:dyDescent="0.25">
      <c r="B44" s="235"/>
      <c r="C44" s="150"/>
      <c r="D44" s="148"/>
      <c r="E44" s="148"/>
      <c r="F44" s="148"/>
      <c r="G44" s="148"/>
      <c r="H44" s="147"/>
      <c r="I44" s="146"/>
      <c r="J44" s="149"/>
      <c r="K44" s="148"/>
      <c r="L44" s="148"/>
      <c r="M44" s="148"/>
      <c r="N44" s="148"/>
      <c r="O44" s="147"/>
      <c r="P44" s="146"/>
      <c r="Q44" s="149"/>
      <c r="R44" s="148"/>
      <c r="S44" s="148"/>
      <c r="T44" s="148"/>
      <c r="U44" s="148"/>
      <c r="V44" s="147"/>
      <c r="W44" s="146"/>
      <c r="X44" s="149"/>
      <c r="Y44" s="148"/>
      <c r="Z44" s="148"/>
      <c r="AA44" s="148"/>
      <c r="AB44" s="148"/>
      <c r="AC44" s="147"/>
      <c r="AD44" s="146"/>
      <c r="AE44" s="149"/>
      <c r="AF44" s="148"/>
      <c r="AG44" s="148"/>
      <c r="AH44" s="148"/>
      <c r="AI44" s="148"/>
      <c r="AJ44" s="147"/>
      <c r="AK44" s="146"/>
      <c r="AL44" s="148"/>
      <c r="AM44" s="148"/>
      <c r="AN44" s="148"/>
      <c r="AO44" s="148"/>
      <c r="AP44" s="148"/>
      <c r="AQ44" s="147"/>
      <c r="AR44" s="146"/>
      <c r="AS44" s="148"/>
      <c r="AT44" s="148"/>
      <c r="AU44" s="148"/>
      <c r="AV44" s="148"/>
      <c r="AW44" s="148"/>
      <c r="AX44" s="147"/>
      <c r="AY44" s="146"/>
      <c r="AZ44" s="235"/>
      <c r="BA44" s="198"/>
      <c r="BB44" s="155"/>
      <c r="BC44" s="155"/>
      <c r="BD44" s="199"/>
      <c r="BF44" s="155"/>
      <c r="BG44" s="155"/>
      <c r="BH44" s="155"/>
      <c r="BI44" s="155"/>
    </row>
    <row r="45" spans="2:61" ht="8.1" customHeight="1" x14ac:dyDescent="0.25">
      <c r="B45" s="234" t="s">
        <v>154</v>
      </c>
      <c r="C45" s="154"/>
      <c r="D45" s="153"/>
      <c r="E45" s="153"/>
      <c r="F45" s="153"/>
      <c r="G45" s="153"/>
      <c r="H45" s="152"/>
      <c r="I45" s="151"/>
      <c r="K45" s="153"/>
      <c r="L45" s="153"/>
      <c r="M45" s="153"/>
      <c r="N45" s="153"/>
      <c r="O45" s="152"/>
      <c r="P45" s="151"/>
      <c r="R45" s="153"/>
      <c r="S45" s="153"/>
      <c r="T45" s="153"/>
      <c r="U45" s="153"/>
      <c r="V45" s="152"/>
      <c r="W45" s="151"/>
      <c r="Y45" s="153"/>
      <c r="Z45" s="153"/>
      <c r="AA45" s="153"/>
      <c r="AB45" s="153"/>
      <c r="AC45" s="152"/>
      <c r="AD45" s="151"/>
      <c r="AF45" s="153"/>
      <c r="AG45" s="153"/>
      <c r="AH45" s="153"/>
      <c r="AI45" s="153"/>
      <c r="AJ45" s="152"/>
      <c r="AK45" s="151"/>
      <c r="AL45" s="153"/>
      <c r="AM45" s="153"/>
      <c r="AN45" s="153"/>
      <c r="AO45" s="153"/>
      <c r="AP45" s="153"/>
      <c r="AQ45" s="152"/>
      <c r="AR45" s="151"/>
      <c r="AS45" s="153"/>
      <c r="AT45" s="153"/>
      <c r="AU45" s="153"/>
      <c r="AV45" s="153"/>
      <c r="AW45" s="153"/>
      <c r="AX45" s="152"/>
      <c r="AY45" s="151"/>
      <c r="AZ45" s="234" t="s">
        <v>154</v>
      </c>
      <c r="BA45" s="198"/>
      <c r="BB45" s="155"/>
      <c r="BC45" s="155"/>
      <c r="BD45" s="199"/>
      <c r="BF45" s="155"/>
      <c r="BG45" s="155"/>
      <c r="BH45" s="155"/>
      <c r="BI45" s="155"/>
    </row>
    <row r="46" spans="2:61" ht="8.1" customHeight="1" x14ac:dyDescent="0.25">
      <c r="B46" s="235"/>
      <c r="C46" s="150"/>
      <c r="D46" s="148"/>
      <c r="E46" s="148"/>
      <c r="F46" s="148"/>
      <c r="G46" s="148"/>
      <c r="H46" s="147"/>
      <c r="I46" s="146"/>
      <c r="J46" s="149"/>
      <c r="K46" s="148"/>
      <c r="L46" s="148"/>
      <c r="M46" s="148"/>
      <c r="N46" s="148"/>
      <c r="O46" s="147"/>
      <c r="P46" s="146"/>
      <c r="Q46" s="149"/>
      <c r="R46" s="148"/>
      <c r="S46" s="148"/>
      <c r="T46" s="148"/>
      <c r="U46" s="148"/>
      <c r="V46" s="147"/>
      <c r="W46" s="146"/>
      <c r="X46" s="149"/>
      <c r="Y46" s="148"/>
      <c r="Z46" s="148"/>
      <c r="AA46" s="148"/>
      <c r="AB46" s="148"/>
      <c r="AC46" s="147"/>
      <c r="AD46" s="146"/>
      <c r="AE46" s="149"/>
      <c r="AF46" s="148"/>
      <c r="AG46" s="148"/>
      <c r="AH46" s="148"/>
      <c r="AI46" s="148"/>
      <c r="AJ46" s="147"/>
      <c r="AK46" s="146"/>
      <c r="AL46" s="148"/>
      <c r="AM46" s="148"/>
      <c r="AN46" s="148"/>
      <c r="AO46" s="148"/>
      <c r="AP46" s="148"/>
      <c r="AQ46" s="147"/>
      <c r="AR46" s="146"/>
      <c r="AS46" s="148"/>
      <c r="AT46" s="148"/>
      <c r="AU46" s="148"/>
      <c r="AV46" s="148"/>
      <c r="AW46" s="148"/>
      <c r="AX46" s="147"/>
      <c r="AY46" s="146"/>
      <c r="AZ46" s="235"/>
      <c r="BA46" s="198"/>
      <c r="BB46" s="155"/>
      <c r="BC46" s="155"/>
      <c r="BD46" s="199"/>
      <c r="BF46" s="155"/>
      <c r="BG46" s="155"/>
      <c r="BH46" s="155"/>
      <c r="BI46" s="155"/>
    </row>
    <row r="47" spans="2:61" ht="8.1" customHeight="1" x14ac:dyDescent="0.25">
      <c r="B47" s="234"/>
      <c r="C47" s="154"/>
      <c r="D47" s="153"/>
      <c r="E47" s="153"/>
      <c r="F47" s="153"/>
      <c r="G47" s="153"/>
      <c r="H47" s="152"/>
      <c r="I47" s="151"/>
      <c r="K47" s="153"/>
      <c r="L47" s="153"/>
      <c r="M47" s="153"/>
      <c r="N47" s="153"/>
      <c r="O47" s="152"/>
      <c r="P47" s="151"/>
      <c r="R47" s="153"/>
      <c r="S47" s="153"/>
      <c r="T47" s="153"/>
      <c r="U47" s="153"/>
      <c r="V47" s="152"/>
      <c r="W47" s="151"/>
      <c r="Y47" s="153"/>
      <c r="Z47" s="153"/>
      <c r="AA47" s="153"/>
      <c r="AB47" s="153"/>
      <c r="AC47" s="152"/>
      <c r="AD47" s="151"/>
      <c r="AF47" s="153"/>
      <c r="AG47" s="153"/>
      <c r="AH47" s="153"/>
      <c r="AI47" s="153"/>
      <c r="AJ47" s="152"/>
      <c r="AK47" s="151"/>
      <c r="AL47" s="153"/>
      <c r="AM47" s="153"/>
      <c r="AN47" s="153"/>
      <c r="AO47" s="153"/>
      <c r="AP47" s="153"/>
      <c r="AQ47" s="152"/>
      <c r="AR47" s="151"/>
      <c r="AS47" s="153"/>
      <c r="AT47" s="153"/>
      <c r="AU47" s="153"/>
      <c r="AV47" s="153"/>
      <c r="AW47" s="153"/>
      <c r="AX47" s="152"/>
      <c r="AY47" s="151"/>
      <c r="AZ47" s="234"/>
      <c r="BA47" s="198"/>
      <c r="BB47" s="155"/>
      <c r="BC47" s="155"/>
      <c r="BD47" s="199"/>
      <c r="BF47" s="155"/>
      <c r="BG47" s="155"/>
      <c r="BH47" s="155"/>
      <c r="BI47" s="155"/>
    </row>
    <row r="48" spans="2:61" ht="8.1" customHeight="1" x14ac:dyDescent="0.25">
      <c r="B48" s="235"/>
      <c r="C48" s="150"/>
      <c r="D48" s="148"/>
      <c r="E48" s="148"/>
      <c r="F48" s="148"/>
      <c r="G48" s="148"/>
      <c r="H48" s="147"/>
      <c r="I48" s="146"/>
      <c r="J48" s="149"/>
      <c r="K48" s="148"/>
      <c r="L48" s="148"/>
      <c r="M48" s="148"/>
      <c r="N48" s="148"/>
      <c r="O48" s="147"/>
      <c r="P48" s="146"/>
      <c r="Q48" s="149"/>
      <c r="R48" s="148"/>
      <c r="S48" s="148"/>
      <c r="T48" s="148"/>
      <c r="U48" s="148"/>
      <c r="V48" s="147"/>
      <c r="W48" s="146"/>
      <c r="X48" s="149"/>
      <c r="Y48" s="148"/>
      <c r="Z48" s="148"/>
      <c r="AA48" s="148"/>
      <c r="AB48" s="148"/>
      <c r="AC48" s="147"/>
      <c r="AD48" s="146"/>
      <c r="AE48" s="149"/>
      <c r="AF48" s="148"/>
      <c r="AG48" s="148"/>
      <c r="AH48" s="148"/>
      <c r="AI48" s="148"/>
      <c r="AJ48" s="147"/>
      <c r="AK48" s="146"/>
      <c r="AL48" s="148"/>
      <c r="AM48" s="148"/>
      <c r="AN48" s="148"/>
      <c r="AO48" s="148"/>
      <c r="AP48" s="148"/>
      <c r="AQ48" s="147"/>
      <c r="AR48" s="146"/>
      <c r="AS48" s="148"/>
      <c r="AT48" s="148"/>
      <c r="AU48" s="148"/>
      <c r="AV48" s="148"/>
      <c r="AW48" s="148"/>
      <c r="AX48" s="147"/>
      <c r="AY48" s="146"/>
      <c r="AZ48" s="235"/>
      <c r="BA48" s="198"/>
      <c r="BB48" s="155"/>
      <c r="BC48" s="155"/>
      <c r="BD48" s="199"/>
      <c r="BF48" s="155"/>
      <c r="BG48" s="155"/>
      <c r="BH48" s="155"/>
      <c r="BI48" s="155"/>
    </row>
    <row r="49" spans="1:62" ht="8.1" customHeight="1" x14ac:dyDescent="0.25">
      <c r="B49" s="234" t="s">
        <v>155</v>
      </c>
      <c r="C49" s="154"/>
      <c r="D49" s="153"/>
      <c r="E49" s="153"/>
      <c r="F49" s="153"/>
      <c r="G49" s="153"/>
      <c r="H49" s="152"/>
      <c r="I49" s="151"/>
      <c r="K49" s="153"/>
      <c r="L49" s="153"/>
      <c r="M49" s="153"/>
      <c r="N49" s="153"/>
      <c r="O49" s="152"/>
      <c r="P49" s="151"/>
      <c r="R49" s="153"/>
      <c r="S49" s="153"/>
      <c r="T49" s="153"/>
      <c r="U49" s="153"/>
      <c r="V49" s="152"/>
      <c r="W49" s="151"/>
      <c r="Y49" s="153"/>
      <c r="Z49" s="153"/>
      <c r="AA49" s="153"/>
      <c r="AB49" s="153"/>
      <c r="AC49" s="152"/>
      <c r="AD49" s="151"/>
      <c r="AF49" s="153"/>
      <c r="AG49" s="153"/>
      <c r="AH49" s="153"/>
      <c r="AI49" s="153"/>
      <c r="AJ49" s="152"/>
      <c r="AK49" s="151"/>
      <c r="AL49" s="153"/>
      <c r="AM49" s="153"/>
      <c r="AN49" s="153"/>
      <c r="AO49" s="153"/>
      <c r="AP49" s="153"/>
      <c r="AQ49" s="152"/>
      <c r="AR49" s="151"/>
      <c r="AS49" s="153"/>
      <c r="AT49" s="153"/>
      <c r="AU49" s="153"/>
      <c r="AV49" s="153"/>
      <c r="AW49" s="153"/>
      <c r="AX49" s="152"/>
      <c r="AY49" s="151"/>
      <c r="AZ49" s="234" t="s">
        <v>155</v>
      </c>
      <c r="BA49" s="198"/>
      <c r="BB49" s="155"/>
      <c r="BC49" s="155"/>
      <c r="BD49" s="199"/>
      <c r="BF49" s="155"/>
      <c r="BG49" s="266"/>
      <c r="BH49" s="266"/>
      <c r="BI49" s="266"/>
      <c r="BJ49" s="266"/>
    </row>
    <row r="50" spans="1:62" ht="8.1" customHeight="1" x14ac:dyDescent="0.25">
      <c r="B50" s="235"/>
      <c r="C50" s="150"/>
      <c r="D50" s="148"/>
      <c r="E50" s="148"/>
      <c r="F50" s="148"/>
      <c r="G50" s="148"/>
      <c r="H50" s="147"/>
      <c r="I50" s="146"/>
      <c r="J50" s="149"/>
      <c r="K50" s="148"/>
      <c r="L50" s="148"/>
      <c r="M50" s="148"/>
      <c r="N50" s="148"/>
      <c r="O50" s="147"/>
      <c r="P50" s="146"/>
      <c r="Q50" s="149"/>
      <c r="R50" s="148"/>
      <c r="S50" s="148"/>
      <c r="T50" s="148"/>
      <c r="U50" s="148"/>
      <c r="V50" s="147"/>
      <c r="W50" s="146"/>
      <c r="X50" s="149"/>
      <c r="Y50" s="148"/>
      <c r="Z50" s="148"/>
      <c r="AA50" s="148"/>
      <c r="AB50" s="148"/>
      <c r="AC50" s="147"/>
      <c r="AD50" s="146"/>
      <c r="AE50" s="149"/>
      <c r="AF50" s="148"/>
      <c r="AG50" s="148"/>
      <c r="AH50" s="148"/>
      <c r="AI50" s="148"/>
      <c r="AJ50" s="147"/>
      <c r="AK50" s="146"/>
      <c r="AL50" s="148"/>
      <c r="AM50" s="148"/>
      <c r="AN50" s="148"/>
      <c r="AO50" s="148"/>
      <c r="AP50" s="148"/>
      <c r="AQ50" s="147"/>
      <c r="AR50" s="146"/>
      <c r="AS50" s="148"/>
      <c r="AT50" s="148"/>
      <c r="AU50" s="148"/>
      <c r="AV50" s="148"/>
      <c r="AW50" s="148"/>
      <c r="AX50" s="147"/>
      <c r="AY50" s="146"/>
      <c r="AZ50" s="235"/>
      <c r="BA50" s="198"/>
      <c r="BB50" s="155"/>
      <c r="BC50" s="155"/>
      <c r="BD50" s="199"/>
      <c r="BE50" s="245"/>
      <c r="BF50" s="155"/>
      <c r="BG50" s="266"/>
      <c r="BH50" s="266"/>
      <c r="BI50" s="266"/>
      <c r="BJ50" s="266"/>
    </row>
    <row r="51" spans="1:62" ht="8.1" customHeight="1" x14ac:dyDescent="0.25">
      <c r="B51" s="234"/>
      <c r="C51" s="154"/>
      <c r="D51" s="153"/>
      <c r="E51" s="153"/>
      <c r="F51" s="153"/>
      <c r="G51" s="153"/>
      <c r="H51" s="152"/>
      <c r="I51" s="151"/>
      <c r="K51" s="153"/>
      <c r="L51" s="153"/>
      <c r="M51" s="153"/>
      <c r="N51" s="153"/>
      <c r="O51" s="152"/>
      <c r="P51" s="151"/>
      <c r="R51" s="153"/>
      <c r="S51" s="153"/>
      <c r="T51" s="153"/>
      <c r="U51" s="153"/>
      <c r="V51" s="152"/>
      <c r="W51" s="151"/>
      <c r="Y51" s="153"/>
      <c r="Z51" s="153"/>
      <c r="AA51" s="153"/>
      <c r="AB51" s="153"/>
      <c r="AC51" s="152"/>
      <c r="AD51" s="151"/>
      <c r="AF51" s="153"/>
      <c r="AG51" s="153"/>
      <c r="AH51" s="153"/>
      <c r="AI51" s="153"/>
      <c r="AJ51" s="152"/>
      <c r="AK51" s="151"/>
      <c r="AL51" s="153"/>
      <c r="AM51" s="153"/>
      <c r="AN51" s="153"/>
      <c r="AO51" s="153"/>
      <c r="AP51" s="153"/>
      <c r="AQ51" s="152"/>
      <c r="AR51" s="151"/>
      <c r="AS51" s="153"/>
      <c r="AT51" s="153"/>
      <c r="AU51" s="153"/>
      <c r="AV51" s="153"/>
      <c r="AW51" s="153"/>
      <c r="AX51" s="152"/>
      <c r="AY51" s="151"/>
      <c r="AZ51" s="234"/>
      <c r="BA51" s="198"/>
      <c r="BB51" s="155"/>
      <c r="BC51" s="155"/>
      <c r="BD51" s="199"/>
      <c r="BE51" s="245"/>
      <c r="BF51" s="155"/>
      <c r="BG51" s="266"/>
      <c r="BH51" s="266"/>
      <c r="BI51" s="266"/>
      <c r="BJ51" s="266"/>
    </row>
    <row r="52" spans="1:62" ht="8.1" customHeight="1" x14ac:dyDescent="0.25">
      <c r="B52" s="235"/>
      <c r="C52" s="150"/>
      <c r="D52" s="148"/>
      <c r="E52" s="148"/>
      <c r="F52" s="148"/>
      <c r="G52" s="148"/>
      <c r="H52" s="147"/>
      <c r="I52" s="146"/>
      <c r="J52" s="149"/>
      <c r="K52" s="148"/>
      <c r="L52" s="148"/>
      <c r="M52" s="148"/>
      <c r="N52" s="148"/>
      <c r="O52" s="147"/>
      <c r="P52" s="146"/>
      <c r="Q52" s="149"/>
      <c r="R52" s="148"/>
      <c r="S52" s="148"/>
      <c r="T52" s="148"/>
      <c r="U52" s="148"/>
      <c r="V52" s="147"/>
      <c r="W52" s="146"/>
      <c r="X52" s="149"/>
      <c r="Y52" s="148"/>
      <c r="Z52" s="148"/>
      <c r="AA52" s="148"/>
      <c r="AB52" s="148"/>
      <c r="AC52" s="147"/>
      <c r="AD52" s="146"/>
      <c r="AE52" s="149"/>
      <c r="AF52" s="148"/>
      <c r="AG52" s="148"/>
      <c r="AH52" s="148"/>
      <c r="AI52" s="148"/>
      <c r="AJ52" s="147"/>
      <c r="AK52" s="146"/>
      <c r="AL52" s="148"/>
      <c r="AM52" s="148"/>
      <c r="AN52" s="148"/>
      <c r="AO52" s="148"/>
      <c r="AP52" s="148"/>
      <c r="AQ52" s="147"/>
      <c r="AR52" s="146"/>
      <c r="AS52" s="148"/>
      <c r="AT52" s="148"/>
      <c r="AU52" s="148"/>
      <c r="AV52" s="148"/>
      <c r="AW52" s="148"/>
      <c r="AX52" s="147"/>
      <c r="AY52" s="146"/>
      <c r="AZ52" s="235"/>
      <c r="BA52" s="198"/>
      <c r="BB52" s="155"/>
      <c r="BC52" s="155"/>
      <c r="BD52" s="199"/>
      <c r="BF52" s="155"/>
      <c r="BG52" s="266"/>
      <c r="BH52" s="266"/>
      <c r="BI52" s="266"/>
      <c r="BJ52" s="266"/>
    </row>
    <row r="53" spans="1:62" ht="8.1" customHeight="1" x14ac:dyDescent="0.25">
      <c r="B53" s="234" t="s">
        <v>156</v>
      </c>
      <c r="C53" s="154"/>
      <c r="D53" s="153"/>
      <c r="E53" s="153"/>
      <c r="F53" s="153"/>
      <c r="G53" s="153"/>
      <c r="H53" s="152"/>
      <c r="I53" s="151"/>
      <c r="K53" s="153"/>
      <c r="L53" s="153"/>
      <c r="M53" s="153"/>
      <c r="N53" s="153"/>
      <c r="O53" s="152"/>
      <c r="P53" s="151"/>
      <c r="R53" s="153"/>
      <c r="S53" s="153"/>
      <c r="T53" s="153"/>
      <c r="U53" s="153"/>
      <c r="V53" s="152"/>
      <c r="W53" s="151"/>
      <c r="Y53" s="153"/>
      <c r="Z53" s="153"/>
      <c r="AA53" s="153"/>
      <c r="AB53" s="153"/>
      <c r="AC53" s="152"/>
      <c r="AD53" s="151"/>
      <c r="AF53" s="153"/>
      <c r="AG53" s="153"/>
      <c r="AH53" s="153"/>
      <c r="AI53" s="153"/>
      <c r="AJ53" s="152"/>
      <c r="AK53" s="151"/>
      <c r="AL53" s="153"/>
      <c r="AM53" s="153"/>
      <c r="AN53" s="153"/>
      <c r="AO53" s="153"/>
      <c r="AP53" s="153"/>
      <c r="AQ53" s="152"/>
      <c r="AR53" s="151"/>
      <c r="AS53" s="153"/>
      <c r="AT53" s="153"/>
      <c r="AU53" s="153"/>
      <c r="AV53" s="153"/>
      <c r="AW53" s="153"/>
      <c r="AX53" s="152"/>
      <c r="AY53" s="151"/>
      <c r="AZ53" s="234" t="s">
        <v>156</v>
      </c>
      <c r="BA53" s="198"/>
      <c r="BB53" s="155"/>
      <c r="BC53" s="155"/>
      <c r="BD53" s="199"/>
      <c r="BF53" s="155"/>
      <c r="BG53" s="266"/>
      <c r="BH53" s="266"/>
      <c r="BI53" s="266"/>
      <c r="BJ53" s="266"/>
    </row>
    <row r="54" spans="1:62" ht="8.1" customHeight="1" x14ac:dyDescent="0.25">
      <c r="B54" s="235"/>
      <c r="C54" s="150"/>
      <c r="D54" s="148"/>
      <c r="E54" s="148"/>
      <c r="F54" s="148"/>
      <c r="G54" s="148"/>
      <c r="H54" s="147"/>
      <c r="I54" s="146"/>
      <c r="J54" s="149"/>
      <c r="K54" s="148"/>
      <c r="L54" s="148"/>
      <c r="M54" s="148"/>
      <c r="N54" s="148"/>
      <c r="O54" s="147"/>
      <c r="P54" s="146"/>
      <c r="Q54" s="149"/>
      <c r="R54" s="148"/>
      <c r="S54" s="148"/>
      <c r="T54" s="148"/>
      <c r="U54" s="148"/>
      <c r="V54" s="147"/>
      <c r="W54" s="146"/>
      <c r="X54" s="149"/>
      <c r="Y54" s="148"/>
      <c r="Z54" s="148"/>
      <c r="AA54" s="148"/>
      <c r="AB54" s="148"/>
      <c r="AC54" s="147"/>
      <c r="AD54" s="146"/>
      <c r="AE54" s="149"/>
      <c r="AF54" s="148"/>
      <c r="AG54" s="148"/>
      <c r="AH54" s="148"/>
      <c r="AI54" s="148"/>
      <c r="AJ54" s="147"/>
      <c r="AK54" s="146"/>
      <c r="AL54" s="148"/>
      <c r="AM54" s="148"/>
      <c r="AN54" s="148"/>
      <c r="AO54" s="148"/>
      <c r="AP54" s="148"/>
      <c r="AQ54" s="147"/>
      <c r="AR54" s="146"/>
      <c r="AS54" s="148"/>
      <c r="AT54" s="148"/>
      <c r="AU54" s="148"/>
      <c r="AV54" s="148"/>
      <c r="AW54" s="148"/>
      <c r="AX54" s="147"/>
      <c r="AY54" s="146"/>
      <c r="AZ54" s="235"/>
      <c r="BA54" s="198"/>
      <c r="BB54" s="155"/>
      <c r="BC54" s="155"/>
      <c r="BD54" s="199"/>
      <c r="BF54" s="155"/>
      <c r="BG54" s="266"/>
      <c r="BH54" s="266"/>
      <c r="BI54" s="266"/>
      <c r="BJ54" s="266"/>
    </row>
    <row r="55" spans="1:62" ht="8.1" customHeight="1" x14ac:dyDescent="0.25">
      <c r="B55" s="234"/>
      <c r="C55" s="154"/>
      <c r="D55" s="153"/>
      <c r="E55" s="153"/>
      <c r="F55" s="153"/>
      <c r="G55" s="153"/>
      <c r="H55" s="152"/>
      <c r="I55" s="151"/>
      <c r="K55" s="153"/>
      <c r="L55" s="153"/>
      <c r="M55" s="153"/>
      <c r="N55" s="153"/>
      <c r="O55" s="152"/>
      <c r="P55" s="151"/>
      <c r="R55" s="153"/>
      <c r="S55" s="153"/>
      <c r="T55" s="153"/>
      <c r="U55" s="153"/>
      <c r="V55" s="152"/>
      <c r="W55" s="151"/>
      <c r="Y55" s="153"/>
      <c r="Z55" s="153"/>
      <c r="AA55" s="153"/>
      <c r="AB55" s="153"/>
      <c r="AC55" s="152"/>
      <c r="AD55" s="151"/>
      <c r="AF55" s="153"/>
      <c r="AG55" s="153"/>
      <c r="AH55" s="153"/>
      <c r="AI55" s="153"/>
      <c r="AJ55" s="152"/>
      <c r="AK55" s="151"/>
      <c r="AL55" s="153"/>
      <c r="AM55" s="153"/>
      <c r="AN55" s="153"/>
      <c r="AO55" s="153"/>
      <c r="AP55" s="153"/>
      <c r="AQ55" s="152"/>
      <c r="AR55" s="151"/>
      <c r="AS55" s="153"/>
      <c r="AT55" s="153"/>
      <c r="AU55" s="153"/>
      <c r="AV55" s="153"/>
      <c r="AW55" s="153"/>
      <c r="AX55" s="152"/>
      <c r="AY55" s="151"/>
      <c r="AZ55" s="234"/>
      <c r="BA55" s="198"/>
      <c r="BB55" s="155"/>
      <c r="BC55" s="155"/>
      <c r="BD55" s="199"/>
      <c r="BF55" s="155"/>
      <c r="BG55" s="266"/>
      <c r="BH55" s="266"/>
      <c r="BI55" s="266"/>
      <c r="BJ55" s="266"/>
    </row>
    <row r="56" spans="1:62" ht="8.1" customHeight="1" x14ac:dyDescent="0.25">
      <c r="A56" s="157"/>
      <c r="B56" s="235"/>
      <c r="C56" s="150"/>
      <c r="D56" s="148"/>
      <c r="E56" s="148"/>
      <c r="F56" s="148"/>
      <c r="G56" s="148"/>
      <c r="H56" s="147"/>
      <c r="I56" s="146"/>
      <c r="J56" s="149"/>
      <c r="K56" s="148"/>
      <c r="L56" s="148"/>
      <c r="M56" s="148"/>
      <c r="N56" s="148"/>
      <c r="O56" s="147"/>
      <c r="P56" s="146"/>
      <c r="Q56" s="149"/>
      <c r="R56" s="148"/>
      <c r="S56" s="148"/>
      <c r="T56" s="148"/>
      <c r="U56" s="148"/>
      <c r="V56" s="147"/>
      <c r="W56" s="146"/>
      <c r="X56" s="149"/>
      <c r="Y56" s="148"/>
      <c r="Z56" s="148"/>
      <c r="AA56" s="148"/>
      <c r="AB56" s="148"/>
      <c r="AC56" s="147"/>
      <c r="AD56" s="146"/>
      <c r="AE56" s="149"/>
      <c r="AF56" s="148"/>
      <c r="AG56" s="148"/>
      <c r="AH56" s="148"/>
      <c r="AI56" s="148"/>
      <c r="AJ56" s="147"/>
      <c r="AK56" s="146"/>
      <c r="AL56" s="148"/>
      <c r="AM56" s="148"/>
      <c r="AN56" s="148"/>
      <c r="AO56" s="148"/>
      <c r="AP56" s="148"/>
      <c r="AQ56" s="147"/>
      <c r="AR56" s="146"/>
      <c r="AS56" s="148"/>
      <c r="AT56" s="148"/>
      <c r="AU56" s="148"/>
      <c r="AV56" s="148"/>
      <c r="AW56" s="148"/>
      <c r="AX56" s="147"/>
      <c r="AY56" s="146"/>
      <c r="AZ56" s="235"/>
      <c r="BA56" s="198"/>
      <c r="BB56" s="155"/>
      <c r="BC56" s="155"/>
      <c r="BD56" s="199"/>
      <c r="BF56" s="155"/>
      <c r="BG56" s="266"/>
      <c r="BH56" s="266"/>
      <c r="BI56" s="266"/>
      <c r="BJ56" s="266"/>
    </row>
    <row r="57" spans="1:62" ht="8.1" customHeight="1" x14ac:dyDescent="0.25">
      <c r="B57" s="234" t="s">
        <v>157</v>
      </c>
      <c r="C57" s="154"/>
      <c r="D57" s="153"/>
      <c r="E57" s="153"/>
      <c r="F57" s="153"/>
      <c r="G57" s="153"/>
      <c r="H57" s="152"/>
      <c r="I57" s="151"/>
      <c r="K57" s="153"/>
      <c r="L57" s="153"/>
      <c r="M57" s="153"/>
      <c r="N57" s="153"/>
      <c r="O57" s="152"/>
      <c r="P57" s="151"/>
      <c r="R57" s="153"/>
      <c r="S57" s="153"/>
      <c r="T57" s="153"/>
      <c r="U57" s="153"/>
      <c r="V57" s="152"/>
      <c r="W57" s="151"/>
      <c r="Y57" s="153"/>
      <c r="Z57" s="153"/>
      <c r="AA57" s="153"/>
      <c r="AB57" s="153"/>
      <c r="AC57" s="152"/>
      <c r="AD57" s="151"/>
      <c r="AF57" s="153"/>
      <c r="AG57" s="153"/>
      <c r="AH57" s="153"/>
      <c r="AI57" s="153"/>
      <c r="AJ57" s="152"/>
      <c r="AK57" s="151"/>
      <c r="AL57" s="153"/>
      <c r="AM57" s="153"/>
      <c r="AN57" s="153"/>
      <c r="AO57" s="153"/>
      <c r="AP57" s="153"/>
      <c r="AQ57" s="152"/>
      <c r="AR57" s="151"/>
      <c r="AS57" s="153"/>
      <c r="AT57" s="153"/>
      <c r="AU57" s="153"/>
      <c r="AV57" s="153"/>
      <c r="AW57" s="153"/>
      <c r="AX57" s="152"/>
      <c r="AY57" s="151"/>
      <c r="AZ57" s="234" t="s">
        <v>157</v>
      </c>
      <c r="BA57" s="198"/>
      <c r="BB57" s="155"/>
      <c r="BC57" s="155"/>
      <c r="BD57" s="199"/>
      <c r="BF57" s="155"/>
      <c r="BG57" s="266"/>
      <c r="BH57" s="266"/>
      <c r="BI57" s="266"/>
      <c r="BJ57" s="266"/>
    </row>
    <row r="58" spans="1:62" ht="8.1" customHeight="1" x14ac:dyDescent="0.25">
      <c r="B58" s="235"/>
      <c r="C58" s="150"/>
      <c r="D58" s="148"/>
      <c r="E58" s="148"/>
      <c r="F58" s="148"/>
      <c r="G58" s="148"/>
      <c r="H58" s="147"/>
      <c r="I58" s="146"/>
      <c r="J58" s="149"/>
      <c r="K58" s="148"/>
      <c r="L58" s="148"/>
      <c r="M58" s="148"/>
      <c r="N58" s="148"/>
      <c r="O58" s="147"/>
      <c r="P58" s="146"/>
      <c r="Q58" s="149"/>
      <c r="R58" s="148"/>
      <c r="S58" s="148"/>
      <c r="T58" s="148"/>
      <c r="U58" s="148"/>
      <c r="V58" s="147"/>
      <c r="W58" s="146"/>
      <c r="X58" s="149"/>
      <c r="Y58" s="148"/>
      <c r="Z58" s="148"/>
      <c r="AA58" s="148"/>
      <c r="AB58" s="148"/>
      <c r="AC58" s="147"/>
      <c r="AD58" s="146"/>
      <c r="AE58" s="149"/>
      <c r="AF58" s="148"/>
      <c r="AG58" s="148"/>
      <c r="AH58" s="148"/>
      <c r="AI58" s="148"/>
      <c r="AJ58" s="147"/>
      <c r="AK58" s="146"/>
      <c r="AL58" s="148"/>
      <c r="AM58" s="148"/>
      <c r="AN58" s="148"/>
      <c r="AO58" s="148"/>
      <c r="AP58" s="148"/>
      <c r="AQ58" s="147"/>
      <c r="AR58" s="146"/>
      <c r="AS58" s="148"/>
      <c r="AT58" s="148"/>
      <c r="AU58" s="148"/>
      <c r="AV58" s="148"/>
      <c r="AW58" s="148"/>
      <c r="AX58" s="147"/>
      <c r="AY58" s="146"/>
      <c r="AZ58" s="235"/>
      <c r="BA58" s="198"/>
      <c r="BB58" s="155"/>
      <c r="BC58" s="155"/>
      <c r="BD58" s="199"/>
      <c r="BF58" s="155"/>
      <c r="BG58" s="266"/>
      <c r="BH58" s="266"/>
      <c r="BI58" s="266"/>
      <c r="BJ58" s="266"/>
    </row>
    <row r="59" spans="1:62" ht="8.1" customHeight="1" x14ac:dyDescent="0.25">
      <c r="B59" s="234"/>
      <c r="C59" s="154"/>
      <c r="D59" s="153"/>
      <c r="E59" s="153"/>
      <c r="F59" s="153"/>
      <c r="G59" s="153"/>
      <c r="H59" s="152"/>
      <c r="I59" s="151"/>
      <c r="K59" s="153"/>
      <c r="L59" s="153"/>
      <c r="M59" s="153"/>
      <c r="N59" s="153"/>
      <c r="O59" s="152"/>
      <c r="P59" s="151"/>
      <c r="R59" s="153"/>
      <c r="S59" s="153"/>
      <c r="T59" s="153"/>
      <c r="U59" s="153"/>
      <c r="V59" s="152"/>
      <c r="W59" s="151"/>
      <c r="Y59" s="153"/>
      <c r="Z59" s="153"/>
      <c r="AA59" s="153"/>
      <c r="AB59" s="153"/>
      <c r="AC59" s="152"/>
      <c r="AD59" s="151"/>
      <c r="AF59" s="153"/>
      <c r="AG59" s="153"/>
      <c r="AH59" s="153"/>
      <c r="AI59" s="153"/>
      <c r="AJ59" s="152"/>
      <c r="AK59" s="151"/>
      <c r="AL59" s="153"/>
      <c r="AM59" s="153"/>
      <c r="AN59" s="153"/>
      <c r="AO59" s="153"/>
      <c r="AP59" s="153"/>
      <c r="AQ59" s="152"/>
      <c r="AR59" s="151"/>
      <c r="AS59" s="153"/>
      <c r="AT59" s="153"/>
      <c r="AU59" s="153"/>
      <c r="AV59" s="153"/>
      <c r="AW59" s="153"/>
      <c r="AX59" s="152"/>
      <c r="AY59" s="151"/>
      <c r="AZ59" s="234"/>
      <c r="BA59" s="198"/>
      <c r="BB59" s="155"/>
      <c r="BC59" s="155"/>
      <c r="BD59" s="199"/>
      <c r="BF59" s="155"/>
      <c r="BG59" s="266"/>
      <c r="BH59" s="266"/>
      <c r="BI59" s="266"/>
      <c r="BJ59" s="266"/>
    </row>
    <row r="60" spans="1:62" ht="8.1" customHeight="1" x14ac:dyDescent="0.25">
      <c r="B60" s="235"/>
      <c r="C60" s="150"/>
      <c r="D60" s="148"/>
      <c r="E60" s="148"/>
      <c r="F60" s="148"/>
      <c r="G60" s="148"/>
      <c r="H60" s="147"/>
      <c r="I60" s="146"/>
      <c r="J60" s="149"/>
      <c r="K60" s="148"/>
      <c r="L60" s="148"/>
      <c r="M60" s="148"/>
      <c r="N60" s="148"/>
      <c r="O60" s="147"/>
      <c r="P60" s="146"/>
      <c r="Q60" s="149"/>
      <c r="R60" s="148"/>
      <c r="S60" s="148"/>
      <c r="T60" s="148"/>
      <c r="U60" s="148"/>
      <c r="V60" s="147"/>
      <c r="W60" s="146"/>
      <c r="X60" s="149"/>
      <c r="Y60" s="148"/>
      <c r="Z60" s="148"/>
      <c r="AA60" s="148"/>
      <c r="AB60" s="148"/>
      <c r="AC60" s="147"/>
      <c r="AD60" s="146"/>
      <c r="AE60" s="149"/>
      <c r="AF60" s="148"/>
      <c r="AG60" s="148"/>
      <c r="AH60" s="148"/>
      <c r="AI60" s="148"/>
      <c r="AJ60" s="147"/>
      <c r="AK60" s="146"/>
      <c r="AL60" s="148"/>
      <c r="AM60" s="148"/>
      <c r="AN60" s="148"/>
      <c r="AO60" s="148"/>
      <c r="AP60" s="148"/>
      <c r="AQ60" s="147"/>
      <c r="AR60" s="146"/>
      <c r="AS60" s="148"/>
      <c r="AT60" s="148"/>
      <c r="AU60" s="148"/>
      <c r="AV60" s="148"/>
      <c r="AW60" s="148"/>
      <c r="AX60" s="147"/>
      <c r="AY60" s="146"/>
      <c r="AZ60" s="235"/>
      <c r="BA60" s="198"/>
      <c r="BB60" s="155"/>
      <c r="BC60" s="155"/>
      <c r="BD60" s="199"/>
      <c r="BF60" s="155"/>
      <c r="BG60" s="266"/>
      <c r="BH60" s="266"/>
      <c r="BI60" s="266"/>
      <c r="BJ60" s="266"/>
    </row>
    <row r="61" spans="1:62" ht="8.1" customHeight="1" x14ac:dyDescent="0.25">
      <c r="B61" s="234" t="s">
        <v>21</v>
      </c>
      <c r="C61" s="154"/>
      <c r="D61" s="153"/>
      <c r="E61" s="153"/>
      <c r="F61" s="153"/>
      <c r="G61" s="153"/>
      <c r="H61" s="152"/>
      <c r="I61" s="151"/>
      <c r="K61" s="153"/>
      <c r="L61" s="153"/>
      <c r="M61" s="153"/>
      <c r="N61" s="153"/>
      <c r="O61" s="152"/>
      <c r="P61" s="151"/>
      <c r="R61" s="153"/>
      <c r="S61" s="153"/>
      <c r="T61" s="153"/>
      <c r="U61" s="153"/>
      <c r="V61" s="152"/>
      <c r="W61" s="151"/>
      <c r="Y61" s="153"/>
      <c r="Z61" s="153"/>
      <c r="AA61" s="153"/>
      <c r="AB61" s="153"/>
      <c r="AC61" s="152"/>
      <c r="AD61" s="151"/>
      <c r="AF61" s="153"/>
      <c r="AG61" s="153"/>
      <c r="AH61" s="153"/>
      <c r="AI61" s="153"/>
      <c r="AJ61" s="152"/>
      <c r="AK61" s="151"/>
      <c r="AL61" s="153"/>
      <c r="AM61" s="153"/>
      <c r="AN61" s="153"/>
      <c r="AO61" s="153"/>
      <c r="AP61" s="153"/>
      <c r="AQ61" s="152"/>
      <c r="AR61" s="151"/>
      <c r="AS61" s="153"/>
      <c r="AT61" s="153"/>
      <c r="AU61" s="153"/>
      <c r="AV61" s="153"/>
      <c r="AW61" s="153"/>
      <c r="AX61" s="152"/>
      <c r="AY61" s="151"/>
      <c r="AZ61" s="234" t="s">
        <v>21</v>
      </c>
      <c r="BA61" s="198"/>
      <c r="BB61" s="155"/>
      <c r="BC61" s="155"/>
      <c r="BD61" s="199"/>
      <c r="BF61" s="155"/>
      <c r="BG61" s="266"/>
      <c r="BH61" s="266"/>
      <c r="BI61" s="266"/>
      <c r="BJ61" s="266"/>
    </row>
    <row r="62" spans="1:62" ht="8.1" customHeight="1" x14ac:dyDescent="0.25">
      <c r="B62" s="235"/>
      <c r="C62" s="150"/>
      <c r="D62" s="148"/>
      <c r="E62" s="148"/>
      <c r="F62" s="148"/>
      <c r="G62" s="148"/>
      <c r="H62" s="147"/>
      <c r="I62" s="146"/>
      <c r="J62" s="149"/>
      <c r="K62" s="148"/>
      <c r="L62" s="148"/>
      <c r="M62" s="148"/>
      <c r="N62" s="148"/>
      <c r="O62" s="147"/>
      <c r="P62" s="146"/>
      <c r="Q62" s="149"/>
      <c r="R62" s="148"/>
      <c r="S62" s="148"/>
      <c r="T62" s="148"/>
      <c r="U62" s="148"/>
      <c r="V62" s="147"/>
      <c r="W62" s="146"/>
      <c r="X62" s="149"/>
      <c r="Y62" s="148"/>
      <c r="Z62" s="148"/>
      <c r="AA62" s="148"/>
      <c r="AB62" s="148"/>
      <c r="AC62" s="147"/>
      <c r="AD62" s="146"/>
      <c r="AE62" s="149"/>
      <c r="AF62" s="148"/>
      <c r="AG62" s="148"/>
      <c r="AH62" s="148"/>
      <c r="AI62" s="148"/>
      <c r="AJ62" s="147"/>
      <c r="AK62" s="146"/>
      <c r="AL62" s="148"/>
      <c r="AM62" s="148"/>
      <c r="AN62" s="148"/>
      <c r="AO62" s="148"/>
      <c r="AP62" s="148"/>
      <c r="AQ62" s="147"/>
      <c r="AR62" s="146"/>
      <c r="AS62" s="148"/>
      <c r="AT62" s="148"/>
      <c r="AU62" s="148"/>
      <c r="AV62" s="148"/>
      <c r="AW62" s="148"/>
      <c r="AX62" s="147"/>
      <c r="AY62" s="146"/>
      <c r="AZ62" s="235"/>
      <c r="BA62" s="198"/>
      <c r="BB62" s="155"/>
      <c r="BC62" s="155"/>
      <c r="BD62" s="199"/>
      <c r="BF62" s="155"/>
      <c r="BG62" s="266"/>
      <c r="BH62" s="266"/>
      <c r="BI62" s="266"/>
      <c r="BJ62" s="266"/>
    </row>
    <row r="63" spans="1:62" ht="8.1" customHeight="1" x14ac:dyDescent="0.25">
      <c r="B63" s="234"/>
      <c r="C63" s="154"/>
      <c r="D63" s="153"/>
      <c r="E63" s="153"/>
      <c r="F63" s="153"/>
      <c r="G63" s="153"/>
      <c r="H63" s="152"/>
      <c r="I63" s="151"/>
      <c r="K63" s="153"/>
      <c r="L63" s="153"/>
      <c r="M63" s="153"/>
      <c r="N63" s="153"/>
      <c r="O63" s="152"/>
      <c r="P63" s="151"/>
      <c r="R63" s="153"/>
      <c r="S63" s="153"/>
      <c r="T63" s="153"/>
      <c r="U63" s="153"/>
      <c r="V63" s="152"/>
      <c r="W63" s="151"/>
      <c r="Y63" s="153"/>
      <c r="Z63" s="153"/>
      <c r="AA63" s="153"/>
      <c r="AB63" s="153"/>
      <c r="AC63" s="152"/>
      <c r="AD63" s="151"/>
      <c r="AF63" s="153"/>
      <c r="AG63" s="153"/>
      <c r="AH63" s="153"/>
      <c r="AI63" s="153"/>
      <c r="AJ63" s="152"/>
      <c r="AK63" s="151"/>
      <c r="AL63" s="153"/>
      <c r="AM63" s="153"/>
      <c r="AN63" s="153"/>
      <c r="AO63" s="153"/>
      <c r="AP63" s="153"/>
      <c r="AQ63" s="152"/>
      <c r="AR63" s="151"/>
      <c r="AS63" s="153"/>
      <c r="AT63" s="153"/>
      <c r="AU63" s="153"/>
      <c r="AV63" s="153"/>
      <c r="AW63" s="153"/>
      <c r="AX63" s="152"/>
      <c r="AY63" s="151"/>
      <c r="AZ63" s="234"/>
      <c r="BA63" s="198"/>
      <c r="BB63" s="155"/>
      <c r="BC63" s="155"/>
      <c r="BD63" s="199"/>
      <c r="BF63" s="155"/>
      <c r="BG63" s="266"/>
      <c r="BH63" s="266"/>
      <c r="BI63" s="266"/>
      <c r="BJ63" s="266"/>
    </row>
    <row r="64" spans="1:62" ht="8.1" customHeight="1" x14ac:dyDescent="0.25">
      <c r="B64" s="235"/>
      <c r="C64" s="150"/>
      <c r="D64" s="148"/>
      <c r="E64" s="148"/>
      <c r="F64" s="148"/>
      <c r="G64" s="148"/>
      <c r="H64" s="147"/>
      <c r="I64" s="146"/>
      <c r="J64" s="149"/>
      <c r="K64" s="148"/>
      <c r="L64" s="148"/>
      <c r="M64" s="148"/>
      <c r="N64" s="148"/>
      <c r="O64" s="147"/>
      <c r="P64" s="146"/>
      <c r="Q64" s="149"/>
      <c r="R64" s="148"/>
      <c r="S64" s="148"/>
      <c r="T64" s="148"/>
      <c r="U64" s="148"/>
      <c r="V64" s="147"/>
      <c r="W64" s="146"/>
      <c r="X64" s="149"/>
      <c r="Y64" s="148"/>
      <c r="Z64" s="148"/>
      <c r="AA64" s="148"/>
      <c r="AB64" s="148"/>
      <c r="AC64" s="147"/>
      <c r="AD64" s="146"/>
      <c r="AE64" s="149"/>
      <c r="AF64" s="148"/>
      <c r="AG64" s="148"/>
      <c r="AH64" s="148"/>
      <c r="AI64" s="148"/>
      <c r="AJ64" s="147"/>
      <c r="AK64" s="146"/>
      <c r="AL64" s="148"/>
      <c r="AM64" s="148"/>
      <c r="AN64" s="148"/>
      <c r="AO64" s="148"/>
      <c r="AP64" s="148"/>
      <c r="AQ64" s="147"/>
      <c r="AR64" s="146"/>
      <c r="AS64" s="148"/>
      <c r="AT64" s="148"/>
      <c r="AU64" s="148"/>
      <c r="AV64" s="148"/>
      <c r="AW64" s="148"/>
      <c r="AX64" s="147"/>
      <c r="AY64" s="146"/>
      <c r="AZ64" s="235"/>
      <c r="BA64" s="198"/>
      <c r="BB64" s="155"/>
      <c r="BC64" s="155"/>
      <c r="BD64" s="199"/>
      <c r="BF64" s="155"/>
      <c r="BG64" s="266"/>
      <c r="BH64" s="266"/>
      <c r="BI64" s="266"/>
      <c r="BJ64" s="266"/>
    </row>
    <row r="65" spans="2:62" ht="8.1" customHeight="1" x14ac:dyDescent="0.25">
      <c r="B65" s="234" t="s">
        <v>158</v>
      </c>
      <c r="C65" s="154"/>
      <c r="D65" s="153"/>
      <c r="E65" s="153"/>
      <c r="F65" s="153"/>
      <c r="G65" s="153"/>
      <c r="H65" s="152"/>
      <c r="I65" s="151"/>
      <c r="K65" s="153"/>
      <c r="L65" s="153"/>
      <c r="M65" s="153"/>
      <c r="N65" s="153"/>
      <c r="O65" s="152"/>
      <c r="P65" s="151"/>
      <c r="R65" s="153"/>
      <c r="S65" s="153"/>
      <c r="T65" s="153"/>
      <c r="U65" s="153"/>
      <c r="V65" s="152"/>
      <c r="W65" s="151"/>
      <c r="Y65" s="153"/>
      <c r="Z65" s="153"/>
      <c r="AA65" s="153"/>
      <c r="AB65" s="153"/>
      <c r="AC65" s="152"/>
      <c r="AD65" s="151"/>
      <c r="AF65" s="153"/>
      <c r="AG65" s="153"/>
      <c r="AH65" s="153"/>
      <c r="AI65" s="153"/>
      <c r="AJ65" s="152"/>
      <c r="AK65" s="151"/>
      <c r="AL65" s="153"/>
      <c r="AM65" s="153"/>
      <c r="AN65" s="153"/>
      <c r="AO65" s="153"/>
      <c r="AP65" s="153"/>
      <c r="AQ65" s="152"/>
      <c r="AR65" s="151"/>
      <c r="AS65" s="153"/>
      <c r="AT65" s="153"/>
      <c r="AU65" s="153"/>
      <c r="AV65" s="153"/>
      <c r="AW65" s="153"/>
      <c r="AX65" s="152"/>
      <c r="AY65" s="151"/>
      <c r="AZ65" s="234" t="s">
        <v>158</v>
      </c>
      <c r="BA65" s="198"/>
      <c r="BB65" s="155"/>
      <c r="BC65" s="155"/>
      <c r="BD65" s="199"/>
      <c r="BF65" s="155"/>
      <c r="BG65" s="266"/>
      <c r="BH65" s="266"/>
      <c r="BI65" s="266"/>
      <c r="BJ65" s="266"/>
    </row>
    <row r="66" spans="2:62" ht="8.1" customHeight="1" x14ac:dyDescent="0.25">
      <c r="B66" s="235"/>
      <c r="C66" s="150"/>
      <c r="D66" s="148"/>
      <c r="E66" s="148"/>
      <c r="F66" s="148"/>
      <c r="G66" s="148"/>
      <c r="H66" s="147"/>
      <c r="I66" s="146"/>
      <c r="J66" s="149"/>
      <c r="K66" s="148"/>
      <c r="L66" s="148"/>
      <c r="M66" s="148"/>
      <c r="N66" s="148"/>
      <c r="O66" s="147"/>
      <c r="P66" s="146"/>
      <c r="Q66" s="149"/>
      <c r="R66" s="148"/>
      <c r="S66" s="148"/>
      <c r="T66" s="148"/>
      <c r="U66" s="148"/>
      <c r="V66" s="147"/>
      <c r="W66" s="146"/>
      <c r="X66" s="149"/>
      <c r="Y66" s="148"/>
      <c r="Z66" s="148"/>
      <c r="AA66" s="148"/>
      <c r="AB66" s="148"/>
      <c r="AC66" s="147"/>
      <c r="AD66" s="146"/>
      <c r="AE66" s="149"/>
      <c r="AF66" s="148"/>
      <c r="AG66" s="148"/>
      <c r="AH66" s="148"/>
      <c r="AI66" s="148"/>
      <c r="AJ66" s="147"/>
      <c r="AK66" s="146"/>
      <c r="AL66" s="148"/>
      <c r="AM66" s="148"/>
      <c r="AN66" s="148"/>
      <c r="AO66" s="148"/>
      <c r="AP66" s="148"/>
      <c r="AQ66" s="147"/>
      <c r="AR66" s="146"/>
      <c r="AS66" s="148"/>
      <c r="AT66" s="148"/>
      <c r="AU66" s="148"/>
      <c r="AV66" s="148"/>
      <c r="AW66" s="148"/>
      <c r="AX66" s="147"/>
      <c r="AY66" s="146"/>
      <c r="AZ66" s="235"/>
      <c r="BA66" s="198"/>
      <c r="BB66" s="155"/>
      <c r="BC66" s="155"/>
      <c r="BD66" s="199"/>
      <c r="BF66" s="155"/>
      <c r="BG66" s="266"/>
      <c r="BH66" s="266"/>
      <c r="BI66" s="266"/>
      <c r="BJ66" s="266"/>
    </row>
    <row r="67" spans="2:62" ht="8.1" customHeight="1" x14ac:dyDescent="0.25">
      <c r="B67" s="234"/>
      <c r="C67" s="154"/>
      <c r="D67" s="153"/>
      <c r="E67" s="153"/>
      <c r="F67" s="153"/>
      <c r="G67" s="153"/>
      <c r="H67" s="152"/>
      <c r="I67" s="151"/>
      <c r="K67" s="153"/>
      <c r="L67" s="153"/>
      <c r="M67" s="153"/>
      <c r="N67" s="153"/>
      <c r="O67" s="152"/>
      <c r="P67" s="151"/>
      <c r="R67" s="153"/>
      <c r="S67" s="153"/>
      <c r="T67" s="153"/>
      <c r="U67" s="153"/>
      <c r="V67" s="152"/>
      <c r="W67" s="151"/>
      <c r="Y67" s="153"/>
      <c r="Z67" s="153"/>
      <c r="AA67" s="153"/>
      <c r="AB67" s="153"/>
      <c r="AC67" s="152"/>
      <c r="AD67" s="151"/>
      <c r="AF67" s="153"/>
      <c r="AG67" s="153"/>
      <c r="AH67" s="153"/>
      <c r="AI67" s="153"/>
      <c r="AJ67" s="152"/>
      <c r="AK67" s="151"/>
      <c r="AL67" s="153"/>
      <c r="AM67" s="153"/>
      <c r="AN67" s="153"/>
      <c r="AO67" s="153"/>
      <c r="AP67" s="153"/>
      <c r="AQ67" s="152"/>
      <c r="AR67" s="151"/>
      <c r="AS67" s="153"/>
      <c r="AT67" s="153"/>
      <c r="AU67" s="153"/>
      <c r="AV67" s="153"/>
      <c r="AW67" s="153"/>
      <c r="AX67" s="152"/>
      <c r="AY67" s="151"/>
      <c r="AZ67" s="234"/>
      <c r="BA67" s="198"/>
      <c r="BB67" s="155"/>
      <c r="BC67" s="155"/>
      <c r="BD67" s="199"/>
      <c r="BE67" s="156"/>
      <c r="BF67" s="155"/>
      <c r="BG67" s="155"/>
      <c r="BH67" s="155"/>
      <c r="BI67" s="155"/>
    </row>
    <row r="68" spans="2:62" ht="8.1" customHeight="1" x14ac:dyDescent="0.25">
      <c r="B68" s="235"/>
      <c r="C68" s="150"/>
      <c r="D68" s="148"/>
      <c r="E68" s="148"/>
      <c r="F68" s="148"/>
      <c r="G68" s="148"/>
      <c r="H68" s="147"/>
      <c r="I68" s="146"/>
      <c r="J68" s="149"/>
      <c r="K68" s="148"/>
      <c r="L68" s="148"/>
      <c r="M68" s="148"/>
      <c r="N68" s="148"/>
      <c r="O68" s="147"/>
      <c r="P68" s="146"/>
      <c r="Q68" s="149"/>
      <c r="R68" s="148"/>
      <c r="S68" s="148"/>
      <c r="T68" s="148"/>
      <c r="U68" s="148"/>
      <c r="V68" s="147"/>
      <c r="W68" s="146"/>
      <c r="X68" s="149"/>
      <c r="Y68" s="148"/>
      <c r="Z68" s="148"/>
      <c r="AA68" s="148"/>
      <c r="AB68" s="148"/>
      <c r="AC68" s="147"/>
      <c r="AD68" s="146"/>
      <c r="AE68" s="149"/>
      <c r="AF68" s="148"/>
      <c r="AG68" s="148"/>
      <c r="AH68" s="148"/>
      <c r="AI68" s="148"/>
      <c r="AJ68" s="147"/>
      <c r="AK68" s="146"/>
      <c r="AL68" s="148"/>
      <c r="AM68" s="148"/>
      <c r="AN68" s="148"/>
      <c r="AO68" s="148"/>
      <c r="AP68" s="148"/>
      <c r="AQ68" s="147"/>
      <c r="AR68" s="146"/>
      <c r="AS68" s="148"/>
      <c r="AT68" s="148"/>
      <c r="AU68" s="148"/>
      <c r="AV68" s="148"/>
      <c r="AW68" s="148"/>
      <c r="AX68" s="147"/>
      <c r="AY68" s="146"/>
      <c r="AZ68" s="235"/>
      <c r="BA68" s="200"/>
      <c r="BB68" s="201"/>
      <c r="BC68" s="201"/>
      <c r="BD68" s="202"/>
      <c r="BF68" s="155"/>
      <c r="BG68" s="155"/>
      <c r="BH68" s="155"/>
      <c r="BI68" s="155"/>
    </row>
    <row r="69" spans="2:62" ht="8.1" customHeight="1" x14ac:dyDescent="0.25">
      <c r="B69" s="234" t="s">
        <v>159</v>
      </c>
      <c r="C69" s="154"/>
      <c r="D69" s="153"/>
      <c r="E69" s="153"/>
      <c r="F69" s="153"/>
      <c r="G69" s="153"/>
      <c r="H69" s="152"/>
      <c r="I69" s="151"/>
      <c r="K69" s="153"/>
      <c r="L69" s="153"/>
      <c r="M69" s="153"/>
      <c r="N69" s="153"/>
      <c r="O69" s="152"/>
      <c r="P69" s="151"/>
      <c r="R69" s="153"/>
      <c r="S69" s="153"/>
      <c r="T69" s="153"/>
      <c r="U69" s="153"/>
      <c r="V69" s="152"/>
      <c r="W69" s="151"/>
      <c r="Y69" s="153"/>
      <c r="Z69" s="153"/>
      <c r="AA69" s="153"/>
      <c r="AB69" s="153"/>
      <c r="AC69" s="152"/>
      <c r="AD69" s="151"/>
      <c r="AF69" s="153"/>
      <c r="AG69" s="153"/>
      <c r="AH69" s="153"/>
      <c r="AI69" s="153"/>
      <c r="AJ69" s="152"/>
      <c r="AK69" s="151"/>
      <c r="AL69" s="153"/>
      <c r="AM69" s="153"/>
      <c r="AN69" s="153"/>
      <c r="AO69" s="153"/>
      <c r="AP69" s="153"/>
      <c r="AQ69" s="152"/>
      <c r="AR69" s="151"/>
      <c r="AS69" s="153"/>
      <c r="AT69" s="153"/>
      <c r="AU69" s="153"/>
      <c r="AV69" s="153"/>
      <c r="AW69" s="153"/>
      <c r="AX69" s="152"/>
      <c r="AY69" s="151"/>
      <c r="AZ69" s="234" t="s">
        <v>159</v>
      </c>
      <c r="BA69" s="138"/>
      <c r="BB69" s="137"/>
      <c r="BC69" s="137"/>
      <c r="BD69" s="136"/>
      <c r="BF69" s="155"/>
      <c r="BG69" s="155"/>
      <c r="BH69" s="155"/>
      <c r="BI69" s="155"/>
    </row>
    <row r="70" spans="2:62" ht="8.1" customHeight="1" x14ac:dyDescent="0.25">
      <c r="B70" s="235"/>
      <c r="C70" s="150"/>
      <c r="D70" s="148"/>
      <c r="E70" s="148"/>
      <c r="F70" s="148"/>
      <c r="G70" s="148"/>
      <c r="H70" s="147"/>
      <c r="I70" s="146"/>
      <c r="J70" s="149"/>
      <c r="K70" s="148"/>
      <c r="L70" s="148"/>
      <c r="M70" s="148"/>
      <c r="N70" s="148"/>
      <c r="O70" s="147"/>
      <c r="P70" s="146"/>
      <c r="Q70" s="149"/>
      <c r="R70" s="148"/>
      <c r="S70" s="148"/>
      <c r="T70" s="148"/>
      <c r="U70" s="148"/>
      <c r="V70" s="147"/>
      <c r="W70" s="146"/>
      <c r="X70" s="149"/>
      <c r="Y70" s="148"/>
      <c r="Z70" s="148"/>
      <c r="AA70" s="148"/>
      <c r="AB70" s="148"/>
      <c r="AC70" s="147"/>
      <c r="AD70" s="146"/>
      <c r="AE70" s="149"/>
      <c r="AF70" s="148"/>
      <c r="AG70" s="148"/>
      <c r="AH70" s="148"/>
      <c r="AI70" s="148"/>
      <c r="AJ70" s="147"/>
      <c r="AK70" s="146"/>
      <c r="AL70" s="148"/>
      <c r="AM70" s="148"/>
      <c r="AN70" s="148"/>
      <c r="AO70" s="148"/>
      <c r="AP70" s="148"/>
      <c r="AQ70" s="147"/>
      <c r="AR70" s="146"/>
      <c r="AS70" s="148"/>
      <c r="AT70" s="148"/>
      <c r="AU70" s="148"/>
      <c r="AV70" s="148"/>
      <c r="AW70" s="148"/>
      <c r="AX70" s="147"/>
      <c r="AY70" s="146"/>
      <c r="AZ70" s="235"/>
      <c r="BA70" s="138"/>
      <c r="BB70" s="267" t="s">
        <v>3</v>
      </c>
      <c r="BC70" s="267"/>
      <c r="BD70" s="136"/>
      <c r="BF70" s="155"/>
      <c r="BG70" s="155"/>
      <c r="BH70" s="155"/>
      <c r="BI70" s="155"/>
    </row>
    <row r="71" spans="2:62" ht="8.1" customHeight="1" x14ac:dyDescent="0.25">
      <c r="B71" s="234"/>
      <c r="C71" s="154"/>
      <c r="D71" s="153"/>
      <c r="E71" s="153"/>
      <c r="F71" s="153"/>
      <c r="G71" s="153"/>
      <c r="H71" s="152"/>
      <c r="I71" s="151"/>
      <c r="K71" s="153"/>
      <c r="L71" s="153"/>
      <c r="M71" s="153"/>
      <c r="N71" s="153"/>
      <c r="O71" s="152"/>
      <c r="P71" s="151"/>
      <c r="R71" s="153"/>
      <c r="S71" s="153"/>
      <c r="T71" s="153"/>
      <c r="U71" s="153"/>
      <c r="V71" s="152"/>
      <c r="W71" s="151"/>
      <c r="Y71" s="153"/>
      <c r="Z71" s="153"/>
      <c r="AA71" s="153"/>
      <c r="AB71" s="153"/>
      <c r="AC71" s="152"/>
      <c r="AD71" s="151"/>
      <c r="AF71" s="153"/>
      <c r="AG71" s="153"/>
      <c r="AH71" s="153"/>
      <c r="AI71" s="153"/>
      <c r="AJ71" s="152"/>
      <c r="AK71" s="151"/>
      <c r="AL71" s="153"/>
      <c r="AM71" s="153"/>
      <c r="AN71" s="153"/>
      <c r="AO71" s="153"/>
      <c r="AP71" s="153"/>
      <c r="AQ71" s="152"/>
      <c r="AR71" s="151"/>
      <c r="AS71" s="153"/>
      <c r="AT71" s="153"/>
      <c r="AU71" s="153"/>
      <c r="AV71" s="153"/>
      <c r="AW71" s="153"/>
      <c r="AX71" s="152"/>
      <c r="AY71" s="151"/>
      <c r="AZ71" s="234"/>
      <c r="BA71" s="138"/>
      <c r="BB71" s="267"/>
      <c r="BC71" s="267"/>
      <c r="BD71" s="136"/>
      <c r="BF71" s="155"/>
      <c r="BG71" s="155"/>
      <c r="BH71" s="155"/>
      <c r="BI71" s="155"/>
    </row>
    <row r="72" spans="2:62" ht="8.1" customHeight="1" x14ac:dyDescent="0.25">
      <c r="B72" s="235"/>
      <c r="C72" s="150"/>
      <c r="D72" s="148"/>
      <c r="E72" s="148"/>
      <c r="F72" s="148"/>
      <c r="G72" s="148"/>
      <c r="H72" s="147"/>
      <c r="I72" s="146"/>
      <c r="J72" s="149"/>
      <c r="K72" s="148"/>
      <c r="L72" s="148"/>
      <c r="M72" s="148"/>
      <c r="N72" s="148"/>
      <c r="O72" s="147"/>
      <c r="P72" s="146"/>
      <c r="Q72" s="149"/>
      <c r="R72" s="148"/>
      <c r="S72" s="148"/>
      <c r="T72" s="148"/>
      <c r="U72" s="148"/>
      <c r="V72" s="147"/>
      <c r="W72" s="146"/>
      <c r="X72" s="149"/>
      <c r="Y72" s="148"/>
      <c r="Z72" s="148"/>
      <c r="AA72" s="148"/>
      <c r="AB72" s="148"/>
      <c r="AC72" s="147"/>
      <c r="AD72" s="146"/>
      <c r="AE72" s="149"/>
      <c r="AF72" s="148"/>
      <c r="AG72" s="148"/>
      <c r="AH72" s="148"/>
      <c r="AI72" s="148"/>
      <c r="AJ72" s="147"/>
      <c r="AK72" s="146"/>
      <c r="AL72" s="148"/>
      <c r="AM72" s="148"/>
      <c r="AN72" s="148"/>
      <c r="AO72" s="148"/>
      <c r="AP72" s="148"/>
      <c r="AQ72" s="147"/>
      <c r="AR72" s="146"/>
      <c r="AS72" s="148"/>
      <c r="AT72" s="148"/>
      <c r="AU72" s="148"/>
      <c r="AV72" s="148"/>
      <c r="AW72" s="148"/>
      <c r="AX72" s="147"/>
      <c r="AY72" s="146"/>
      <c r="AZ72" s="235"/>
      <c r="BA72" s="138"/>
      <c r="BB72" s="233" t="e" vm="1">
        <v>#VALUE!</v>
      </c>
      <c r="BC72" s="233"/>
      <c r="BD72" s="136"/>
      <c r="BF72" s="155"/>
      <c r="BG72" s="155"/>
      <c r="BH72" s="155"/>
      <c r="BI72" s="155"/>
    </row>
    <row r="73" spans="2:62" ht="8.1" customHeight="1" x14ac:dyDescent="0.25">
      <c r="B73" s="234" t="s">
        <v>160</v>
      </c>
      <c r="C73" s="154"/>
      <c r="D73" s="153"/>
      <c r="E73" s="153"/>
      <c r="F73" s="153"/>
      <c r="G73" s="153"/>
      <c r="H73" s="152"/>
      <c r="I73" s="151"/>
      <c r="K73" s="153"/>
      <c r="L73" s="153"/>
      <c r="M73" s="153"/>
      <c r="N73" s="153"/>
      <c r="O73" s="152"/>
      <c r="P73" s="151"/>
      <c r="R73" s="153"/>
      <c r="S73" s="153"/>
      <c r="T73" s="153"/>
      <c r="U73" s="153"/>
      <c r="V73" s="152"/>
      <c r="W73" s="151"/>
      <c r="Y73" s="153"/>
      <c r="Z73" s="153"/>
      <c r="AA73" s="153"/>
      <c r="AB73" s="153"/>
      <c r="AC73" s="152"/>
      <c r="AD73" s="151"/>
      <c r="AF73" s="153"/>
      <c r="AG73" s="153"/>
      <c r="AH73" s="153"/>
      <c r="AI73" s="153"/>
      <c r="AJ73" s="152"/>
      <c r="AK73" s="151"/>
      <c r="AL73" s="153"/>
      <c r="AM73" s="153"/>
      <c r="AN73" s="153"/>
      <c r="AO73" s="153"/>
      <c r="AP73" s="153"/>
      <c r="AQ73" s="152"/>
      <c r="AR73" s="151"/>
      <c r="AS73" s="153"/>
      <c r="AT73" s="153"/>
      <c r="AU73" s="153"/>
      <c r="AV73" s="153"/>
      <c r="AW73" s="153"/>
      <c r="AX73" s="152"/>
      <c r="AY73" s="151"/>
      <c r="AZ73" s="234" t="s">
        <v>160</v>
      </c>
      <c r="BA73" s="138"/>
      <c r="BB73" s="233"/>
      <c r="BC73" s="233"/>
      <c r="BD73" s="136"/>
    </row>
    <row r="74" spans="2:62" ht="8.1" customHeight="1" x14ac:dyDescent="0.25">
      <c r="B74" s="235"/>
      <c r="C74" s="150"/>
      <c r="D74" s="148"/>
      <c r="E74" s="148"/>
      <c r="F74" s="148"/>
      <c r="G74" s="148"/>
      <c r="H74" s="147"/>
      <c r="I74" s="146"/>
      <c r="J74" s="149"/>
      <c r="K74" s="148"/>
      <c r="L74" s="148"/>
      <c r="M74" s="148"/>
      <c r="N74" s="148"/>
      <c r="O74" s="147"/>
      <c r="P74" s="146"/>
      <c r="Q74" s="149"/>
      <c r="R74" s="148"/>
      <c r="S74" s="148"/>
      <c r="T74" s="148"/>
      <c r="U74" s="148"/>
      <c r="V74" s="147"/>
      <c r="W74" s="146"/>
      <c r="X74" s="149"/>
      <c r="Y74" s="148"/>
      <c r="Z74" s="148"/>
      <c r="AA74" s="148"/>
      <c r="AB74" s="148"/>
      <c r="AC74" s="147"/>
      <c r="AD74" s="146"/>
      <c r="AE74" s="149"/>
      <c r="AF74" s="148"/>
      <c r="AG74" s="148"/>
      <c r="AH74" s="148"/>
      <c r="AI74" s="148"/>
      <c r="AJ74" s="147"/>
      <c r="AK74" s="146"/>
      <c r="AL74" s="148"/>
      <c r="AM74" s="148"/>
      <c r="AN74" s="148"/>
      <c r="AO74" s="148"/>
      <c r="AP74" s="148"/>
      <c r="AQ74" s="147"/>
      <c r="AR74" s="146"/>
      <c r="AS74" s="148"/>
      <c r="AT74" s="148"/>
      <c r="AU74" s="148"/>
      <c r="AV74" s="148"/>
      <c r="AW74" s="148"/>
      <c r="AX74" s="147"/>
      <c r="AY74" s="146"/>
      <c r="AZ74" s="235"/>
      <c r="BA74" s="138"/>
      <c r="BB74" s="233"/>
      <c r="BC74" s="233"/>
      <c r="BD74" s="136"/>
    </row>
    <row r="75" spans="2:62" ht="8.1" customHeight="1" x14ac:dyDescent="0.25">
      <c r="B75" s="234"/>
      <c r="C75" s="154"/>
      <c r="D75" s="153"/>
      <c r="E75" s="153"/>
      <c r="F75" s="153"/>
      <c r="G75" s="153"/>
      <c r="H75" s="152"/>
      <c r="I75" s="151"/>
      <c r="K75" s="153"/>
      <c r="L75" s="153"/>
      <c r="M75" s="153"/>
      <c r="N75" s="153"/>
      <c r="O75" s="152"/>
      <c r="P75" s="151"/>
      <c r="R75" s="153"/>
      <c r="S75" s="153"/>
      <c r="T75" s="153"/>
      <c r="U75" s="153"/>
      <c r="V75" s="152"/>
      <c r="W75" s="151"/>
      <c r="Y75" s="153"/>
      <c r="Z75" s="153"/>
      <c r="AA75" s="153"/>
      <c r="AB75" s="153"/>
      <c r="AC75" s="152"/>
      <c r="AD75" s="151"/>
      <c r="AF75" s="153"/>
      <c r="AG75" s="153"/>
      <c r="AH75" s="153"/>
      <c r="AI75" s="153"/>
      <c r="AJ75" s="152"/>
      <c r="AK75" s="151"/>
      <c r="AL75" s="153"/>
      <c r="AM75" s="153"/>
      <c r="AN75" s="153"/>
      <c r="AO75" s="153"/>
      <c r="AP75" s="153"/>
      <c r="AQ75" s="152"/>
      <c r="AR75" s="151"/>
      <c r="AS75" s="153"/>
      <c r="AT75" s="153"/>
      <c r="AU75" s="153"/>
      <c r="AV75" s="153"/>
      <c r="AW75" s="153"/>
      <c r="AX75" s="152"/>
      <c r="AY75" s="151"/>
      <c r="AZ75" s="234"/>
      <c r="BA75" s="138"/>
      <c r="BB75" s="233"/>
      <c r="BC75" s="233"/>
      <c r="BD75" s="136"/>
    </row>
    <row r="76" spans="2:62" ht="8.1" customHeight="1" x14ac:dyDescent="0.25">
      <c r="B76" s="235"/>
      <c r="C76" s="150"/>
      <c r="D76" s="148"/>
      <c r="E76" s="148"/>
      <c r="F76" s="148"/>
      <c r="G76" s="148"/>
      <c r="H76" s="147"/>
      <c r="I76" s="146"/>
      <c r="J76" s="149"/>
      <c r="K76" s="148"/>
      <c r="L76" s="148"/>
      <c r="M76" s="148"/>
      <c r="N76" s="148"/>
      <c r="O76" s="147"/>
      <c r="P76" s="146"/>
      <c r="Q76" s="149"/>
      <c r="R76" s="148"/>
      <c r="S76" s="148"/>
      <c r="T76" s="148"/>
      <c r="U76" s="148"/>
      <c r="V76" s="147"/>
      <c r="W76" s="146"/>
      <c r="X76" s="149"/>
      <c r="Y76" s="148"/>
      <c r="Z76" s="148"/>
      <c r="AA76" s="148"/>
      <c r="AB76" s="148"/>
      <c r="AC76" s="147"/>
      <c r="AD76" s="146"/>
      <c r="AE76" s="149"/>
      <c r="AF76" s="148"/>
      <c r="AG76" s="148"/>
      <c r="AH76" s="148"/>
      <c r="AI76" s="148"/>
      <c r="AJ76" s="147"/>
      <c r="AK76" s="146"/>
      <c r="AL76" s="148"/>
      <c r="AM76" s="148"/>
      <c r="AN76" s="148"/>
      <c r="AO76" s="148"/>
      <c r="AP76" s="148"/>
      <c r="AQ76" s="147"/>
      <c r="AR76" s="146"/>
      <c r="AS76" s="148"/>
      <c r="AT76" s="148"/>
      <c r="AU76" s="148"/>
      <c r="AV76" s="148"/>
      <c r="AW76" s="148"/>
      <c r="AX76" s="147"/>
      <c r="AY76" s="146"/>
      <c r="AZ76" s="235"/>
      <c r="BA76" s="138"/>
      <c r="BB76" s="233"/>
      <c r="BC76" s="233"/>
      <c r="BD76" s="136"/>
    </row>
    <row r="77" spans="2:62" ht="8.1" customHeight="1" x14ac:dyDescent="0.25">
      <c r="B77" s="234" t="s">
        <v>161</v>
      </c>
      <c r="C77" s="154"/>
      <c r="D77" s="153"/>
      <c r="E77" s="153"/>
      <c r="F77" s="153"/>
      <c r="G77" s="153"/>
      <c r="H77" s="152"/>
      <c r="I77" s="151"/>
      <c r="K77" s="153"/>
      <c r="L77" s="153"/>
      <c r="M77" s="153"/>
      <c r="N77" s="153"/>
      <c r="O77" s="152"/>
      <c r="P77" s="151"/>
      <c r="R77" s="153"/>
      <c r="S77" s="153"/>
      <c r="T77" s="153"/>
      <c r="U77" s="153"/>
      <c r="V77" s="152"/>
      <c r="W77" s="151"/>
      <c r="Y77" s="153"/>
      <c r="Z77" s="153"/>
      <c r="AA77" s="153"/>
      <c r="AB77" s="153"/>
      <c r="AC77" s="152"/>
      <c r="AD77" s="151"/>
      <c r="AF77" s="153"/>
      <c r="AG77" s="153"/>
      <c r="AH77" s="153"/>
      <c r="AI77" s="153"/>
      <c r="AJ77" s="152"/>
      <c r="AK77" s="151"/>
      <c r="AL77" s="153"/>
      <c r="AM77" s="153"/>
      <c r="AN77" s="153"/>
      <c r="AO77" s="153"/>
      <c r="AP77" s="153"/>
      <c r="AQ77" s="152"/>
      <c r="AR77" s="151"/>
      <c r="AS77" s="153"/>
      <c r="AT77" s="153"/>
      <c r="AU77" s="153"/>
      <c r="AV77" s="153"/>
      <c r="AW77" s="153"/>
      <c r="AX77" s="152"/>
      <c r="AY77" s="151"/>
      <c r="AZ77" s="234" t="s">
        <v>161</v>
      </c>
      <c r="BA77" s="138"/>
      <c r="BB77" s="233"/>
      <c r="BC77" s="233"/>
      <c r="BD77" s="136"/>
    </row>
    <row r="78" spans="2:62" ht="8.1" customHeight="1" x14ac:dyDescent="0.25">
      <c r="B78" s="235"/>
      <c r="C78" s="150"/>
      <c r="D78" s="148"/>
      <c r="E78" s="148"/>
      <c r="F78" s="148"/>
      <c r="G78" s="148"/>
      <c r="H78" s="147"/>
      <c r="I78" s="146"/>
      <c r="J78" s="149"/>
      <c r="K78" s="148"/>
      <c r="L78" s="148"/>
      <c r="M78" s="148"/>
      <c r="N78" s="148"/>
      <c r="O78" s="147"/>
      <c r="P78" s="146"/>
      <c r="Q78" s="149"/>
      <c r="R78" s="148"/>
      <c r="S78" s="148"/>
      <c r="T78" s="148"/>
      <c r="U78" s="148"/>
      <c r="V78" s="147"/>
      <c r="W78" s="146"/>
      <c r="X78" s="149"/>
      <c r="Y78" s="148"/>
      <c r="Z78" s="148"/>
      <c r="AA78" s="148"/>
      <c r="AB78" s="148"/>
      <c r="AC78" s="147"/>
      <c r="AD78" s="146"/>
      <c r="AE78" s="149"/>
      <c r="AF78" s="148"/>
      <c r="AG78" s="148"/>
      <c r="AH78" s="148"/>
      <c r="AI78" s="148"/>
      <c r="AJ78" s="147"/>
      <c r="AK78" s="146"/>
      <c r="AL78" s="148"/>
      <c r="AM78" s="148"/>
      <c r="AN78" s="148"/>
      <c r="AO78" s="148"/>
      <c r="AP78" s="148"/>
      <c r="AQ78" s="147"/>
      <c r="AR78" s="146"/>
      <c r="AS78" s="148"/>
      <c r="AT78" s="148"/>
      <c r="AU78" s="148"/>
      <c r="AV78" s="148"/>
      <c r="AW78" s="148"/>
      <c r="AX78" s="147"/>
      <c r="AY78" s="146"/>
      <c r="AZ78" s="235"/>
      <c r="BA78" s="138"/>
      <c r="BB78" s="233"/>
      <c r="BC78" s="233"/>
      <c r="BD78" s="136"/>
    </row>
    <row r="79" spans="2:62" ht="8.1" customHeight="1" x14ac:dyDescent="0.25">
      <c r="B79" s="234"/>
      <c r="C79" s="154"/>
      <c r="D79" s="153"/>
      <c r="E79" s="153"/>
      <c r="F79" s="153"/>
      <c r="G79" s="153"/>
      <c r="H79" s="152"/>
      <c r="I79" s="151"/>
      <c r="K79" s="153"/>
      <c r="L79" s="153"/>
      <c r="M79" s="153"/>
      <c r="N79" s="153"/>
      <c r="O79" s="152"/>
      <c r="P79" s="151"/>
      <c r="R79" s="153"/>
      <c r="S79" s="153"/>
      <c r="T79" s="153"/>
      <c r="U79" s="153"/>
      <c r="V79" s="152"/>
      <c r="W79" s="151"/>
      <c r="Y79" s="153"/>
      <c r="Z79" s="153"/>
      <c r="AA79" s="153"/>
      <c r="AB79" s="153"/>
      <c r="AC79" s="152"/>
      <c r="AD79" s="151"/>
      <c r="AF79" s="153"/>
      <c r="AG79" s="153"/>
      <c r="AH79" s="153"/>
      <c r="AI79" s="153"/>
      <c r="AJ79" s="152"/>
      <c r="AK79" s="151"/>
      <c r="AL79" s="153"/>
      <c r="AM79" s="153"/>
      <c r="AN79" s="153"/>
      <c r="AO79" s="153"/>
      <c r="AP79" s="153"/>
      <c r="AQ79" s="152"/>
      <c r="AR79" s="151"/>
      <c r="AS79" s="153"/>
      <c r="AT79" s="153"/>
      <c r="AU79" s="153"/>
      <c r="AV79" s="153"/>
      <c r="AW79" s="153"/>
      <c r="AX79" s="152"/>
      <c r="AY79" s="151"/>
      <c r="AZ79" s="234"/>
      <c r="BA79" s="138"/>
      <c r="BB79" s="233"/>
      <c r="BC79" s="233"/>
      <c r="BD79" s="136"/>
    </row>
    <row r="80" spans="2:62" ht="8.1" customHeight="1" x14ac:dyDescent="0.25">
      <c r="B80" s="235"/>
      <c r="C80" s="150"/>
      <c r="D80" s="148"/>
      <c r="E80" s="148"/>
      <c r="F80" s="148"/>
      <c r="G80" s="148"/>
      <c r="H80" s="147"/>
      <c r="I80" s="146"/>
      <c r="J80" s="149"/>
      <c r="K80" s="148"/>
      <c r="L80" s="148"/>
      <c r="M80" s="148"/>
      <c r="N80" s="148"/>
      <c r="O80" s="147"/>
      <c r="P80" s="146"/>
      <c r="Q80" s="149"/>
      <c r="R80" s="148"/>
      <c r="S80" s="148"/>
      <c r="T80" s="148"/>
      <c r="U80" s="148"/>
      <c r="V80" s="147"/>
      <c r="W80" s="146"/>
      <c r="X80" s="149"/>
      <c r="Y80" s="148"/>
      <c r="Z80" s="148"/>
      <c r="AA80" s="148"/>
      <c r="AB80" s="148"/>
      <c r="AC80" s="147"/>
      <c r="AD80" s="146"/>
      <c r="AE80" s="149"/>
      <c r="AF80" s="148"/>
      <c r="AG80" s="148"/>
      <c r="AH80" s="148"/>
      <c r="AI80" s="148"/>
      <c r="AJ80" s="147"/>
      <c r="AK80" s="146"/>
      <c r="AL80" s="148"/>
      <c r="AM80" s="148"/>
      <c r="AN80" s="148"/>
      <c r="AO80" s="148"/>
      <c r="AP80" s="148"/>
      <c r="AQ80" s="147"/>
      <c r="AR80" s="146"/>
      <c r="AS80" s="148"/>
      <c r="AT80" s="148"/>
      <c r="AU80" s="148"/>
      <c r="AV80" s="148"/>
      <c r="AW80" s="148"/>
      <c r="AX80" s="147"/>
      <c r="AY80" s="146"/>
      <c r="AZ80" s="235"/>
      <c r="BA80" s="138"/>
      <c r="BB80" s="266" t="s">
        <v>162</v>
      </c>
      <c r="BC80" s="266"/>
      <c r="BD80" s="136"/>
    </row>
    <row r="81" spans="2:56" ht="8.1" customHeight="1" x14ac:dyDescent="0.25">
      <c r="B81" s="234" t="s">
        <v>163</v>
      </c>
      <c r="C81" s="154"/>
      <c r="D81" s="153"/>
      <c r="E81" s="153"/>
      <c r="F81" s="153"/>
      <c r="G81" s="153"/>
      <c r="H81" s="152"/>
      <c r="I81" s="151"/>
      <c r="K81" s="153"/>
      <c r="L81" s="153"/>
      <c r="M81" s="153"/>
      <c r="N81" s="153"/>
      <c r="O81" s="152"/>
      <c r="P81" s="151"/>
      <c r="R81" s="153"/>
      <c r="S81" s="153"/>
      <c r="T81" s="153"/>
      <c r="U81" s="153"/>
      <c r="V81" s="152"/>
      <c r="W81" s="151"/>
      <c r="Y81" s="153"/>
      <c r="Z81" s="153"/>
      <c r="AA81" s="153"/>
      <c r="AB81" s="153"/>
      <c r="AC81" s="152"/>
      <c r="AD81" s="151"/>
      <c r="AF81" s="153"/>
      <c r="AG81" s="153"/>
      <c r="AH81" s="153"/>
      <c r="AI81" s="153"/>
      <c r="AJ81" s="152"/>
      <c r="AK81" s="151"/>
      <c r="AL81" s="153"/>
      <c r="AM81" s="153"/>
      <c r="AN81" s="153"/>
      <c r="AO81" s="153"/>
      <c r="AP81" s="153"/>
      <c r="AQ81" s="152"/>
      <c r="AR81" s="151"/>
      <c r="AS81" s="153"/>
      <c r="AT81" s="153"/>
      <c r="AU81" s="153"/>
      <c r="AV81" s="153"/>
      <c r="AW81" s="153"/>
      <c r="AX81" s="152"/>
      <c r="AY81" s="151"/>
      <c r="AZ81" s="234" t="s">
        <v>163</v>
      </c>
      <c r="BA81" s="138"/>
      <c r="BB81" s="266"/>
      <c r="BC81" s="266"/>
      <c r="BD81" s="136"/>
    </row>
    <row r="82" spans="2:56" ht="8.1" customHeight="1" x14ac:dyDescent="0.25">
      <c r="B82" s="234"/>
      <c r="C82" s="150"/>
      <c r="D82" s="148"/>
      <c r="E82" s="148"/>
      <c r="F82" s="148"/>
      <c r="G82" s="148"/>
      <c r="H82" s="147"/>
      <c r="I82" s="146"/>
      <c r="J82" s="149"/>
      <c r="K82" s="148"/>
      <c r="L82" s="148"/>
      <c r="M82" s="148"/>
      <c r="N82" s="148"/>
      <c r="O82" s="147"/>
      <c r="P82" s="146"/>
      <c r="Q82" s="149"/>
      <c r="R82" s="148"/>
      <c r="S82" s="148"/>
      <c r="T82" s="148"/>
      <c r="U82" s="148"/>
      <c r="V82" s="147"/>
      <c r="W82" s="146"/>
      <c r="X82" s="149"/>
      <c r="Y82" s="148"/>
      <c r="Z82" s="148"/>
      <c r="AA82" s="148"/>
      <c r="AB82" s="148"/>
      <c r="AC82" s="147"/>
      <c r="AD82" s="146"/>
      <c r="AE82" s="149"/>
      <c r="AF82" s="148"/>
      <c r="AG82" s="148"/>
      <c r="AH82" s="148"/>
      <c r="AI82" s="148"/>
      <c r="AJ82" s="147"/>
      <c r="AK82" s="146"/>
      <c r="AL82" s="148"/>
      <c r="AM82" s="148"/>
      <c r="AN82" s="148"/>
      <c r="AO82" s="148"/>
      <c r="AP82" s="148"/>
      <c r="AQ82" s="147"/>
      <c r="AR82" s="146"/>
      <c r="AS82" s="148"/>
      <c r="AT82" s="148"/>
      <c r="AU82" s="148"/>
      <c r="AV82" s="148"/>
      <c r="AW82" s="148"/>
      <c r="AX82" s="147"/>
      <c r="AY82" s="146"/>
      <c r="AZ82" s="234"/>
      <c r="BA82" s="138"/>
      <c r="BB82" s="266"/>
      <c r="BC82" s="266"/>
      <c r="BD82" s="136"/>
    </row>
    <row r="83" spans="2:56" ht="8.1" customHeight="1" x14ac:dyDescent="0.25">
      <c r="B83" s="145"/>
      <c r="C83" s="144"/>
      <c r="D83" s="142"/>
      <c r="E83" s="142"/>
      <c r="F83" s="142"/>
      <c r="G83" s="142"/>
      <c r="H83" s="141"/>
      <c r="I83" s="140"/>
      <c r="J83" s="143"/>
      <c r="K83" s="142"/>
      <c r="L83" s="142"/>
      <c r="M83" s="142"/>
      <c r="N83" s="142"/>
      <c r="O83" s="141"/>
      <c r="P83" s="140"/>
      <c r="Q83" s="143"/>
      <c r="R83" s="142"/>
      <c r="S83" s="142"/>
      <c r="T83" s="142"/>
      <c r="U83" s="142"/>
      <c r="V83" s="141"/>
      <c r="W83" s="140"/>
      <c r="X83" s="143"/>
      <c r="Y83" s="142"/>
      <c r="Z83" s="142"/>
      <c r="AA83" s="142"/>
      <c r="AB83" s="142"/>
      <c r="AC83" s="141"/>
      <c r="AD83" s="140"/>
      <c r="AE83" s="143"/>
      <c r="AF83" s="142"/>
      <c r="AG83" s="142"/>
      <c r="AH83" s="142"/>
      <c r="AI83" s="142"/>
      <c r="AJ83" s="141"/>
      <c r="AK83" s="140"/>
      <c r="AL83" s="142"/>
      <c r="AM83" s="142"/>
      <c r="AN83" s="142"/>
      <c r="AO83" s="142"/>
      <c r="AP83" s="142"/>
      <c r="AQ83" s="141"/>
      <c r="AR83" s="140"/>
      <c r="AS83" s="142"/>
      <c r="AT83" s="142"/>
      <c r="AU83" s="142"/>
      <c r="AV83" s="142"/>
      <c r="AW83" s="142"/>
      <c r="AX83" s="141"/>
      <c r="AY83" s="140"/>
      <c r="AZ83" s="139"/>
      <c r="BA83" s="138"/>
      <c r="BB83" s="137"/>
      <c r="BC83" s="137"/>
      <c r="BD83" s="136"/>
    </row>
    <row r="84" spans="2:56" ht="15" hidden="1" customHeight="1" x14ac:dyDescent="0.25">
      <c r="BA84" s="138"/>
      <c r="BB84" s="137"/>
      <c r="BC84" s="137"/>
      <c r="BD84" s="136"/>
    </row>
    <row r="85" spans="2:56" ht="15" hidden="1" customHeight="1" x14ac:dyDescent="0.25">
      <c r="BA85" s="135"/>
      <c r="BB85" s="134"/>
      <c r="BC85" s="134"/>
      <c r="BD85" s="133"/>
    </row>
    <row r="86" spans="2:56" ht="15" hidden="1" customHeight="1" x14ac:dyDescent="0.25"/>
    <row r="87" spans="2:56" ht="15" hidden="1" customHeight="1" x14ac:dyDescent="0.25"/>
    <row r="88" spans="2:56" ht="15" hidden="1" customHeight="1" x14ac:dyDescent="0.25"/>
    <row r="89" spans="2:56" ht="15" hidden="1" customHeight="1" x14ac:dyDescent="0.25"/>
    <row r="90" spans="2:56" ht="15" hidden="1" customHeight="1" x14ac:dyDescent="0.25"/>
    <row r="91" spans="2:56" ht="15" hidden="1" customHeight="1" x14ac:dyDescent="0.25"/>
    <row r="92" spans="2:56" ht="15" hidden="1" customHeight="1" x14ac:dyDescent="0.25"/>
    <row r="93" spans="2:56" ht="15" hidden="1" customHeight="1" x14ac:dyDescent="0.25"/>
    <row r="94" spans="2:56" ht="15" hidden="1" customHeight="1" x14ac:dyDescent="0.25"/>
    <row r="95" spans="2:56" ht="15" hidden="1" customHeight="1" x14ac:dyDescent="0.25"/>
    <row r="96" spans="2:56" ht="15" hidden="1" customHeight="1" x14ac:dyDescent="0.25"/>
    <row r="97" spans="3:56" ht="15" hidden="1" customHeight="1" x14ac:dyDescent="0.25"/>
    <row r="98" spans="3:56" ht="15" hidden="1" customHeight="1" x14ac:dyDescent="0.25"/>
    <row r="99" spans="3:56" ht="15" hidden="1" customHeight="1" x14ac:dyDescent="0.25"/>
    <row r="100" spans="3:56" ht="15" hidden="1" customHeight="1" x14ac:dyDescent="0.25"/>
    <row r="101" spans="3:56" ht="15" hidden="1" customHeight="1" x14ac:dyDescent="0.25"/>
    <row r="102" spans="3:56" ht="15" hidden="1" customHeight="1" x14ac:dyDescent="0.25"/>
    <row r="103" spans="3:56" ht="15" hidden="1" customHeight="1" x14ac:dyDescent="0.25"/>
    <row r="104" spans="3:56" ht="15" hidden="1" customHeight="1" x14ac:dyDescent="0.25"/>
    <row r="105" spans="3:56" ht="15" hidden="1" customHeight="1" x14ac:dyDescent="0.25"/>
    <row r="106" spans="3:56" ht="15" hidden="1" customHeight="1" x14ac:dyDescent="0.25"/>
    <row r="107" spans="3:56" ht="15" hidden="1" customHeight="1" x14ac:dyDescent="0.25"/>
    <row r="108" spans="3:56" ht="15" hidden="1" customHeight="1" x14ac:dyDescent="0.25"/>
    <row r="109" spans="3:56" ht="15" hidden="1" customHeight="1" x14ac:dyDescent="0.25"/>
    <row r="110" spans="3:56" ht="15" hidden="1" customHeight="1" x14ac:dyDescent="0.25"/>
    <row r="111" spans="3:56" ht="15" hidden="1" customHeight="1" x14ac:dyDescent="0.25"/>
    <row r="112" spans="3:56" ht="15" hidden="1" customHeight="1" x14ac:dyDescent="0.25">
      <c r="C112" s="246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7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BA112" s="131"/>
      <c r="BB112" s="131"/>
      <c r="BC112" s="131"/>
      <c r="BD112" s="131"/>
    </row>
    <row r="113" spans="1:56" ht="15" hidden="1" customHeight="1" x14ac:dyDescent="0.25"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</row>
    <row r="114" spans="1:56" ht="15.75" hidden="1" customHeight="1" x14ac:dyDescent="0.25">
      <c r="C114" s="250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</row>
    <row r="115" spans="1:56" ht="9.75" customHeight="1" x14ac:dyDescent="0.25">
      <c r="BA115" s="131"/>
      <c r="BB115" s="131"/>
      <c r="BC115" s="131"/>
      <c r="BD115" s="131"/>
    </row>
    <row r="116" spans="1:56" ht="12.75" customHeight="1" x14ac:dyDescent="0.25">
      <c r="A116" s="252"/>
      <c r="B116" s="253"/>
      <c r="C116" s="255" t="s">
        <v>164</v>
      </c>
      <c r="D116" s="256"/>
      <c r="E116" s="256"/>
      <c r="F116" s="256"/>
      <c r="G116" s="256"/>
      <c r="H116" s="256"/>
      <c r="I116" s="257"/>
      <c r="J116" s="255" t="s">
        <v>165</v>
      </c>
      <c r="K116" s="256"/>
      <c r="L116" s="256"/>
      <c r="M116" s="256"/>
      <c r="N116" s="256"/>
      <c r="O116" s="256"/>
      <c r="P116" s="257"/>
      <c r="Q116" s="255" t="s">
        <v>166</v>
      </c>
      <c r="R116" s="256"/>
      <c r="S116" s="256"/>
      <c r="T116" s="256"/>
      <c r="U116" s="256"/>
      <c r="V116" s="256"/>
      <c r="W116" s="257"/>
      <c r="X116" s="255" t="s">
        <v>167</v>
      </c>
      <c r="Y116" s="256"/>
      <c r="Z116" s="256"/>
      <c r="AA116" s="256"/>
      <c r="AB116" s="256"/>
      <c r="AC116" s="256"/>
      <c r="AD116" s="257"/>
      <c r="AE116" s="255" t="s">
        <v>168</v>
      </c>
      <c r="AF116" s="256"/>
      <c r="AG116" s="256"/>
      <c r="AH116" s="256"/>
      <c r="AI116" s="256"/>
      <c r="AJ116" s="256"/>
      <c r="AK116" s="257"/>
      <c r="AL116" s="255" t="s">
        <v>125</v>
      </c>
      <c r="AM116" s="256"/>
      <c r="AN116" s="256"/>
      <c r="AO116" s="256"/>
      <c r="AP116" s="256"/>
      <c r="AQ116" s="256"/>
      <c r="AR116" s="257"/>
      <c r="AS116" s="255" t="s">
        <v>125</v>
      </c>
      <c r="AT116" s="256"/>
      <c r="AU116" s="256"/>
      <c r="AV116" s="256"/>
      <c r="AW116" s="256"/>
      <c r="AX116" s="256"/>
      <c r="AY116" s="257"/>
    </row>
    <row r="117" spans="1:56" ht="9.75" customHeight="1" x14ac:dyDescent="0.25">
      <c r="A117" s="252"/>
      <c r="B117" s="254"/>
      <c r="C117" s="230">
        <f>'WAP - KVK'!$AY$6+1</f>
        <v>46293</v>
      </c>
      <c r="D117" s="231"/>
      <c r="E117" s="231"/>
      <c r="F117" s="231"/>
      <c r="G117" s="231"/>
      <c r="H117" s="231"/>
      <c r="I117" s="232"/>
      <c r="J117" s="230">
        <f>C117+1</f>
        <v>46294</v>
      </c>
      <c r="K117" s="231"/>
      <c r="L117" s="231"/>
      <c r="M117" s="231"/>
      <c r="N117" s="231"/>
      <c r="O117" s="231"/>
      <c r="P117" s="232"/>
      <c r="Q117" s="230">
        <f>J117+1</f>
        <v>46295</v>
      </c>
      <c r="R117" s="231"/>
      <c r="S117" s="231"/>
      <c r="T117" s="231"/>
      <c r="U117" s="231"/>
      <c r="V117" s="231"/>
      <c r="W117" s="232"/>
      <c r="X117" s="230">
        <f>Q117+1</f>
        <v>46296</v>
      </c>
      <c r="Y117" s="231"/>
      <c r="Z117" s="231"/>
      <c r="AA117" s="231"/>
      <c r="AB117" s="231"/>
      <c r="AC117" s="231"/>
      <c r="AD117" s="232"/>
      <c r="AE117" s="230">
        <f>X117+1</f>
        <v>46297</v>
      </c>
      <c r="AF117" s="231"/>
      <c r="AG117" s="231"/>
      <c r="AH117" s="231"/>
      <c r="AI117" s="231"/>
      <c r="AJ117" s="231"/>
      <c r="AK117" s="232"/>
      <c r="AL117" s="230">
        <f>AE117+1</f>
        <v>46298</v>
      </c>
      <c r="AM117" s="231"/>
      <c r="AN117" s="231"/>
      <c r="AO117" s="231"/>
      <c r="AP117" s="231"/>
      <c r="AQ117" s="231"/>
      <c r="AR117" s="232"/>
      <c r="AS117" s="230">
        <f>AL117+1</f>
        <v>46299</v>
      </c>
      <c r="AT117" s="231"/>
      <c r="AU117" s="231"/>
      <c r="AV117" s="231"/>
      <c r="AW117" s="231"/>
      <c r="AX117" s="231"/>
      <c r="AY117" s="232"/>
    </row>
    <row r="118" spans="1:56" s="128" customFormat="1" ht="9.6" customHeight="1" x14ac:dyDescent="0.25">
      <c r="A118" s="130"/>
      <c r="B118" s="221" t="s">
        <v>169</v>
      </c>
      <c r="C118" s="211">
        <v>10</v>
      </c>
      <c r="D118" s="219"/>
      <c r="E118" s="219"/>
      <c r="F118" s="219"/>
      <c r="G118" s="219"/>
      <c r="H118" s="219"/>
      <c r="I118" s="219"/>
      <c r="J118" s="211">
        <v>20</v>
      </c>
      <c r="K118" s="219" t="s">
        <v>193</v>
      </c>
      <c r="L118" s="219"/>
      <c r="M118" s="219"/>
      <c r="N118" s="219"/>
      <c r="O118" s="219"/>
      <c r="P118" s="220"/>
      <c r="Q118" s="211"/>
      <c r="R118" s="219"/>
      <c r="S118" s="219"/>
      <c r="T118" s="219"/>
      <c r="U118" s="219"/>
      <c r="V118" s="219"/>
      <c r="W118" s="220"/>
      <c r="X118" s="211">
        <v>40</v>
      </c>
      <c r="Y118" s="219" t="s">
        <v>194</v>
      </c>
      <c r="Z118" s="219"/>
      <c r="AA118" s="219"/>
      <c r="AB118" s="219"/>
      <c r="AC118" s="219"/>
      <c r="AD118" s="219"/>
      <c r="AE118" s="211"/>
      <c r="AF118" s="219"/>
      <c r="AG118" s="219"/>
      <c r="AH118" s="219"/>
      <c r="AI118" s="219"/>
      <c r="AJ118" s="219"/>
      <c r="AK118" s="220"/>
      <c r="AL118" s="209"/>
      <c r="AM118" s="272"/>
      <c r="AN118" s="272"/>
      <c r="AO118" s="272"/>
      <c r="AP118" s="272"/>
      <c r="AQ118" s="272"/>
      <c r="AR118" s="273"/>
      <c r="AS118" s="206"/>
      <c r="AT118" s="270"/>
      <c r="AU118" s="270"/>
      <c r="AV118" s="270"/>
      <c r="AW118" s="270"/>
      <c r="AX118" s="270"/>
      <c r="AY118" s="271"/>
      <c r="BA118" s="129"/>
    </row>
    <row r="119" spans="1:56" s="128" customFormat="1" ht="9.6" customHeight="1" x14ac:dyDescent="0.25">
      <c r="A119" s="130"/>
      <c r="B119" s="222"/>
      <c r="C119" s="212">
        <v>11</v>
      </c>
      <c r="D119" s="215"/>
      <c r="E119" s="215"/>
      <c r="F119" s="215"/>
      <c r="G119" s="215"/>
      <c r="H119" s="215"/>
      <c r="I119" s="215"/>
      <c r="J119" s="212">
        <v>21</v>
      </c>
      <c r="K119" s="215" t="s">
        <v>181</v>
      </c>
      <c r="L119" s="215"/>
      <c r="M119" s="215"/>
      <c r="N119" s="215"/>
      <c r="O119" s="215"/>
      <c r="P119" s="216"/>
      <c r="Q119" s="212"/>
      <c r="R119" s="215"/>
      <c r="S119" s="215"/>
      <c r="T119" s="215"/>
      <c r="U119" s="215"/>
      <c r="V119" s="215"/>
      <c r="W119" s="216"/>
      <c r="X119" s="212"/>
      <c r="Y119" s="215"/>
      <c r="Z119" s="215"/>
      <c r="AA119" s="215"/>
      <c r="AB119" s="215"/>
      <c r="AC119" s="215"/>
      <c r="AD119" s="215"/>
      <c r="AE119" s="212"/>
      <c r="AF119" s="215"/>
      <c r="AG119" s="215"/>
      <c r="AH119" s="215"/>
      <c r="AI119" s="215"/>
      <c r="AJ119" s="215"/>
      <c r="AK119" s="216"/>
      <c r="AL119" s="205"/>
      <c r="AM119" s="268"/>
      <c r="AN119" s="268"/>
      <c r="AO119" s="268"/>
      <c r="AP119" s="268"/>
      <c r="AQ119" s="268"/>
      <c r="AR119" s="269"/>
      <c r="AS119" s="207"/>
      <c r="AT119" s="268"/>
      <c r="AU119" s="268"/>
      <c r="AV119" s="268"/>
      <c r="AW119" s="268"/>
      <c r="AX119" s="268"/>
      <c r="AY119" s="269"/>
      <c r="BA119" s="129"/>
    </row>
    <row r="120" spans="1:56" s="128" customFormat="1" ht="9.6" customHeight="1" x14ac:dyDescent="0.25">
      <c r="A120" s="130"/>
      <c r="B120" s="222"/>
      <c r="C120" s="212"/>
      <c r="D120" s="215"/>
      <c r="E120" s="215"/>
      <c r="F120" s="215"/>
      <c r="G120" s="215"/>
      <c r="H120" s="215"/>
      <c r="I120" s="215"/>
      <c r="J120" s="212">
        <v>22</v>
      </c>
      <c r="K120" s="215"/>
      <c r="L120" s="215"/>
      <c r="M120" s="215"/>
      <c r="N120" s="215"/>
      <c r="O120" s="215"/>
      <c r="P120" s="216"/>
      <c r="Q120" s="212"/>
      <c r="R120" s="215"/>
      <c r="S120" s="215"/>
      <c r="T120" s="215"/>
      <c r="U120" s="215"/>
      <c r="V120" s="215"/>
      <c r="W120" s="216"/>
      <c r="X120" s="212"/>
      <c r="Y120" s="215"/>
      <c r="Z120" s="215"/>
      <c r="AA120" s="215"/>
      <c r="AB120" s="215"/>
      <c r="AC120" s="215"/>
      <c r="AD120" s="215"/>
      <c r="AE120" s="212"/>
      <c r="AF120" s="215"/>
      <c r="AG120" s="215"/>
      <c r="AH120" s="215"/>
      <c r="AI120" s="215"/>
      <c r="AJ120" s="215"/>
      <c r="AK120" s="216"/>
      <c r="AL120" s="205"/>
      <c r="AM120" s="268"/>
      <c r="AN120" s="268"/>
      <c r="AO120" s="268"/>
      <c r="AP120" s="268"/>
      <c r="AQ120" s="268"/>
      <c r="AR120" s="269"/>
      <c r="AS120" s="207"/>
      <c r="AT120" s="268"/>
      <c r="AU120" s="268"/>
      <c r="AV120" s="268"/>
      <c r="AW120" s="268"/>
      <c r="AX120" s="268"/>
      <c r="AY120" s="269"/>
      <c r="BA120" s="129"/>
    </row>
    <row r="121" spans="1:56" s="128" customFormat="1" ht="9.6" customHeight="1" x14ac:dyDescent="0.25">
      <c r="A121" s="130"/>
      <c r="B121" s="222"/>
      <c r="C121" s="212"/>
      <c r="D121" s="215"/>
      <c r="E121" s="215"/>
      <c r="F121" s="215"/>
      <c r="G121" s="215"/>
      <c r="H121" s="215"/>
      <c r="I121" s="215"/>
      <c r="J121" s="212"/>
      <c r="K121" s="215"/>
      <c r="L121" s="215"/>
      <c r="M121" s="215"/>
      <c r="N121" s="215"/>
      <c r="O121" s="215"/>
      <c r="P121" s="216"/>
      <c r="Q121" s="212"/>
      <c r="R121" s="215"/>
      <c r="S121" s="215"/>
      <c r="T121" s="215"/>
      <c r="U121" s="215"/>
      <c r="V121" s="215"/>
      <c r="W121" s="216"/>
      <c r="X121" s="212"/>
      <c r="Y121" s="215"/>
      <c r="Z121" s="215"/>
      <c r="AA121" s="215"/>
      <c r="AB121" s="215"/>
      <c r="AC121" s="215"/>
      <c r="AD121" s="215"/>
      <c r="AE121" s="212"/>
      <c r="AF121" s="215"/>
      <c r="AG121" s="215"/>
      <c r="AH121" s="215"/>
      <c r="AI121" s="215"/>
      <c r="AJ121" s="215"/>
      <c r="AK121" s="216"/>
      <c r="AL121" s="205"/>
      <c r="AM121" s="268"/>
      <c r="AN121" s="268"/>
      <c r="AO121" s="268"/>
      <c r="AP121" s="268"/>
      <c r="AQ121" s="268"/>
      <c r="AR121" s="269"/>
      <c r="AS121" s="207"/>
      <c r="AT121" s="268"/>
      <c r="AU121" s="268"/>
      <c r="AV121" s="268"/>
      <c r="AW121" s="268"/>
      <c r="AX121" s="268"/>
      <c r="AY121" s="269"/>
      <c r="BA121" s="129"/>
    </row>
    <row r="122" spans="1:56" s="128" customFormat="1" ht="9.6" customHeight="1" x14ac:dyDescent="0.25">
      <c r="A122" s="130"/>
      <c r="B122" s="222"/>
      <c r="C122" s="212"/>
      <c r="D122" s="215"/>
      <c r="E122" s="215"/>
      <c r="F122" s="215"/>
      <c r="G122" s="215"/>
      <c r="H122" s="215"/>
      <c r="I122" s="215"/>
      <c r="J122" s="212"/>
      <c r="K122" s="215"/>
      <c r="L122" s="215"/>
      <c r="M122" s="215"/>
      <c r="N122" s="215"/>
      <c r="O122" s="215"/>
      <c r="P122" s="216"/>
      <c r="Q122" s="212"/>
      <c r="R122" s="215"/>
      <c r="S122" s="215"/>
      <c r="T122" s="215"/>
      <c r="U122" s="215"/>
      <c r="V122" s="215"/>
      <c r="W122" s="216"/>
      <c r="X122" s="212"/>
      <c r="Y122" s="215"/>
      <c r="Z122" s="215"/>
      <c r="AA122" s="215"/>
      <c r="AB122" s="215"/>
      <c r="AC122" s="215"/>
      <c r="AD122" s="215"/>
      <c r="AE122" s="212"/>
      <c r="AF122" s="215"/>
      <c r="AG122" s="215"/>
      <c r="AH122" s="215"/>
      <c r="AI122" s="215"/>
      <c r="AJ122" s="215"/>
      <c r="AK122" s="216"/>
      <c r="AL122" s="205"/>
      <c r="AM122" s="268"/>
      <c r="AN122" s="268"/>
      <c r="AO122" s="268"/>
      <c r="AP122" s="268"/>
      <c r="AQ122" s="268"/>
      <c r="AR122" s="269"/>
      <c r="AS122" s="207"/>
      <c r="AT122" s="268"/>
      <c r="AU122" s="268"/>
      <c r="AV122" s="268"/>
      <c r="AW122" s="268"/>
      <c r="AX122" s="268"/>
      <c r="AY122" s="269"/>
      <c r="BA122" s="129"/>
    </row>
    <row r="123" spans="1:56" s="128" customFormat="1" ht="9.6" customHeight="1" x14ac:dyDescent="0.25">
      <c r="A123" s="130"/>
      <c r="B123" s="222"/>
      <c r="C123" s="212"/>
      <c r="D123" s="215"/>
      <c r="E123" s="215"/>
      <c r="F123" s="215"/>
      <c r="G123" s="215"/>
      <c r="H123" s="215"/>
      <c r="I123" s="215"/>
      <c r="J123" s="212"/>
      <c r="K123" s="215"/>
      <c r="L123" s="215"/>
      <c r="M123" s="215"/>
      <c r="N123" s="215"/>
      <c r="O123" s="215"/>
      <c r="P123" s="216"/>
      <c r="Q123" s="212"/>
      <c r="R123" s="215"/>
      <c r="S123" s="215"/>
      <c r="T123" s="215"/>
      <c r="U123" s="215"/>
      <c r="V123" s="215"/>
      <c r="W123" s="216"/>
      <c r="X123" s="212"/>
      <c r="Y123" s="215"/>
      <c r="Z123" s="215"/>
      <c r="AA123" s="215"/>
      <c r="AB123" s="215"/>
      <c r="AC123" s="215"/>
      <c r="AD123" s="215"/>
      <c r="AE123" s="212"/>
      <c r="AF123" s="215"/>
      <c r="AG123" s="215"/>
      <c r="AH123" s="215"/>
      <c r="AI123" s="215"/>
      <c r="AJ123" s="215"/>
      <c r="AK123" s="216"/>
      <c r="AL123" s="205"/>
      <c r="AM123" s="268"/>
      <c r="AN123" s="268"/>
      <c r="AO123" s="268"/>
      <c r="AP123" s="268"/>
      <c r="AQ123" s="268"/>
      <c r="AR123" s="269"/>
      <c r="AS123" s="207"/>
      <c r="AT123" s="268"/>
      <c r="AU123" s="268"/>
      <c r="AV123" s="268"/>
      <c r="AW123" s="268"/>
      <c r="AX123" s="268"/>
      <c r="AY123" s="269"/>
      <c r="BA123" s="129"/>
    </row>
    <row r="124" spans="1:56" s="128" customFormat="1" ht="9.6" customHeight="1" x14ac:dyDescent="0.25">
      <c r="A124" s="130"/>
      <c r="B124" s="222"/>
      <c r="C124" s="212"/>
      <c r="D124" s="215"/>
      <c r="E124" s="215"/>
      <c r="F124" s="215"/>
      <c r="G124" s="215"/>
      <c r="H124" s="215"/>
      <c r="I124" s="215"/>
      <c r="J124" s="212"/>
      <c r="K124" s="215"/>
      <c r="L124" s="215"/>
      <c r="M124" s="215"/>
      <c r="N124" s="215"/>
      <c r="O124" s="215"/>
      <c r="P124" s="216"/>
      <c r="Q124" s="212"/>
      <c r="R124" s="215"/>
      <c r="S124" s="215"/>
      <c r="T124" s="215"/>
      <c r="U124" s="215"/>
      <c r="V124" s="215"/>
      <c r="W124" s="216"/>
      <c r="X124" s="212"/>
      <c r="Y124" s="215"/>
      <c r="Z124" s="215"/>
      <c r="AA124" s="215"/>
      <c r="AB124" s="215"/>
      <c r="AC124" s="215"/>
      <c r="AD124" s="215"/>
      <c r="AE124" s="212"/>
      <c r="AF124" s="215"/>
      <c r="AG124" s="215"/>
      <c r="AH124" s="215"/>
      <c r="AI124" s="215"/>
      <c r="AJ124" s="215"/>
      <c r="AK124" s="216"/>
      <c r="AL124" s="205"/>
      <c r="AM124" s="268"/>
      <c r="AN124" s="268"/>
      <c r="AO124" s="268"/>
      <c r="AP124" s="268"/>
      <c r="AQ124" s="268"/>
      <c r="AR124" s="269"/>
      <c r="AS124" s="207"/>
      <c r="AT124" s="268"/>
      <c r="AU124" s="268"/>
      <c r="AV124" s="268"/>
      <c r="AW124" s="268"/>
      <c r="AX124" s="268"/>
      <c r="AY124" s="269"/>
      <c r="BA124" s="129"/>
    </row>
    <row r="125" spans="1:56" s="128" customFormat="1" ht="9.6" customHeight="1" x14ac:dyDescent="0.25">
      <c r="A125" s="130"/>
      <c r="B125" s="223"/>
      <c r="C125" s="213"/>
      <c r="D125" s="217"/>
      <c r="E125" s="217"/>
      <c r="F125" s="217"/>
      <c r="G125" s="217"/>
      <c r="H125" s="217"/>
      <c r="I125" s="217"/>
      <c r="J125" s="213"/>
      <c r="K125" s="217"/>
      <c r="L125" s="217"/>
      <c r="M125" s="217"/>
      <c r="N125" s="217"/>
      <c r="O125" s="217"/>
      <c r="P125" s="218"/>
      <c r="Q125" s="213"/>
      <c r="R125" s="217"/>
      <c r="S125" s="217"/>
      <c r="T125" s="217"/>
      <c r="U125" s="217"/>
      <c r="V125" s="217"/>
      <c r="W125" s="218"/>
      <c r="X125" s="213"/>
      <c r="Y125" s="217"/>
      <c r="Z125" s="217"/>
      <c r="AA125" s="217"/>
      <c r="AB125" s="217"/>
      <c r="AC125" s="217"/>
      <c r="AD125" s="217"/>
      <c r="AE125" s="213"/>
      <c r="AF125" s="217"/>
      <c r="AG125" s="217"/>
      <c r="AH125" s="217"/>
      <c r="AI125" s="217"/>
      <c r="AJ125" s="217"/>
      <c r="AK125" s="218"/>
      <c r="AL125" s="210"/>
      <c r="AM125" s="268"/>
      <c r="AN125" s="268"/>
      <c r="AO125" s="268"/>
      <c r="AP125" s="268"/>
      <c r="AQ125" s="268"/>
      <c r="AR125" s="269"/>
      <c r="AS125" s="208"/>
      <c r="AT125" s="268"/>
      <c r="AU125" s="268"/>
      <c r="AV125" s="268"/>
      <c r="AW125" s="268"/>
      <c r="AX125" s="268"/>
      <c r="AY125" s="269"/>
      <c r="BA125" s="129"/>
    </row>
    <row r="126" spans="1:56" x14ac:dyDescent="0.25">
      <c r="B126" s="127" t="s">
        <v>37</v>
      </c>
      <c r="C126" s="265" t="str">
        <f>VLOOKUP(C117,Einstellungen!$G$34:$H$60,2,FALSE)</f>
        <v>Oblt Sieber</v>
      </c>
      <c r="D126" s="265"/>
      <c r="E126" s="265"/>
      <c r="F126" s="265"/>
      <c r="G126" s="265"/>
      <c r="H126" s="265"/>
      <c r="I126" s="265"/>
      <c r="J126" s="265" t="str">
        <f>VLOOKUP(J117,Einstellungen!$G$34:$H$60,2,FALSE)</f>
        <v>Lt Gemeinder</v>
      </c>
      <c r="K126" s="265"/>
      <c r="L126" s="265"/>
      <c r="M126" s="265"/>
      <c r="N126" s="265"/>
      <c r="O126" s="265"/>
      <c r="P126" s="265"/>
      <c r="Q126" s="265" t="str">
        <f>VLOOKUP(Q117,Einstellungen!$G$34:$H$60,2,FALSE)</f>
        <v>Lt Köchli</v>
      </c>
      <c r="R126" s="265"/>
      <c r="S126" s="265"/>
      <c r="T126" s="265"/>
      <c r="U126" s="265"/>
      <c r="V126" s="265"/>
      <c r="W126" s="265"/>
      <c r="X126" s="265" t="str">
        <f>VLOOKUP(X117,Einstellungen!$G$34:$H$60,2,FALSE)</f>
        <v>Lt Lehner</v>
      </c>
      <c r="Y126" s="265"/>
      <c r="Z126" s="265"/>
      <c r="AA126" s="265"/>
      <c r="AB126" s="265"/>
      <c r="AC126" s="265"/>
      <c r="AD126" s="265"/>
      <c r="AE126" s="264" t="str">
        <f>VLOOKUP(AE117,Einstellungen!$G$34:$H$60,2,FALSE)</f>
        <v>Lt Christophe Lopez-Polo</v>
      </c>
      <c r="AF126" s="264"/>
      <c r="AG126" s="264"/>
      <c r="AH126" s="264"/>
      <c r="AI126" s="264"/>
      <c r="AJ126" s="264"/>
      <c r="AK126" s="264"/>
      <c r="AL126" s="265" t="str">
        <f>VLOOKUP(AL117,Einstellungen!$G$34:$H$60,2,FALSE)</f>
        <v>Lt Omura</v>
      </c>
      <c r="AM126" s="265"/>
      <c r="AN126" s="265"/>
      <c r="AO126" s="265"/>
      <c r="AP126" s="265"/>
      <c r="AQ126" s="265"/>
      <c r="AR126" s="265"/>
      <c r="AS126" s="265" t="str">
        <f>VLOOKUP(AS117,Einstellungen!$G$34:$H$60,2,FALSE)</f>
        <v>Lt Omura</v>
      </c>
      <c r="AT126" s="265"/>
      <c r="AU126" s="265"/>
      <c r="AV126" s="265"/>
      <c r="AW126" s="265"/>
      <c r="AX126" s="265"/>
      <c r="AY126" s="265"/>
    </row>
  </sheetData>
  <mergeCells count="177">
    <mergeCell ref="C126:I126"/>
    <mergeCell ref="J126:P126"/>
    <mergeCell ref="Q126:W126"/>
    <mergeCell ref="X126:AD126"/>
    <mergeCell ref="AE126:AK126"/>
    <mergeCell ref="AL126:AR126"/>
    <mergeCell ref="AS126:AY126"/>
    <mergeCell ref="BB80:BC82"/>
    <mergeCell ref="B81:B82"/>
    <mergeCell ref="AZ81:AZ82"/>
    <mergeCell ref="C112:AK114"/>
    <mergeCell ref="A116:B117"/>
    <mergeCell ref="C116:I116"/>
    <mergeCell ref="J116:P116"/>
    <mergeCell ref="Q116:W116"/>
    <mergeCell ref="X116:AD116"/>
    <mergeCell ref="AE116:AK116"/>
    <mergeCell ref="B79:B80"/>
    <mergeCell ref="AZ79:AZ80"/>
    <mergeCell ref="AL116:AR116"/>
    <mergeCell ref="AS116:AY116"/>
    <mergeCell ref="C117:I117"/>
    <mergeCell ref="J117:P117"/>
    <mergeCell ref="Q117:W117"/>
    <mergeCell ref="X117:AD117"/>
    <mergeCell ref="AE117:AK117"/>
    <mergeCell ref="AL117:AR117"/>
    <mergeCell ref="AS117:AY117"/>
    <mergeCell ref="AZ43:AZ44"/>
    <mergeCell ref="B45:B46"/>
    <mergeCell ref="AZ45:AZ46"/>
    <mergeCell ref="B39:B40"/>
    <mergeCell ref="BB70:BC71"/>
    <mergeCell ref="B71:B72"/>
    <mergeCell ref="AZ71:AZ72"/>
    <mergeCell ref="B73:B74"/>
    <mergeCell ref="AZ73:AZ74"/>
    <mergeCell ref="B75:B76"/>
    <mergeCell ref="AZ75:AZ76"/>
    <mergeCell ref="B77:B78"/>
    <mergeCell ref="AZ77:AZ78"/>
    <mergeCell ref="B67:B68"/>
    <mergeCell ref="AZ67:AZ68"/>
    <mergeCell ref="B69:B70"/>
    <mergeCell ref="AZ69:AZ70"/>
    <mergeCell ref="B61:B62"/>
    <mergeCell ref="AZ61:AZ62"/>
    <mergeCell ref="AZ33:AZ34"/>
    <mergeCell ref="B35:B36"/>
    <mergeCell ref="AZ35:AZ36"/>
    <mergeCell ref="B37:B38"/>
    <mergeCell ref="AZ37:AZ38"/>
    <mergeCell ref="B47:B48"/>
    <mergeCell ref="AZ47:AZ48"/>
    <mergeCell ref="B41:B42"/>
    <mergeCell ref="AZ41:AZ42"/>
    <mergeCell ref="B43:B44"/>
    <mergeCell ref="BG49:BJ66"/>
    <mergeCell ref="BE50:BE51"/>
    <mergeCell ref="B51:B52"/>
    <mergeCell ref="AZ51:AZ52"/>
    <mergeCell ref="B53:B54"/>
    <mergeCell ref="AZ53:AZ54"/>
    <mergeCell ref="B55:B56"/>
    <mergeCell ref="AZ55:AZ56"/>
    <mergeCell ref="B57:B58"/>
    <mergeCell ref="AZ57:AZ58"/>
    <mergeCell ref="B59:B60"/>
    <mergeCell ref="AZ59:AZ60"/>
    <mergeCell ref="B49:B50"/>
    <mergeCell ref="AZ49:AZ50"/>
    <mergeCell ref="B63:B64"/>
    <mergeCell ref="AZ63:AZ64"/>
    <mergeCell ref="B65:B66"/>
    <mergeCell ref="AZ65:AZ66"/>
    <mergeCell ref="AZ9:AZ10"/>
    <mergeCell ref="B11:B12"/>
    <mergeCell ref="AZ11:AZ12"/>
    <mergeCell ref="B13:B14"/>
    <mergeCell ref="AZ13:AZ14"/>
    <mergeCell ref="B15:B16"/>
    <mergeCell ref="AZ39:AZ40"/>
    <mergeCell ref="AZ15:AZ16"/>
    <mergeCell ref="B17:B18"/>
    <mergeCell ref="AZ17:AZ18"/>
    <mergeCell ref="B19:B20"/>
    <mergeCell ref="AZ19:AZ20"/>
    <mergeCell ref="B21:B22"/>
    <mergeCell ref="AZ21:AZ22"/>
    <mergeCell ref="B23:B24"/>
    <mergeCell ref="AZ23:AZ24"/>
    <mergeCell ref="B25:B26"/>
    <mergeCell ref="AZ25:AZ26"/>
    <mergeCell ref="B27:B28"/>
    <mergeCell ref="AZ27:AZ28"/>
    <mergeCell ref="B29:B30"/>
    <mergeCell ref="AZ29:AZ30"/>
    <mergeCell ref="B31:B32"/>
    <mergeCell ref="AZ31:AZ32"/>
    <mergeCell ref="BA5:BD6"/>
    <mergeCell ref="C6:I6"/>
    <mergeCell ref="J6:P6"/>
    <mergeCell ref="Q6:W6"/>
    <mergeCell ref="X6:AD6"/>
    <mergeCell ref="AE6:AK6"/>
    <mergeCell ref="AL6:AR6"/>
    <mergeCell ref="AS6:AY6"/>
    <mergeCell ref="AL7:AP7"/>
    <mergeCell ref="AS7:AW7"/>
    <mergeCell ref="B118:B125"/>
    <mergeCell ref="B1:L1"/>
    <mergeCell ref="C5:I5"/>
    <mergeCell ref="J5:P5"/>
    <mergeCell ref="Q5:W5"/>
    <mergeCell ref="X5:AD5"/>
    <mergeCell ref="AE5:AK5"/>
    <mergeCell ref="AL5:AR5"/>
    <mergeCell ref="AS5:AY5"/>
    <mergeCell ref="B9:B10"/>
    <mergeCell ref="B33:B34"/>
    <mergeCell ref="D124:I124"/>
    <mergeCell ref="K124:P124"/>
    <mergeCell ref="R124:W124"/>
    <mergeCell ref="Y124:AD124"/>
    <mergeCell ref="D125:I125"/>
    <mergeCell ref="K125:P125"/>
    <mergeCell ref="R125:W125"/>
    <mergeCell ref="D122:I122"/>
    <mergeCell ref="K122:P122"/>
    <mergeCell ref="R122:W122"/>
    <mergeCell ref="Y122:AD122"/>
    <mergeCell ref="D123:I123"/>
    <mergeCell ref="K123:P123"/>
    <mergeCell ref="D118:I118"/>
    <mergeCell ref="K118:P118"/>
    <mergeCell ref="R118:W118"/>
    <mergeCell ref="Y118:AD118"/>
    <mergeCell ref="D119:I119"/>
    <mergeCell ref="K119:P119"/>
    <mergeCell ref="R119:W119"/>
    <mergeCell ref="Y119:AD119"/>
    <mergeCell ref="Y125:AD125"/>
    <mergeCell ref="R123:W123"/>
    <mergeCell ref="Y123:AD123"/>
    <mergeCell ref="D120:I120"/>
    <mergeCell ref="K120:P120"/>
    <mergeCell ref="R120:W120"/>
    <mergeCell ref="Y120:AD120"/>
    <mergeCell ref="D121:I121"/>
    <mergeCell ref="K121:P121"/>
    <mergeCell ref="R121:W121"/>
    <mergeCell ref="Y121:AD121"/>
    <mergeCell ref="AF118:AK118"/>
    <mergeCell ref="AF119:AK119"/>
    <mergeCell ref="AF120:AK120"/>
    <mergeCell ref="AF121:AK121"/>
    <mergeCell ref="AF122:AK122"/>
    <mergeCell ref="AF123:AK123"/>
    <mergeCell ref="AF124:AK124"/>
    <mergeCell ref="AF125:AK125"/>
    <mergeCell ref="AM118:AR118"/>
    <mergeCell ref="AM119:AR119"/>
    <mergeCell ref="AM120:AR120"/>
    <mergeCell ref="AM121:AR121"/>
    <mergeCell ref="AM122:AR122"/>
    <mergeCell ref="AM123:AR123"/>
    <mergeCell ref="AM124:AR124"/>
    <mergeCell ref="AM125:AR125"/>
    <mergeCell ref="AT119:AY119"/>
    <mergeCell ref="AT120:AY120"/>
    <mergeCell ref="AT121:AY121"/>
    <mergeCell ref="AT122:AY122"/>
    <mergeCell ref="AT123:AY123"/>
    <mergeCell ref="AT124:AY124"/>
    <mergeCell ref="AT125:AY125"/>
    <mergeCell ref="AT118:AY118"/>
    <mergeCell ref="BB72:BC79"/>
  </mergeCells>
  <phoneticPr fontId="25" type="noConversion"/>
  <printOptions horizontalCentered="1" verticalCentered="1"/>
  <pageMargins left="0.25" right="0.25" top="0.75" bottom="0.75" header="0.3" footer="0.3"/>
  <pageSetup paperSize="9"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4807-D797-48F8-8F02-7D7CC85EA03C}">
  <sheetPr>
    <tabColor rgb="FFFFFF00"/>
    <pageSetUpPr fitToPage="1"/>
  </sheetPr>
  <dimension ref="A1:BJ126"/>
  <sheetViews>
    <sheetView view="pageBreakPreview" zoomScale="130" zoomScaleNormal="55" zoomScaleSheetLayoutView="85" zoomScalePageLayoutView="70" workbookViewId="0">
      <pane ySplit="7" topLeftCell="A23" activePane="bottomLeft" state="frozen"/>
      <selection activeCell="C119" sqref="C119:I119"/>
      <selection pane="bottomLeft" activeCell="BB25" sqref="BB23:BB25"/>
    </sheetView>
  </sheetViews>
  <sheetFormatPr defaultColWidth="14.88671875" defaultRowHeight="13.8" x14ac:dyDescent="0.25"/>
  <cols>
    <col min="1" max="1" width="2.5546875" style="125" customWidth="1"/>
    <col min="2" max="2" width="7.109375" style="126" customWidth="1"/>
    <col min="3" max="7" width="5" style="125" customWidth="1"/>
    <col min="8" max="9" width="4.109375" style="125" customWidth="1"/>
    <col min="10" max="14" width="5" style="125" customWidth="1"/>
    <col min="15" max="16" width="4.109375" style="125" customWidth="1"/>
    <col min="17" max="21" width="5" style="125" customWidth="1"/>
    <col min="22" max="23" width="4.109375" style="125" customWidth="1"/>
    <col min="24" max="28" width="5" style="125" customWidth="1"/>
    <col min="29" max="30" width="4.109375" style="125" customWidth="1"/>
    <col min="31" max="35" width="5" style="125" customWidth="1"/>
    <col min="36" max="37" width="4.109375" style="125" customWidth="1"/>
    <col min="38" max="51" width="2.88671875" style="125" customWidth="1"/>
    <col min="52" max="52" width="6.6640625" style="126" customWidth="1"/>
    <col min="53" max="53" width="0.88671875" style="125" customWidth="1"/>
    <col min="54" max="55" width="11.109375" style="125" customWidth="1"/>
    <col min="56" max="56" width="0.88671875" style="125" customWidth="1"/>
    <col min="57" max="16384" width="14.88671875" style="125"/>
  </cols>
  <sheetData>
    <row r="1" spans="2:61" s="185" customFormat="1" ht="23.25" customHeight="1" x14ac:dyDescent="0.4">
      <c r="B1" s="238" t="s">
        <v>195</v>
      </c>
      <c r="C1" s="238"/>
      <c r="D1" s="238"/>
      <c r="E1" s="238"/>
      <c r="F1" s="238"/>
      <c r="G1" s="238"/>
      <c r="H1" s="238"/>
      <c r="I1" s="238"/>
      <c r="J1" s="238"/>
      <c r="L1" s="197" t="str">
        <f>_xlfn.CONCAT(TEXT(Einstellungen!$C$6+14,"DD.MM.YYYY")," bis ",TEXT(Einstellungen!$C$6+20,"DD.MM.YYYY"))</f>
        <v>05.10.2026 bis 11.10.2026</v>
      </c>
      <c r="N1" s="193"/>
      <c r="O1" s="192"/>
      <c r="P1" s="192"/>
      <c r="Q1" s="192"/>
      <c r="R1" s="192"/>
      <c r="AI1" s="190"/>
      <c r="AJ1" s="190"/>
      <c r="AK1" s="190"/>
      <c r="AQ1" s="190"/>
      <c r="AR1" s="190"/>
      <c r="AX1" s="190"/>
      <c r="AY1" s="190"/>
      <c r="AZ1" s="189"/>
      <c r="BD1" s="188"/>
    </row>
    <row r="2" spans="2:61" s="185" customFormat="1" ht="12" customHeight="1" x14ac:dyDescent="0.25">
      <c r="B2" s="186"/>
      <c r="AC2" s="187"/>
      <c r="AZ2" s="126"/>
    </row>
    <row r="3" spans="2:61" s="185" customFormat="1" ht="6.75" customHeight="1" x14ac:dyDescent="0.25">
      <c r="B3" s="186"/>
      <c r="AZ3" s="126"/>
    </row>
    <row r="4" spans="2:61" s="175" customFormat="1" ht="23.25" customHeight="1" x14ac:dyDescent="0.4">
      <c r="J4" s="184"/>
      <c r="S4" s="183"/>
      <c r="T4" s="182"/>
      <c r="U4" s="181"/>
      <c r="AJ4" s="179"/>
      <c r="AK4" s="179"/>
      <c r="AQ4" s="179"/>
      <c r="AR4" s="179"/>
      <c r="AX4" s="179"/>
      <c r="AY4" s="179"/>
      <c r="AZ4" s="180"/>
      <c r="BA4" s="179"/>
      <c r="BB4" s="178"/>
      <c r="BC4" s="178" t="s">
        <v>118</v>
      </c>
      <c r="BD4" s="177"/>
      <c r="BE4" s="176"/>
    </row>
    <row r="5" spans="2:61" s="126" customFormat="1" ht="13.5" customHeight="1" x14ac:dyDescent="0.25">
      <c r="B5" s="174" t="s">
        <v>119</v>
      </c>
      <c r="C5" s="239" t="s">
        <v>120</v>
      </c>
      <c r="D5" s="240"/>
      <c r="E5" s="240"/>
      <c r="F5" s="240"/>
      <c r="G5" s="240"/>
      <c r="H5" s="240"/>
      <c r="I5" s="241"/>
      <c r="J5" s="239" t="s">
        <v>121</v>
      </c>
      <c r="K5" s="240"/>
      <c r="L5" s="240"/>
      <c r="M5" s="240"/>
      <c r="N5" s="240"/>
      <c r="O5" s="240"/>
      <c r="P5" s="241"/>
      <c r="Q5" s="239" t="s">
        <v>122</v>
      </c>
      <c r="R5" s="240"/>
      <c r="S5" s="240"/>
      <c r="T5" s="240"/>
      <c r="U5" s="240"/>
      <c r="V5" s="240"/>
      <c r="W5" s="241"/>
      <c r="X5" s="239" t="s">
        <v>123</v>
      </c>
      <c r="Y5" s="240"/>
      <c r="Z5" s="240"/>
      <c r="AA5" s="240"/>
      <c r="AB5" s="240"/>
      <c r="AC5" s="240"/>
      <c r="AD5" s="241"/>
      <c r="AE5" s="239" t="s">
        <v>124</v>
      </c>
      <c r="AF5" s="240"/>
      <c r="AG5" s="240"/>
      <c r="AH5" s="240"/>
      <c r="AI5" s="240"/>
      <c r="AJ5" s="240"/>
      <c r="AK5" s="241"/>
      <c r="AL5" s="239" t="s">
        <v>125</v>
      </c>
      <c r="AM5" s="240"/>
      <c r="AN5" s="240"/>
      <c r="AO5" s="240"/>
      <c r="AP5" s="240"/>
      <c r="AQ5" s="240"/>
      <c r="AR5" s="241"/>
      <c r="AS5" s="239" t="s">
        <v>126</v>
      </c>
      <c r="AT5" s="240"/>
      <c r="AU5" s="240"/>
      <c r="AV5" s="240"/>
      <c r="AW5" s="240"/>
      <c r="AX5" s="240"/>
      <c r="AY5" s="241"/>
      <c r="AZ5" s="174" t="s">
        <v>119</v>
      </c>
      <c r="BA5" s="224" t="s">
        <v>127</v>
      </c>
      <c r="BB5" s="225"/>
      <c r="BC5" s="225"/>
      <c r="BD5" s="226"/>
    </row>
    <row r="6" spans="2:61" ht="13.5" customHeight="1" x14ac:dyDescent="0.25">
      <c r="B6" s="173" t="s">
        <v>128</v>
      </c>
      <c r="C6" s="230">
        <f>'WAP - Wo 1'!$AS$6+1</f>
        <v>46300</v>
      </c>
      <c r="D6" s="231"/>
      <c r="E6" s="231"/>
      <c r="F6" s="231"/>
      <c r="G6" s="231"/>
      <c r="H6" s="231"/>
      <c r="I6" s="232"/>
      <c r="J6" s="230">
        <f>C6+1</f>
        <v>46301</v>
      </c>
      <c r="K6" s="231"/>
      <c r="L6" s="231"/>
      <c r="M6" s="231"/>
      <c r="N6" s="231"/>
      <c r="O6" s="231"/>
      <c r="P6" s="232"/>
      <c r="Q6" s="230">
        <f>J6+1</f>
        <v>46302</v>
      </c>
      <c r="R6" s="231"/>
      <c r="S6" s="231"/>
      <c r="T6" s="231"/>
      <c r="U6" s="231"/>
      <c r="V6" s="231"/>
      <c r="W6" s="232"/>
      <c r="X6" s="230">
        <f>Q6+1</f>
        <v>46303</v>
      </c>
      <c r="Y6" s="231"/>
      <c r="Z6" s="231"/>
      <c r="AA6" s="231"/>
      <c r="AB6" s="231"/>
      <c r="AC6" s="231"/>
      <c r="AD6" s="232"/>
      <c r="AE6" s="230">
        <f>X6+1</f>
        <v>46304</v>
      </c>
      <c r="AF6" s="231"/>
      <c r="AG6" s="231"/>
      <c r="AH6" s="231"/>
      <c r="AI6" s="231"/>
      <c r="AJ6" s="231"/>
      <c r="AK6" s="232"/>
      <c r="AL6" s="230">
        <f>AE6+1</f>
        <v>46305</v>
      </c>
      <c r="AM6" s="231"/>
      <c r="AN6" s="231"/>
      <c r="AO6" s="231"/>
      <c r="AP6" s="231"/>
      <c r="AQ6" s="231"/>
      <c r="AR6" s="232"/>
      <c r="AS6" s="230">
        <f>AL6+1</f>
        <v>46306</v>
      </c>
      <c r="AT6" s="231"/>
      <c r="AU6" s="231"/>
      <c r="AV6" s="231"/>
      <c r="AW6" s="231"/>
      <c r="AX6" s="231"/>
      <c r="AY6" s="232"/>
      <c r="AZ6" s="172" t="s">
        <v>128</v>
      </c>
      <c r="BA6" s="227"/>
      <c r="BB6" s="228"/>
      <c r="BC6" s="228"/>
      <c r="BD6" s="229"/>
    </row>
    <row r="7" spans="2:61" s="162" customFormat="1" ht="67.5" customHeight="1" x14ac:dyDescent="0.25">
      <c r="B7" s="171"/>
      <c r="C7" s="169" t="s">
        <v>191</v>
      </c>
      <c r="D7" s="169" t="s">
        <v>192</v>
      </c>
      <c r="E7" s="169" t="s">
        <v>63</v>
      </c>
      <c r="F7" s="169" t="s">
        <v>64</v>
      </c>
      <c r="G7" s="169" t="s">
        <v>66</v>
      </c>
      <c r="H7" s="168" t="s">
        <v>134</v>
      </c>
      <c r="I7" s="170" t="s">
        <v>135</v>
      </c>
      <c r="J7" s="169" t="s">
        <v>191</v>
      </c>
      <c r="K7" s="169" t="s">
        <v>192</v>
      </c>
      <c r="L7" s="169" t="s">
        <v>63</v>
      </c>
      <c r="M7" s="169" t="s">
        <v>64</v>
      </c>
      <c r="N7" s="169" t="s">
        <v>66</v>
      </c>
      <c r="O7" s="168" t="s">
        <v>134</v>
      </c>
      <c r="P7" s="170" t="s">
        <v>135</v>
      </c>
      <c r="Q7" s="169" t="s">
        <v>191</v>
      </c>
      <c r="R7" s="169" t="s">
        <v>192</v>
      </c>
      <c r="S7" s="169" t="s">
        <v>63</v>
      </c>
      <c r="T7" s="169" t="s">
        <v>64</v>
      </c>
      <c r="U7" s="169" t="s">
        <v>66</v>
      </c>
      <c r="V7" s="168" t="s">
        <v>134</v>
      </c>
      <c r="W7" s="170" t="s">
        <v>135</v>
      </c>
      <c r="X7" s="169" t="s">
        <v>191</v>
      </c>
      <c r="Y7" s="169" t="s">
        <v>192</v>
      </c>
      <c r="Z7" s="169" t="s">
        <v>63</v>
      </c>
      <c r="AA7" s="169" t="s">
        <v>64</v>
      </c>
      <c r="AB7" s="169" t="s">
        <v>66</v>
      </c>
      <c r="AC7" s="168" t="s">
        <v>134</v>
      </c>
      <c r="AD7" s="170" t="s">
        <v>135</v>
      </c>
      <c r="AE7" s="169" t="s">
        <v>191</v>
      </c>
      <c r="AF7" s="169" t="s">
        <v>192</v>
      </c>
      <c r="AG7" s="169" t="s">
        <v>63</v>
      </c>
      <c r="AH7" s="169" t="s">
        <v>64</v>
      </c>
      <c r="AI7" s="169" t="s">
        <v>66</v>
      </c>
      <c r="AJ7" s="168" t="s">
        <v>134</v>
      </c>
      <c r="AK7" s="167" t="s">
        <v>135</v>
      </c>
      <c r="AL7" s="242" t="s">
        <v>136</v>
      </c>
      <c r="AM7" s="243"/>
      <c r="AN7" s="243"/>
      <c r="AO7" s="243"/>
      <c r="AP7" s="243"/>
      <c r="AQ7" s="168" t="s">
        <v>134</v>
      </c>
      <c r="AR7" s="167" t="s">
        <v>135</v>
      </c>
      <c r="AS7" s="242" t="s">
        <v>136</v>
      </c>
      <c r="AT7" s="243"/>
      <c r="AU7" s="243"/>
      <c r="AV7" s="243"/>
      <c r="AW7" s="244"/>
      <c r="AX7" s="168" t="s">
        <v>134</v>
      </c>
      <c r="AY7" s="167" t="s">
        <v>135</v>
      </c>
      <c r="AZ7" s="166"/>
      <c r="BB7" s="165" t="s">
        <v>137</v>
      </c>
      <c r="BC7" s="164">
        <f ca="1">TODAY()</f>
        <v>46267</v>
      </c>
      <c r="BD7" s="163"/>
    </row>
    <row r="8" spans="2:61" ht="8.1" customHeight="1" x14ac:dyDescent="0.25">
      <c r="B8" s="161"/>
      <c r="C8" s="154"/>
      <c r="D8" s="153"/>
      <c r="E8" s="153"/>
      <c r="F8" s="153"/>
      <c r="G8" s="153"/>
      <c r="H8" s="152"/>
      <c r="I8" s="151"/>
      <c r="K8" s="153"/>
      <c r="L8" s="153"/>
      <c r="M8" s="153"/>
      <c r="N8" s="153"/>
      <c r="O8" s="152"/>
      <c r="P8" s="151"/>
      <c r="R8" s="153"/>
      <c r="S8" s="153"/>
      <c r="T8" s="153"/>
      <c r="U8" s="153"/>
      <c r="V8" s="152"/>
      <c r="W8" s="151"/>
      <c r="Y8" s="153"/>
      <c r="Z8" s="153"/>
      <c r="AA8" s="153"/>
      <c r="AB8" s="153"/>
      <c r="AC8" s="152"/>
      <c r="AD8" s="151"/>
      <c r="AE8" s="159"/>
      <c r="AF8" s="153"/>
      <c r="AG8" s="153"/>
      <c r="AH8" s="153"/>
      <c r="AI8" s="153"/>
      <c r="AJ8" s="152"/>
      <c r="AK8" s="151"/>
      <c r="AL8" s="148"/>
      <c r="AM8" s="148"/>
      <c r="AN8" s="148"/>
      <c r="AO8" s="148"/>
      <c r="AP8" s="153"/>
      <c r="AQ8" s="152"/>
      <c r="AR8" s="151"/>
      <c r="AS8" s="148"/>
      <c r="AT8" s="148"/>
      <c r="AU8" s="148"/>
      <c r="AV8" s="148"/>
      <c r="AW8" s="153"/>
      <c r="AX8" s="152"/>
      <c r="AY8" s="151"/>
      <c r="AZ8" s="160"/>
      <c r="BA8" s="198"/>
      <c r="BB8" s="155"/>
      <c r="BC8" s="155"/>
      <c r="BD8" s="199"/>
    </row>
    <row r="9" spans="2:61" ht="8.1" customHeight="1" x14ac:dyDescent="0.25">
      <c r="B9" s="234" t="s">
        <v>138</v>
      </c>
      <c r="C9" s="154"/>
      <c r="D9" s="153"/>
      <c r="E9" s="153"/>
      <c r="F9" s="153"/>
      <c r="G9" s="153"/>
      <c r="H9" s="152"/>
      <c r="I9" s="151"/>
      <c r="K9" s="153"/>
      <c r="L9" s="153"/>
      <c r="M9" s="153"/>
      <c r="N9" s="153"/>
      <c r="O9" s="152"/>
      <c r="P9" s="151"/>
      <c r="R9" s="153"/>
      <c r="S9" s="153"/>
      <c r="T9" s="153"/>
      <c r="U9" s="153"/>
      <c r="V9" s="152"/>
      <c r="W9" s="151"/>
      <c r="Y9" s="153"/>
      <c r="Z9" s="153"/>
      <c r="AA9" s="153"/>
      <c r="AB9" s="153"/>
      <c r="AC9" s="152"/>
      <c r="AD9" s="151"/>
      <c r="AE9" s="159"/>
      <c r="AF9" s="153"/>
      <c r="AG9" s="153"/>
      <c r="AH9" s="153"/>
      <c r="AI9" s="153"/>
      <c r="AJ9" s="152"/>
      <c r="AK9" s="158"/>
      <c r="AL9" s="153"/>
      <c r="AM9" s="153"/>
      <c r="AN9" s="153"/>
      <c r="AO9" s="153"/>
      <c r="AQ9" s="152"/>
      <c r="AR9" s="158"/>
      <c r="AS9" s="153"/>
      <c r="AT9" s="153"/>
      <c r="AU9" s="153"/>
      <c r="AV9" s="153"/>
      <c r="AX9" s="152"/>
      <c r="AY9" s="158"/>
      <c r="AZ9" s="234" t="s">
        <v>138</v>
      </c>
      <c r="BA9" s="198"/>
      <c r="BB9" s="203" t="s">
        <v>72</v>
      </c>
      <c r="BC9" s="155"/>
      <c r="BD9" s="199"/>
      <c r="BG9" s="155"/>
      <c r="BH9" s="155"/>
      <c r="BI9" s="155"/>
    </row>
    <row r="10" spans="2:61" ht="8.1" customHeight="1" x14ac:dyDescent="0.25">
      <c r="B10" s="235"/>
      <c r="C10" s="150"/>
      <c r="D10" s="148"/>
      <c r="E10" s="148"/>
      <c r="F10" s="148"/>
      <c r="G10" s="148"/>
      <c r="H10" s="147"/>
      <c r="I10" s="146"/>
      <c r="J10" s="149"/>
      <c r="K10" s="148"/>
      <c r="L10" s="148"/>
      <c r="M10" s="148"/>
      <c r="N10" s="148"/>
      <c r="O10" s="147"/>
      <c r="P10" s="146"/>
      <c r="Q10" s="149"/>
      <c r="R10" s="148"/>
      <c r="S10" s="148"/>
      <c r="T10" s="148"/>
      <c r="U10" s="148"/>
      <c r="V10" s="147"/>
      <c r="W10" s="146"/>
      <c r="X10" s="149"/>
      <c r="Y10" s="148"/>
      <c r="Z10" s="148"/>
      <c r="AA10" s="148"/>
      <c r="AB10" s="148"/>
      <c r="AC10" s="147"/>
      <c r="AD10" s="146"/>
      <c r="AE10" s="149"/>
      <c r="AF10" s="148"/>
      <c r="AG10" s="148"/>
      <c r="AH10" s="148"/>
      <c r="AI10" s="148"/>
      <c r="AJ10" s="147"/>
      <c r="AK10" s="146"/>
      <c r="AL10" s="148"/>
      <c r="AM10" s="148"/>
      <c r="AN10" s="148"/>
      <c r="AO10" s="148"/>
      <c r="AP10" s="148"/>
      <c r="AQ10" s="147"/>
      <c r="AR10" s="146"/>
      <c r="AS10" s="148"/>
      <c r="AT10" s="148"/>
      <c r="AU10" s="148"/>
      <c r="AV10" s="148"/>
      <c r="AW10" s="148"/>
      <c r="AX10" s="147"/>
      <c r="AY10" s="146"/>
      <c r="AZ10" s="235"/>
      <c r="BA10" s="198"/>
      <c r="BB10" s="204" t="s">
        <v>139</v>
      </c>
      <c r="BC10" s="155"/>
      <c r="BD10" s="199"/>
      <c r="BF10" s="155"/>
      <c r="BG10" s="155"/>
      <c r="BH10" s="155"/>
      <c r="BI10" s="155"/>
    </row>
    <row r="11" spans="2:61" ht="8.1" customHeight="1" x14ac:dyDescent="0.25">
      <c r="B11" s="234"/>
      <c r="C11" s="154"/>
      <c r="D11" s="153"/>
      <c r="E11" s="153"/>
      <c r="F11" s="153"/>
      <c r="G11" s="153"/>
      <c r="H11" s="152"/>
      <c r="I11" s="151"/>
      <c r="K11" s="153"/>
      <c r="L11" s="153"/>
      <c r="M11" s="153"/>
      <c r="N11" s="153"/>
      <c r="O11" s="152"/>
      <c r="P11" s="151"/>
      <c r="R11" s="153"/>
      <c r="S11" s="153"/>
      <c r="T11" s="153"/>
      <c r="U11" s="153"/>
      <c r="V11" s="152"/>
      <c r="W11" s="151"/>
      <c r="X11" s="149"/>
      <c r="Y11" s="153"/>
      <c r="Z11" s="153"/>
      <c r="AA11" s="153"/>
      <c r="AB11" s="153"/>
      <c r="AC11" s="152"/>
      <c r="AD11" s="151"/>
      <c r="AF11" s="153"/>
      <c r="AG11" s="153"/>
      <c r="AH11" s="153"/>
      <c r="AI11" s="153"/>
      <c r="AJ11" s="152"/>
      <c r="AK11" s="151"/>
      <c r="AL11" s="153"/>
      <c r="AM11" s="153"/>
      <c r="AN11" s="153"/>
      <c r="AO11" s="153"/>
      <c r="AP11" s="153"/>
      <c r="AQ11" s="152"/>
      <c r="AR11" s="151"/>
      <c r="AS11" s="153"/>
      <c r="AT11" s="153"/>
      <c r="AU11" s="153"/>
      <c r="AV11" s="153"/>
      <c r="AW11" s="153"/>
      <c r="AX11" s="152"/>
      <c r="AY11" s="151"/>
      <c r="AZ11" s="234"/>
      <c r="BA11" s="198"/>
      <c r="BB11" s="204" t="s">
        <v>140</v>
      </c>
      <c r="BC11" s="155"/>
      <c r="BD11" s="199"/>
      <c r="BF11" s="155"/>
      <c r="BG11" s="155"/>
      <c r="BH11" s="155"/>
      <c r="BI11" s="155"/>
    </row>
    <row r="12" spans="2:61" ht="8.1" customHeight="1" x14ac:dyDescent="0.25">
      <c r="B12" s="235"/>
      <c r="C12" s="150"/>
      <c r="D12" s="148"/>
      <c r="E12" s="148"/>
      <c r="F12" s="148"/>
      <c r="G12" s="148"/>
      <c r="H12" s="147"/>
      <c r="I12" s="146"/>
      <c r="J12" s="149"/>
      <c r="K12" s="148"/>
      <c r="L12" s="148"/>
      <c r="M12" s="148"/>
      <c r="N12" s="148"/>
      <c r="O12" s="147"/>
      <c r="P12" s="146"/>
      <c r="Q12" s="149"/>
      <c r="R12" s="148"/>
      <c r="S12" s="148"/>
      <c r="T12" s="148"/>
      <c r="U12" s="148"/>
      <c r="V12" s="147"/>
      <c r="W12" s="146"/>
      <c r="X12" s="149"/>
      <c r="Y12" s="148"/>
      <c r="Z12" s="148"/>
      <c r="AA12" s="148"/>
      <c r="AB12" s="148"/>
      <c r="AC12" s="147"/>
      <c r="AD12" s="146"/>
      <c r="AE12" s="149"/>
      <c r="AF12" s="148"/>
      <c r="AG12" s="148"/>
      <c r="AH12" s="148"/>
      <c r="AI12" s="148"/>
      <c r="AJ12" s="147"/>
      <c r="AK12" s="146"/>
      <c r="AL12" s="148"/>
      <c r="AM12" s="148"/>
      <c r="AN12" s="148"/>
      <c r="AO12" s="148"/>
      <c r="AP12" s="148"/>
      <c r="AQ12" s="147"/>
      <c r="AR12" s="146"/>
      <c r="AS12" s="148"/>
      <c r="AT12" s="148"/>
      <c r="AU12" s="148"/>
      <c r="AV12" s="148"/>
      <c r="AW12" s="148"/>
      <c r="AX12" s="147"/>
      <c r="AY12" s="146"/>
      <c r="AZ12" s="235"/>
      <c r="BA12" s="198"/>
      <c r="BB12" s="204" t="s">
        <v>141</v>
      </c>
      <c r="BC12" s="155"/>
      <c r="BD12" s="199"/>
      <c r="BF12" s="155"/>
      <c r="BG12" s="155"/>
      <c r="BH12" s="155"/>
      <c r="BI12" s="155"/>
    </row>
    <row r="13" spans="2:61" ht="8.1" customHeight="1" x14ac:dyDescent="0.25">
      <c r="B13" s="234" t="s">
        <v>142</v>
      </c>
      <c r="C13" s="154"/>
      <c r="D13" s="153"/>
      <c r="E13" s="153"/>
      <c r="F13" s="153"/>
      <c r="G13" s="153"/>
      <c r="H13" s="152"/>
      <c r="I13" s="151"/>
      <c r="K13" s="153"/>
      <c r="L13" s="153"/>
      <c r="M13" s="153"/>
      <c r="N13" s="153"/>
      <c r="O13" s="152"/>
      <c r="P13" s="151"/>
      <c r="R13" s="153"/>
      <c r="S13" s="153"/>
      <c r="T13" s="153"/>
      <c r="U13" s="153"/>
      <c r="V13" s="152"/>
      <c r="W13" s="151"/>
      <c r="Y13" s="153"/>
      <c r="Z13" s="153"/>
      <c r="AA13" s="153"/>
      <c r="AB13" s="153"/>
      <c r="AC13" s="152"/>
      <c r="AD13" s="151"/>
      <c r="AF13" s="153"/>
      <c r="AG13" s="153"/>
      <c r="AH13" s="153"/>
      <c r="AI13" s="153"/>
      <c r="AJ13" s="152"/>
      <c r="AK13" s="151"/>
      <c r="AL13" s="153"/>
      <c r="AM13" s="153"/>
      <c r="AN13" s="153"/>
      <c r="AO13" s="153"/>
      <c r="AP13" s="153"/>
      <c r="AQ13" s="152"/>
      <c r="AR13" s="151"/>
      <c r="AS13" s="153"/>
      <c r="AT13" s="153"/>
      <c r="AU13" s="153"/>
      <c r="AV13" s="153"/>
      <c r="AW13" s="153"/>
      <c r="AX13" s="152"/>
      <c r="AY13" s="151"/>
      <c r="AZ13" s="234" t="s">
        <v>142</v>
      </c>
      <c r="BA13" s="198"/>
      <c r="BB13" s="204" t="s">
        <v>143</v>
      </c>
      <c r="BC13" s="155"/>
      <c r="BD13" s="199"/>
      <c r="BF13" s="155"/>
      <c r="BG13" s="155"/>
      <c r="BH13" s="155"/>
      <c r="BI13" s="155"/>
    </row>
    <row r="14" spans="2:61" ht="8.1" customHeight="1" x14ac:dyDescent="0.25">
      <c r="B14" s="235"/>
      <c r="C14" s="150"/>
      <c r="D14" s="148"/>
      <c r="E14" s="148"/>
      <c r="F14" s="148"/>
      <c r="G14" s="148"/>
      <c r="H14" s="147"/>
      <c r="I14" s="146"/>
      <c r="J14" s="149"/>
      <c r="K14" s="148"/>
      <c r="L14" s="148"/>
      <c r="M14" s="148"/>
      <c r="N14" s="148"/>
      <c r="O14" s="147"/>
      <c r="P14" s="146"/>
      <c r="Q14" s="149"/>
      <c r="R14" s="148"/>
      <c r="S14" s="148"/>
      <c r="T14" s="148"/>
      <c r="U14" s="148"/>
      <c r="V14" s="147"/>
      <c r="W14" s="146"/>
      <c r="X14" s="149"/>
      <c r="Y14" s="148"/>
      <c r="Z14" s="148"/>
      <c r="AA14" s="148"/>
      <c r="AB14" s="148"/>
      <c r="AC14" s="147"/>
      <c r="AD14" s="146"/>
      <c r="AE14" s="149"/>
      <c r="AF14" s="148"/>
      <c r="AG14" s="148"/>
      <c r="AH14" s="148"/>
      <c r="AI14" s="148"/>
      <c r="AJ14" s="147"/>
      <c r="AK14" s="146"/>
      <c r="AL14" s="148"/>
      <c r="AM14" s="148"/>
      <c r="AN14" s="148"/>
      <c r="AO14" s="148"/>
      <c r="AP14" s="148"/>
      <c r="AQ14" s="147"/>
      <c r="AR14" s="146"/>
      <c r="AS14" s="148"/>
      <c r="AT14" s="148"/>
      <c r="AU14" s="148"/>
      <c r="AV14" s="148"/>
      <c r="AW14" s="148"/>
      <c r="AX14" s="147"/>
      <c r="AY14" s="146"/>
      <c r="AZ14" s="235"/>
      <c r="BA14" s="198"/>
      <c r="BB14" s="203"/>
      <c r="BC14" s="155"/>
      <c r="BD14" s="199"/>
      <c r="BF14" s="155"/>
      <c r="BG14" s="155"/>
      <c r="BH14" s="155"/>
      <c r="BI14" s="155"/>
    </row>
    <row r="15" spans="2:61" ht="8.1" customHeight="1" x14ac:dyDescent="0.25">
      <c r="B15" s="234"/>
      <c r="C15" s="154"/>
      <c r="D15" s="153"/>
      <c r="E15" s="153"/>
      <c r="F15" s="153"/>
      <c r="G15" s="153"/>
      <c r="H15" s="152"/>
      <c r="I15" s="151"/>
      <c r="K15" s="153"/>
      <c r="L15" s="153"/>
      <c r="M15" s="153"/>
      <c r="N15" s="153"/>
      <c r="O15" s="152"/>
      <c r="P15" s="151"/>
      <c r="R15" s="153"/>
      <c r="S15" s="153"/>
      <c r="T15" s="153"/>
      <c r="U15" s="153"/>
      <c r="V15" s="152"/>
      <c r="W15" s="151"/>
      <c r="Y15" s="153"/>
      <c r="Z15" s="153"/>
      <c r="AA15" s="153"/>
      <c r="AB15" s="153"/>
      <c r="AC15" s="152"/>
      <c r="AD15" s="151"/>
      <c r="AF15" s="153"/>
      <c r="AG15" s="153"/>
      <c r="AH15" s="153"/>
      <c r="AI15" s="153"/>
      <c r="AJ15" s="152"/>
      <c r="AK15" s="151"/>
      <c r="AL15" s="153"/>
      <c r="AM15" s="153"/>
      <c r="AN15" s="153"/>
      <c r="AO15" s="153"/>
      <c r="AP15" s="153"/>
      <c r="AQ15" s="152"/>
      <c r="AR15" s="151"/>
      <c r="AS15" s="153"/>
      <c r="AT15" s="153"/>
      <c r="AU15" s="153"/>
      <c r="AV15" s="153"/>
      <c r="AW15" s="153"/>
      <c r="AX15" s="152"/>
      <c r="AY15" s="151"/>
      <c r="AZ15" s="234"/>
      <c r="BA15" s="198"/>
      <c r="BB15" s="203"/>
      <c r="BC15" s="155"/>
      <c r="BD15" s="199"/>
      <c r="BF15" s="155"/>
      <c r="BG15" s="155"/>
      <c r="BH15" s="155"/>
      <c r="BI15" s="155"/>
    </row>
    <row r="16" spans="2:61" ht="8.1" customHeight="1" x14ac:dyDescent="0.25">
      <c r="B16" s="235"/>
      <c r="C16" s="150"/>
      <c r="D16" s="148"/>
      <c r="E16" s="148"/>
      <c r="F16" s="148"/>
      <c r="G16" s="148"/>
      <c r="H16" s="147"/>
      <c r="I16" s="146"/>
      <c r="J16" s="149"/>
      <c r="K16" s="148"/>
      <c r="L16" s="148"/>
      <c r="M16" s="148"/>
      <c r="N16" s="148"/>
      <c r="O16" s="147"/>
      <c r="P16" s="146"/>
      <c r="Q16" s="149"/>
      <c r="R16" s="148"/>
      <c r="S16" s="148"/>
      <c r="T16" s="148"/>
      <c r="U16" s="148"/>
      <c r="V16" s="147"/>
      <c r="W16" s="146"/>
      <c r="X16" s="149"/>
      <c r="Y16" s="148"/>
      <c r="Z16" s="148"/>
      <c r="AA16" s="148"/>
      <c r="AB16" s="148"/>
      <c r="AC16" s="147"/>
      <c r="AD16" s="146"/>
      <c r="AE16" s="149"/>
      <c r="AF16" s="148"/>
      <c r="AG16" s="148"/>
      <c r="AH16" s="148"/>
      <c r="AI16" s="148"/>
      <c r="AJ16" s="147"/>
      <c r="AK16" s="146"/>
      <c r="AL16" s="148"/>
      <c r="AM16" s="148"/>
      <c r="AN16" s="148"/>
      <c r="AO16" s="148"/>
      <c r="AP16" s="148"/>
      <c r="AQ16" s="147"/>
      <c r="AR16" s="146"/>
      <c r="AS16" s="148"/>
      <c r="AT16" s="148"/>
      <c r="AU16" s="148"/>
      <c r="AV16" s="148"/>
      <c r="AW16" s="148"/>
      <c r="AX16" s="147"/>
      <c r="AY16" s="146"/>
      <c r="AZ16" s="235"/>
      <c r="BA16" s="198"/>
      <c r="BB16" s="203" t="s">
        <v>144</v>
      </c>
      <c r="BC16" s="155"/>
      <c r="BD16" s="199"/>
      <c r="BF16" s="155"/>
      <c r="BG16" s="155"/>
      <c r="BH16" s="155"/>
      <c r="BI16" s="155"/>
    </row>
    <row r="17" spans="2:61" ht="8.1" customHeight="1" x14ac:dyDescent="0.25">
      <c r="B17" s="234" t="s">
        <v>145</v>
      </c>
      <c r="C17" s="154"/>
      <c r="D17" s="153"/>
      <c r="E17" s="153"/>
      <c r="F17" s="153"/>
      <c r="G17" s="153"/>
      <c r="H17" s="152"/>
      <c r="I17" s="151"/>
      <c r="K17" s="153"/>
      <c r="L17" s="153"/>
      <c r="M17" s="153"/>
      <c r="N17" s="153"/>
      <c r="O17" s="152"/>
      <c r="P17" s="151"/>
      <c r="R17" s="153"/>
      <c r="S17" s="153"/>
      <c r="T17" s="153"/>
      <c r="U17" s="153"/>
      <c r="V17" s="152"/>
      <c r="W17" s="151"/>
      <c r="Y17" s="153"/>
      <c r="Z17" s="153"/>
      <c r="AA17" s="153"/>
      <c r="AB17" s="153"/>
      <c r="AC17" s="152"/>
      <c r="AD17" s="151"/>
      <c r="AF17" s="153"/>
      <c r="AG17" s="153"/>
      <c r="AH17" s="153"/>
      <c r="AI17" s="153"/>
      <c r="AJ17" s="152"/>
      <c r="AK17" s="151"/>
      <c r="AL17" s="153"/>
      <c r="AM17" s="153"/>
      <c r="AN17" s="153"/>
      <c r="AO17" s="153"/>
      <c r="AP17" s="153"/>
      <c r="AQ17" s="152"/>
      <c r="AR17" s="151"/>
      <c r="AS17" s="153"/>
      <c r="AT17" s="153"/>
      <c r="AU17" s="153"/>
      <c r="AV17" s="153"/>
      <c r="AW17" s="153"/>
      <c r="AX17" s="152"/>
      <c r="AY17" s="151"/>
      <c r="AZ17" s="234" t="s">
        <v>145</v>
      </c>
      <c r="BA17" s="198"/>
      <c r="BB17" s="204" t="str">
        <f>_xlfn.CONCAT("KP: ",Einstellungen!$P$34)</f>
        <v>KP: (noch nicht bekannt)</v>
      </c>
      <c r="BC17" s="155"/>
      <c r="BD17" s="199"/>
      <c r="BF17" s="155"/>
      <c r="BG17" s="155"/>
      <c r="BH17" s="155"/>
      <c r="BI17" s="155"/>
    </row>
    <row r="18" spans="2:61" ht="8.1" customHeight="1" x14ac:dyDescent="0.25">
      <c r="B18" s="235"/>
      <c r="C18" s="150"/>
      <c r="D18" s="148"/>
      <c r="E18" s="148"/>
      <c r="F18" s="148"/>
      <c r="G18" s="148"/>
      <c r="H18" s="147"/>
      <c r="I18" s="146"/>
      <c r="J18" s="149"/>
      <c r="K18" s="148"/>
      <c r="L18" s="148"/>
      <c r="M18" s="148"/>
      <c r="N18" s="148"/>
      <c r="O18" s="147"/>
      <c r="P18" s="146"/>
      <c r="Q18" s="149"/>
      <c r="R18" s="148"/>
      <c r="S18" s="148"/>
      <c r="T18" s="148"/>
      <c r="U18" s="148"/>
      <c r="V18" s="147"/>
      <c r="W18" s="146"/>
      <c r="X18" s="149"/>
      <c r="Y18" s="148"/>
      <c r="Z18" s="148"/>
      <c r="AA18" s="148"/>
      <c r="AB18" s="148"/>
      <c r="AC18" s="147"/>
      <c r="AD18" s="146"/>
      <c r="AE18" s="149"/>
      <c r="AF18" s="148"/>
      <c r="AG18" s="148"/>
      <c r="AH18" s="148"/>
      <c r="AI18" s="148"/>
      <c r="AJ18" s="147"/>
      <c r="AK18" s="146"/>
      <c r="AL18" s="148"/>
      <c r="AM18" s="148"/>
      <c r="AN18" s="148"/>
      <c r="AO18" s="148"/>
      <c r="AP18" s="148"/>
      <c r="AQ18" s="147"/>
      <c r="AR18" s="146"/>
      <c r="AS18" s="148"/>
      <c r="AT18" s="148"/>
      <c r="AU18" s="148"/>
      <c r="AV18" s="148"/>
      <c r="AW18" s="148"/>
      <c r="AX18" s="147"/>
      <c r="AY18" s="146"/>
      <c r="AZ18" s="235"/>
      <c r="BA18" s="198"/>
      <c r="BB18" s="204" t="str">
        <f>_xlfn.CONCAT("LVZ/MCC: ",Einstellungen!$R$34)</f>
        <v>LVZ/MCC: (noch nicht bekannt)</v>
      </c>
      <c r="BC18" s="155"/>
      <c r="BD18" s="199"/>
      <c r="BF18" s="155"/>
      <c r="BG18" s="155"/>
      <c r="BH18" s="155"/>
      <c r="BI18" s="155"/>
    </row>
    <row r="19" spans="2:61" ht="8.1" customHeight="1" x14ac:dyDescent="0.25">
      <c r="B19" s="234"/>
      <c r="C19" s="154"/>
      <c r="D19" s="153"/>
      <c r="E19" s="153"/>
      <c r="F19" s="153"/>
      <c r="G19" s="153"/>
      <c r="H19" s="152"/>
      <c r="I19" s="151"/>
      <c r="K19" s="153"/>
      <c r="L19" s="153"/>
      <c r="M19" s="153"/>
      <c r="N19" s="153"/>
      <c r="O19" s="152"/>
      <c r="P19" s="151"/>
      <c r="R19" s="153"/>
      <c r="S19" s="153"/>
      <c r="T19" s="153"/>
      <c r="U19" s="153"/>
      <c r="V19" s="152"/>
      <c r="W19" s="151"/>
      <c r="Y19" s="153"/>
      <c r="Z19" s="153"/>
      <c r="AA19" s="153"/>
      <c r="AB19" s="153"/>
      <c r="AC19" s="152"/>
      <c r="AD19" s="151"/>
      <c r="AF19" s="153"/>
      <c r="AG19" s="153"/>
      <c r="AH19" s="153"/>
      <c r="AI19" s="153"/>
      <c r="AJ19" s="152"/>
      <c r="AK19" s="151"/>
      <c r="AL19" s="153"/>
      <c r="AM19" s="153"/>
      <c r="AN19" s="153"/>
      <c r="AO19" s="153"/>
      <c r="AP19" s="153"/>
      <c r="AQ19" s="152"/>
      <c r="AR19" s="151"/>
      <c r="AS19" s="153"/>
      <c r="AT19" s="153"/>
      <c r="AU19" s="153"/>
      <c r="AV19" s="153"/>
      <c r="AW19" s="153"/>
      <c r="AX19" s="152"/>
      <c r="AY19" s="151"/>
      <c r="AZ19" s="234"/>
      <c r="BA19" s="198"/>
      <c r="BB19" s="204" t="str">
        <f>_xlfn.CONCAT("Tagesof: ",Einstellungen!$P$37)</f>
        <v>Tagesof: (noch nicht bekannt)</v>
      </c>
      <c r="BC19" s="155"/>
      <c r="BD19" s="199"/>
      <c r="BF19" s="155"/>
      <c r="BG19" s="155"/>
      <c r="BH19" s="155"/>
      <c r="BI19" s="155"/>
    </row>
    <row r="20" spans="2:61" ht="8.1" customHeight="1" x14ac:dyDescent="0.25">
      <c r="B20" s="235"/>
      <c r="C20" s="150"/>
      <c r="D20" s="148"/>
      <c r="E20" s="148"/>
      <c r="F20" s="148"/>
      <c r="G20" s="148"/>
      <c r="H20" s="147"/>
      <c r="I20" s="146"/>
      <c r="J20" s="149"/>
      <c r="K20" s="148"/>
      <c r="L20" s="148"/>
      <c r="M20" s="148"/>
      <c r="N20" s="148"/>
      <c r="O20" s="147"/>
      <c r="P20" s="146"/>
      <c r="Q20" s="149"/>
      <c r="R20" s="148"/>
      <c r="S20" s="148"/>
      <c r="T20" s="148"/>
      <c r="U20" s="148"/>
      <c r="V20" s="147"/>
      <c r="W20" s="146"/>
      <c r="X20" s="149"/>
      <c r="Y20" s="148"/>
      <c r="Z20" s="148"/>
      <c r="AA20" s="148"/>
      <c r="AB20" s="148"/>
      <c r="AC20" s="147"/>
      <c r="AD20" s="146"/>
      <c r="AE20" s="149"/>
      <c r="AF20" s="148"/>
      <c r="AG20" s="148"/>
      <c r="AH20" s="148"/>
      <c r="AI20" s="148"/>
      <c r="AJ20" s="147"/>
      <c r="AK20" s="146"/>
      <c r="AL20" s="148"/>
      <c r="AM20" s="148"/>
      <c r="AN20" s="148"/>
      <c r="AO20" s="148"/>
      <c r="AP20" s="148"/>
      <c r="AQ20" s="147"/>
      <c r="AR20" s="146"/>
      <c r="AS20" s="148"/>
      <c r="AT20" s="148"/>
      <c r="AU20" s="148"/>
      <c r="AV20" s="148"/>
      <c r="AW20" s="148"/>
      <c r="AX20" s="147"/>
      <c r="AY20" s="146"/>
      <c r="AZ20" s="235"/>
      <c r="BA20" s="198"/>
      <c r="BB20" s="204" t="str">
        <f>_xlfn.CONCAT("Wachtof: ",Einstellungen!$R$37)</f>
        <v>Wachtof: (noch nicht bekannt)</v>
      </c>
      <c r="BC20" s="155"/>
      <c r="BD20" s="199"/>
      <c r="BF20" s="155"/>
      <c r="BG20" s="155"/>
      <c r="BH20" s="155"/>
      <c r="BI20" s="155"/>
    </row>
    <row r="21" spans="2:61" ht="8.1" customHeight="1" x14ac:dyDescent="0.25">
      <c r="B21" s="234" t="s">
        <v>146</v>
      </c>
      <c r="C21" s="154"/>
      <c r="D21" s="153"/>
      <c r="E21" s="153"/>
      <c r="F21" s="153"/>
      <c r="G21" s="153"/>
      <c r="H21" s="152"/>
      <c r="I21" s="151"/>
      <c r="K21" s="153"/>
      <c r="L21" s="153"/>
      <c r="M21" s="153"/>
      <c r="N21" s="153"/>
      <c r="O21" s="152"/>
      <c r="P21" s="151"/>
      <c r="R21" s="153"/>
      <c r="S21" s="153"/>
      <c r="T21" s="153"/>
      <c r="U21" s="153"/>
      <c r="V21" s="152"/>
      <c r="W21" s="151"/>
      <c r="Y21" s="153"/>
      <c r="Z21" s="153"/>
      <c r="AA21" s="153"/>
      <c r="AB21" s="153"/>
      <c r="AC21" s="152"/>
      <c r="AD21" s="151"/>
      <c r="AF21" s="153"/>
      <c r="AG21" s="153"/>
      <c r="AH21" s="153"/>
      <c r="AI21" s="153"/>
      <c r="AJ21" s="152"/>
      <c r="AK21" s="151"/>
      <c r="AL21" s="153"/>
      <c r="AM21" s="153"/>
      <c r="AN21" s="153"/>
      <c r="AO21" s="153"/>
      <c r="AP21" s="153"/>
      <c r="AQ21" s="152"/>
      <c r="AR21" s="151"/>
      <c r="AS21" s="153"/>
      <c r="AT21" s="153"/>
      <c r="AU21" s="153"/>
      <c r="AV21" s="153"/>
      <c r="AW21" s="153"/>
      <c r="AX21" s="152"/>
      <c r="AY21" s="151"/>
      <c r="AZ21" s="234" t="s">
        <v>146</v>
      </c>
      <c r="BA21" s="198"/>
      <c r="BB21" s="203"/>
      <c r="BC21" s="155"/>
      <c r="BD21" s="199"/>
      <c r="BF21" s="155"/>
      <c r="BG21" s="155"/>
      <c r="BH21" s="155"/>
      <c r="BI21" s="155"/>
    </row>
    <row r="22" spans="2:61" ht="8.1" customHeight="1" x14ac:dyDescent="0.25">
      <c r="B22" s="235"/>
      <c r="C22" s="150"/>
      <c r="D22" s="148"/>
      <c r="E22" s="148"/>
      <c r="F22" s="148"/>
      <c r="G22" s="148"/>
      <c r="H22" s="147"/>
      <c r="I22" s="146"/>
      <c r="J22" s="149"/>
      <c r="K22" s="148"/>
      <c r="L22" s="148"/>
      <c r="M22" s="148"/>
      <c r="N22" s="148"/>
      <c r="O22" s="147"/>
      <c r="P22" s="146"/>
      <c r="Q22" s="149"/>
      <c r="R22" s="148"/>
      <c r="S22" s="148"/>
      <c r="T22" s="148"/>
      <c r="U22" s="148"/>
      <c r="V22" s="147"/>
      <c r="W22" s="146"/>
      <c r="X22" s="149"/>
      <c r="Y22" s="148"/>
      <c r="Z22" s="148"/>
      <c r="AA22" s="148"/>
      <c r="AB22" s="148"/>
      <c r="AC22" s="147"/>
      <c r="AD22" s="146"/>
      <c r="AE22" s="149"/>
      <c r="AF22" s="148"/>
      <c r="AG22" s="148"/>
      <c r="AH22" s="148"/>
      <c r="AI22" s="148"/>
      <c r="AJ22" s="147"/>
      <c r="AK22" s="146"/>
      <c r="AL22" s="148"/>
      <c r="AM22" s="148"/>
      <c r="AN22" s="148"/>
      <c r="AO22" s="148"/>
      <c r="AP22" s="148"/>
      <c r="AQ22" s="147"/>
      <c r="AR22" s="146"/>
      <c r="AS22" s="148"/>
      <c r="AT22" s="148"/>
      <c r="AU22" s="148"/>
      <c r="AV22" s="148"/>
      <c r="AW22" s="148"/>
      <c r="AX22" s="147"/>
      <c r="AY22" s="146"/>
      <c r="AZ22" s="235"/>
      <c r="BA22" s="198"/>
      <c r="BB22" s="203"/>
      <c r="BC22" s="155"/>
      <c r="BD22" s="199"/>
      <c r="BF22" s="155"/>
      <c r="BG22" s="155"/>
      <c r="BH22" s="155"/>
      <c r="BI22" s="155"/>
    </row>
    <row r="23" spans="2:61" ht="8.1" customHeight="1" x14ac:dyDescent="0.25">
      <c r="B23" s="234"/>
      <c r="C23" s="154"/>
      <c r="D23" s="153"/>
      <c r="E23" s="153"/>
      <c r="F23" s="153"/>
      <c r="G23" s="153"/>
      <c r="H23" s="152"/>
      <c r="I23" s="151"/>
      <c r="K23" s="153"/>
      <c r="L23" s="153"/>
      <c r="M23" s="153"/>
      <c r="N23" s="153"/>
      <c r="O23" s="152"/>
      <c r="P23" s="151"/>
      <c r="R23" s="153"/>
      <c r="S23" s="153"/>
      <c r="T23" s="153"/>
      <c r="U23" s="153"/>
      <c r="V23" s="152"/>
      <c r="W23" s="151"/>
      <c r="Y23" s="153"/>
      <c r="Z23" s="153"/>
      <c r="AA23" s="153"/>
      <c r="AB23" s="153"/>
      <c r="AC23" s="152"/>
      <c r="AD23" s="151"/>
      <c r="AF23" s="153"/>
      <c r="AG23" s="153"/>
      <c r="AH23" s="153"/>
      <c r="AI23" s="153"/>
      <c r="AJ23" s="152"/>
      <c r="AK23" s="151"/>
      <c r="AL23" s="153"/>
      <c r="AM23" s="153"/>
      <c r="AN23" s="153"/>
      <c r="AO23" s="153"/>
      <c r="AP23" s="153"/>
      <c r="AQ23" s="152"/>
      <c r="AR23" s="151"/>
      <c r="AS23" s="153"/>
      <c r="AT23" s="153"/>
      <c r="AU23" s="153"/>
      <c r="AV23" s="153"/>
      <c r="AW23" s="153"/>
      <c r="AX23" s="152"/>
      <c r="AY23" s="151"/>
      <c r="AZ23" s="234"/>
      <c r="BA23" s="198"/>
      <c r="BB23" s="203"/>
      <c r="BC23" s="155"/>
      <c r="BD23" s="199"/>
      <c r="BF23" s="155"/>
      <c r="BG23" s="155"/>
      <c r="BH23" s="155"/>
      <c r="BI23" s="155"/>
    </row>
    <row r="24" spans="2:61" ht="8.1" customHeight="1" x14ac:dyDescent="0.25">
      <c r="B24" s="235"/>
      <c r="C24" s="150"/>
      <c r="D24" s="148"/>
      <c r="E24" s="148"/>
      <c r="F24" s="148"/>
      <c r="G24" s="148"/>
      <c r="H24" s="147"/>
      <c r="I24" s="146"/>
      <c r="J24" s="149"/>
      <c r="K24" s="148"/>
      <c r="L24" s="148"/>
      <c r="M24" s="148"/>
      <c r="N24" s="148"/>
      <c r="O24" s="147"/>
      <c r="P24" s="146"/>
      <c r="Q24" s="149"/>
      <c r="R24" s="148"/>
      <c r="S24" s="148"/>
      <c r="T24" s="148"/>
      <c r="U24" s="148"/>
      <c r="V24" s="147"/>
      <c r="W24" s="146"/>
      <c r="X24" s="149"/>
      <c r="Y24" s="148"/>
      <c r="Z24" s="148"/>
      <c r="AA24" s="148"/>
      <c r="AB24" s="148"/>
      <c r="AC24" s="147"/>
      <c r="AD24" s="146"/>
      <c r="AE24" s="149"/>
      <c r="AF24" s="148"/>
      <c r="AG24" s="148"/>
      <c r="AH24" s="148"/>
      <c r="AI24" s="148"/>
      <c r="AJ24" s="147"/>
      <c r="AK24" s="146"/>
      <c r="AL24" s="148"/>
      <c r="AM24" s="148"/>
      <c r="AN24" s="148"/>
      <c r="AO24" s="148"/>
      <c r="AP24" s="148"/>
      <c r="AQ24" s="147"/>
      <c r="AR24" s="146"/>
      <c r="AS24" s="148"/>
      <c r="AT24" s="148"/>
      <c r="AU24" s="148"/>
      <c r="AV24" s="148"/>
      <c r="AW24" s="148"/>
      <c r="AX24" s="147"/>
      <c r="AY24" s="146"/>
      <c r="AZ24" s="235"/>
      <c r="BA24" s="198"/>
      <c r="BB24" s="204"/>
      <c r="BC24" s="155"/>
      <c r="BD24" s="199"/>
      <c r="BF24" s="155"/>
      <c r="BG24" s="155"/>
      <c r="BH24" s="155"/>
      <c r="BI24" s="155"/>
    </row>
    <row r="25" spans="2:61" ht="8.1" customHeight="1" x14ac:dyDescent="0.25">
      <c r="B25" s="234" t="s">
        <v>149</v>
      </c>
      <c r="C25" s="154"/>
      <c r="D25" s="153"/>
      <c r="E25" s="153"/>
      <c r="F25" s="153"/>
      <c r="G25" s="153"/>
      <c r="H25" s="152"/>
      <c r="I25" s="151"/>
      <c r="K25" s="153"/>
      <c r="L25" s="153"/>
      <c r="M25" s="153"/>
      <c r="N25" s="153"/>
      <c r="O25" s="152"/>
      <c r="P25" s="151"/>
      <c r="R25" s="153"/>
      <c r="S25" s="153"/>
      <c r="T25" s="153"/>
      <c r="U25" s="153"/>
      <c r="V25" s="152"/>
      <c r="W25" s="151"/>
      <c r="Y25" s="153"/>
      <c r="Z25" s="153"/>
      <c r="AA25" s="153"/>
      <c r="AB25" s="153"/>
      <c r="AC25" s="152"/>
      <c r="AD25" s="151"/>
      <c r="AF25" s="153"/>
      <c r="AG25" s="153"/>
      <c r="AH25" s="153"/>
      <c r="AI25" s="153"/>
      <c r="AJ25" s="152"/>
      <c r="AK25" s="151"/>
      <c r="AL25" s="153"/>
      <c r="AM25" s="153"/>
      <c r="AN25" s="153"/>
      <c r="AO25" s="153"/>
      <c r="AP25" s="153"/>
      <c r="AQ25" s="152"/>
      <c r="AR25" s="151"/>
      <c r="AS25" s="153"/>
      <c r="AT25" s="153"/>
      <c r="AU25" s="153"/>
      <c r="AV25" s="153"/>
      <c r="AW25" s="153"/>
      <c r="AX25" s="152"/>
      <c r="AY25" s="151"/>
      <c r="AZ25" s="234" t="s">
        <v>149</v>
      </c>
      <c r="BA25" s="198"/>
      <c r="BB25" s="203"/>
      <c r="BC25" s="155"/>
      <c r="BD25" s="199"/>
      <c r="BF25" s="155"/>
      <c r="BG25" s="155"/>
      <c r="BH25" s="155"/>
      <c r="BI25" s="155"/>
    </row>
    <row r="26" spans="2:61" ht="8.1" customHeight="1" x14ac:dyDescent="0.25">
      <c r="B26" s="235"/>
      <c r="C26" s="150"/>
      <c r="D26" s="148"/>
      <c r="E26" s="148"/>
      <c r="F26" s="148"/>
      <c r="G26" s="148"/>
      <c r="H26" s="147"/>
      <c r="I26" s="146"/>
      <c r="J26" s="149"/>
      <c r="K26" s="148"/>
      <c r="L26" s="148"/>
      <c r="M26" s="148"/>
      <c r="N26" s="148"/>
      <c r="O26" s="147"/>
      <c r="P26" s="146"/>
      <c r="Q26" s="149"/>
      <c r="R26" s="148"/>
      <c r="S26" s="148"/>
      <c r="T26" s="148"/>
      <c r="U26" s="148"/>
      <c r="V26" s="147"/>
      <c r="W26" s="146"/>
      <c r="X26" s="149"/>
      <c r="Y26" s="148"/>
      <c r="Z26" s="148"/>
      <c r="AA26" s="148"/>
      <c r="AB26" s="148"/>
      <c r="AC26" s="147"/>
      <c r="AD26" s="146"/>
      <c r="AE26" s="149"/>
      <c r="AF26" s="148"/>
      <c r="AG26" s="148"/>
      <c r="AH26" s="148"/>
      <c r="AI26" s="148"/>
      <c r="AJ26" s="147"/>
      <c r="AK26" s="146"/>
      <c r="AL26" s="148"/>
      <c r="AM26" s="148"/>
      <c r="AN26" s="148"/>
      <c r="AO26" s="148"/>
      <c r="AP26" s="148"/>
      <c r="AQ26" s="147"/>
      <c r="AR26" s="146"/>
      <c r="AS26" s="148"/>
      <c r="AT26" s="148"/>
      <c r="AU26" s="148"/>
      <c r="AV26" s="148"/>
      <c r="AW26" s="148"/>
      <c r="AX26" s="147"/>
      <c r="AY26" s="146"/>
      <c r="AZ26" s="235"/>
      <c r="BA26" s="198"/>
      <c r="BB26" s="203"/>
      <c r="BC26" s="155"/>
      <c r="BD26" s="199"/>
      <c r="BF26" s="155"/>
      <c r="BG26" s="155"/>
      <c r="BH26" s="155"/>
      <c r="BI26" s="155"/>
    </row>
    <row r="27" spans="2:61" ht="8.1" customHeight="1" x14ac:dyDescent="0.25">
      <c r="B27" s="234"/>
      <c r="C27" s="154"/>
      <c r="D27" s="153"/>
      <c r="E27" s="153"/>
      <c r="F27" s="153"/>
      <c r="G27" s="153"/>
      <c r="H27" s="152"/>
      <c r="I27" s="151"/>
      <c r="K27" s="153"/>
      <c r="L27" s="153"/>
      <c r="M27" s="153"/>
      <c r="N27" s="153"/>
      <c r="O27" s="152"/>
      <c r="P27" s="151"/>
      <c r="R27" s="153"/>
      <c r="S27" s="153"/>
      <c r="T27" s="153"/>
      <c r="U27" s="153"/>
      <c r="V27" s="152"/>
      <c r="W27" s="151"/>
      <c r="Y27" s="153"/>
      <c r="Z27" s="153"/>
      <c r="AA27" s="153"/>
      <c r="AB27" s="153"/>
      <c r="AC27" s="152"/>
      <c r="AD27" s="151"/>
      <c r="AF27" s="153"/>
      <c r="AG27" s="153"/>
      <c r="AH27" s="153"/>
      <c r="AI27" s="153"/>
      <c r="AJ27" s="152"/>
      <c r="AK27" s="151"/>
      <c r="AL27" s="153"/>
      <c r="AM27" s="153"/>
      <c r="AN27" s="153"/>
      <c r="AO27" s="153"/>
      <c r="AP27" s="153"/>
      <c r="AQ27" s="152"/>
      <c r="AR27" s="151"/>
      <c r="AS27" s="153"/>
      <c r="AT27" s="153"/>
      <c r="AU27" s="153"/>
      <c r="AV27" s="153"/>
      <c r="AW27" s="153"/>
      <c r="AX27" s="152"/>
      <c r="AY27" s="151"/>
      <c r="AZ27" s="234"/>
      <c r="BA27" s="198"/>
      <c r="BB27" s="203"/>
      <c r="BC27" s="155"/>
      <c r="BD27" s="199"/>
      <c r="BF27" s="155"/>
      <c r="BG27" s="155"/>
      <c r="BH27" s="155"/>
      <c r="BI27" s="155"/>
    </row>
    <row r="28" spans="2:61" ht="8.1" customHeight="1" x14ac:dyDescent="0.25">
      <c r="B28" s="235"/>
      <c r="C28" s="150"/>
      <c r="D28" s="148"/>
      <c r="E28" s="148"/>
      <c r="F28" s="148"/>
      <c r="G28" s="148"/>
      <c r="H28" s="147"/>
      <c r="I28" s="146"/>
      <c r="J28" s="149"/>
      <c r="K28" s="148"/>
      <c r="L28" s="148"/>
      <c r="M28" s="148"/>
      <c r="N28" s="148"/>
      <c r="O28" s="147"/>
      <c r="P28" s="146"/>
      <c r="Q28" s="149"/>
      <c r="R28" s="148"/>
      <c r="S28" s="148"/>
      <c r="T28" s="148"/>
      <c r="U28" s="148"/>
      <c r="V28" s="147"/>
      <c r="W28" s="146"/>
      <c r="X28" s="149"/>
      <c r="Y28" s="148"/>
      <c r="Z28" s="148"/>
      <c r="AA28" s="148"/>
      <c r="AB28" s="148"/>
      <c r="AC28" s="147"/>
      <c r="AD28" s="146"/>
      <c r="AE28" s="149"/>
      <c r="AF28" s="148"/>
      <c r="AG28" s="148"/>
      <c r="AH28" s="148"/>
      <c r="AI28" s="148"/>
      <c r="AJ28" s="147"/>
      <c r="AK28" s="146"/>
      <c r="AL28" s="148"/>
      <c r="AM28" s="148"/>
      <c r="AN28" s="148"/>
      <c r="AO28" s="148"/>
      <c r="AP28" s="148"/>
      <c r="AQ28" s="147"/>
      <c r="AR28" s="146"/>
      <c r="AS28" s="148"/>
      <c r="AT28" s="148"/>
      <c r="AU28" s="148"/>
      <c r="AV28" s="148"/>
      <c r="AW28" s="148"/>
      <c r="AX28" s="147"/>
      <c r="AY28" s="146"/>
      <c r="AZ28" s="235"/>
      <c r="BA28" s="198"/>
      <c r="BB28" s="203"/>
      <c r="BC28" s="155"/>
      <c r="BD28" s="199"/>
      <c r="BF28" s="155"/>
      <c r="BG28" s="155"/>
      <c r="BH28" s="155"/>
      <c r="BI28" s="155"/>
    </row>
    <row r="29" spans="2:61" ht="8.1" customHeight="1" x14ac:dyDescent="0.25">
      <c r="B29" s="234" t="s">
        <v>150</v>
      </c>
      <c r="C29" s="154"/>
      <c r="D29" s="153"/>
      <c r="E29" s="153"/>
      <c r="F29" s="153"/>
      <c r="G29" s="153"/>
      <c r="H29" s="152"/>
      <c r="I29" s="151"/>
      <c r="K29" s="153"/>
      <c r="L29" s="153"/>
      <c r="M29" s="153"/>
      <c r="N29" s="153"/>
      <c r="O29" s="152"/>
      <c r="P29" s="151"/>
      <c r="R29" s="153"/>
      <c r="S29" s="153"/>
      <c r="T29" s="153"/>
      <c r="U29" s="153"/>
      <c r="V29" s="152"/>
      <c r="W29" s="151"/>
      <c r="Y29" s="153"/>
      <c r="Z29" s="153"/>
      <c r="AA29" s="153"/>
      <c r="AB29" s="153"/>
      <c r="AC29" s="152"/>
      <c r="AD29" s="151"/>
      <c r="AF29" s="153"/>
      <c r="AG29" s="153"/>
      <c r="AH29" s="153"/>
      <c r="AI29" s="153"/>
      <c r="AJ29" s="152"/>
      <c r="AK29" s="151"/>
      <c r="AL29" s="153"/>
      <c r="AM29" s="153"/>
      <c r="AN29" s="153"/>
      <c r="AO29" s="153"/>
      <c r="AP29" s="153"/>
      <c r="AQ29" s="152"/>
      <c r="AR29" s="151"/>
      <c r="AS29" s="153"/>
      <c r="AT29" s="153"/>
      <c r="AU29" s="153"/>
      <c r="AV29" s="153"/>
      <c r="AW29" s="153"/>
      <c r="AX29" s="152"/>
      <c r="AY29" s="151"/>
      <c r="AZ29" s="234" t="s">
        <v>150</v>
      </c>
      <c r="BA29" s="198"/>
      <c r="BB29" s="203"/>
      <c r="BC29" s="155"/>
      <c r="BD29" s="199"/>
      <c r="BF29" s="155"/>
      <c r="BG29" s="155"/>
      <c r="BH29" s="155"/>
      <c r="BI29" s="155"/>
    </row>
    <row r="30" spans="2:61" ht="8.1" customHeight="1" x14ac:dyDescent="0.25">
      <c r="B30" s="235"/>
      <c r="C30" s="150"/>
      <c r="D30" s="148"/>
      <c r="E30" s="148"/>
      <c r="F30" s="148"/>
      <c r="G30" s="148"/>
      <c r="H30" s="147"/>
      <c r="I30" s="146"/>
      <c r="J30" s="149"/>
      <c r="K30" s="148"/>
      <c r="L30" s="148"/>
      <c r="M30" s="148"/>
      <c r="N30" s="148"/>
      <c r="O30" s="147"/>
      <c r="P30" s="146"/>
      <c r="Q30" s="149"/>
      <c r="R30" s="148"/>
      <c r="S30" s="148"/>
      <c r="T30" s="148"/>
      <c r="U30" s="148"/>
      <c r="V30" s="147"/>
      <c r="W30" s="146"/>
      <c r="X30" s="149"/>
      <c r="Y30" s="148"/>
      <c r="Z30" s="148"/>
      <c r="AA30" s="148"/>
      <c r="AB30" s="148"/>
      <c r="AC30" s="147"/>
      <c r="AD30" s="146"/>
      <c r="AE30" s="149"/>
      <c r="AF30" s="148"/>
      <c r="AG30" s="148"/>
      <c r="AH30" s="148"/>
      <c r="AI30" s="148"/>
      <c r="AJ30" s="147"/>
      <c r="AK30" s="146"/>
      <c r="AL30" s="148"/>
      <c r="AM30" s="148"/>
      <c r="AN30" s="148"/>
      <c r="AO30" s="148"/>
      <c r="AP30" s="148"/>
      <c r="AQ30" s="147"/>
      <c r="AR30" s="146"/>
      <c r="AS30" s="148"/>
      <c r="AT30" s="148"/>
      <c r="AU30" s="148"/>
      <c r="AV30" s="148"/>
      <c r="AW30" s="148"/>
      <c r="AX30" s="147"/>
      <c r="AY30" s="146"/>
      <c r="AZ30" s="235"/>
      <c r="BA30" s="198"/>
      <c r="BB30" s="203"/>
      <c r="BC30" s="155"/>
      <c r="BD30" s="199"/>
      <c r="BF30" s="155"/>
      <c r="BG30" s="155"/>
      <c r="BH30" s="155"/>
      <c r="BI30" s="155"/>
    </row>
    <row r="31" spans="2:61" ht="8.1" customHeight="1" x14ac:dyDescent="0.25">
      <c r="B31" s="234"/>
      <c r="C31" s="154"/>
      <c r="D31" s="153"/>
      <c r="E31" s="153"/>
      <c r="F31" s="153"/>
      <c r="G31" s="153"/>
      <c r="H31" s="152"/>
      <c r="I31" s="151"/>
      <c r="K31" s="153"/>
      <c r="L31" s="153"/>
      <c r="M31" s="153"/>
      <c r="N31" s="153"/>
      <c r="O31" s="152"/>
      <c r="P31" s="151"/>
      <c r="R31" s="153"/>
      <c r="S31" s="153"/>
      <c r="T31" s="153"/>
      <c r="U31" s="153"/>
      <c r="V31" s="152"/>
      <c r="W31" s="151"/>
      <c r="Y31" s="153"/>
      <c r="Z31" s="153"/>
      <c r="AA31" s="153"/>
      <c r="AB31" s="153"/>
      <c r="AC31" s="152"/>
      <c r="AD31" s="151"/>
      <c r="AF31" s="153"/>
      <c r="AG31" s="153"/>
      <c r="AH31" s="153"/>
      <c r="AI31" s="153"/>
      <c r="AJ31" s="152"/>
      <c r="AK31" s="151"/>
      <c r="AL31" s="153"/>
      <c r="AM31" s="153"/>
      <c r="AN31" s="153"/>
      <c r="AO31" s="153"/>
      <c r="AP31" s="153"/>
      <c r="AQ31" s="152"/>
      <c r="AR31" s="151"/>
      <c r="AS31" s="153"/>
      <c r="AT31" s="153"/>
      <c r="AU31" s="153"/>
      <c r="AV31" s="153"/>
      <c r="AW31" s="153"/>
      <c r="AX31" s="152"/>
      <c r="AY31" s="151"/>
      <c r="AZ31" s="234"/>
      <c r="BA31" s="198"/>
      <c r="BB31" s="155"/>
      <c r="BC31" s="155"/>
      <c r="BD31" s="199"/>
      <c r="BF31" s="155"/>
      <c r="BG31" s="155"/>
      <c r="BH31" s="155"/>
      <c r="BI31" s="155"/>
    </row>
    <row r="32" spans="2:61" ht="8.1" customHeight="1" x14ac:dyDescent="0.25">
      <c r="B32" s="235"/>
      <c r="C32" s="150"/>
      <c r="D32" s="148"/>
      <c r="E32" s="148"/>
      <c r="F32" s="148"/>
      <c r="G32" s="148"/>
      <c r="H32" s="147"/>
      <c r="I32" s="146"/>
      <c r="J32" s="149"/>
      <c r="K32" s="148"/>
      <c r="L32" s="148"/>
      <c r="M32" s="148"/>
      <c r="N32" s="148"/>
      <c r="O32" s="147"/>
      <c r="P32" s="146"/>
      <c r="Q32" s="149"/>
      <c r="R32" s="148"/>
      <c r="S32" s="148"/>
      <c r="T32" s="148"/>
      <c r="U32" s="148"/>
      <c r="V32" s="147"/>
      <c r="W32" s="146"/>
      <c r="X32" s="149"/>
      <c r="Y32" s="148"/>
      <c r="Z32" s="148"/>
      <c r="AA32" s="148"/>
      <c r="AB32" s="148"/>
      <c r="AC32" s="147"/>
      <c r="AD32" s="146"/>
      <c r="AE32" s="149"/>
      <c r="AF32" s="148"/>
      <c r="AG32" s="148"/>
      <c r="AH32" s="148"/>
      <c r="AI32" s="148"/>
      <c r="AJ32" s="147"/>
      <c r="AK32" s="146"/>
      <c r="AL32" s="148"/>
      <c r="AM32" s="148"/>
      <c r="AN32" s="148"/>
      <c r="AO32" s="148"/>
      <c r="AP32" s="148"/>
      <c r="AQ32" s="147"/>
      <c r="AR32" s="146"/>
      <c r="AS32" s="148"/>
      <c r="AT32" s="148"/>
      <c r="AU32" s="148"/>
      <c r="AV32" s="148"/>
      <c r="AW32" s="148"/>
      <c r="AX32" s="147"/>
      <c r="AY32" s="146"/>
      <c r="AZ32" s="235"/>
      <c r="BA32" s="198"/>
      <c r="BB32" s="155"/>
      <c r="BC32" s="155"/>
      <c r="BD32" s="199"/>
      <c r="BF32" s="155"/>
      <c r="BG32" s="155"/>
      <c r="BH32" s="155"/>
      <c r="BI32" s="155"/>
    </row>
    <row r="33" spans="2:61" ht="8.1" customHeight="1" x14ac:dyDescent="0.25">
      <c r="B33" s="234" t="s">
        <v>151</v>
      </c>
      <c r="C33" s="154"/>
      <c r="D33" s="153"/>
      <c r="E33" s="153"/>
      <c r="F33" s="153"/>
      <c r="G33" s="153"/>
      <c r="H33" s="152"/>
      <c r="I33" s="151"/>
      <c r="K33" s="153"/>
      <c r="L33" s="153"/>
      <c r="M33" s="153"/>
      <c r="N33" s="153"/>
      <c r="O33" s="152"/>
      <c r="P33" s="151"/>
      <c r="R33" s="153"/>
      <c r="S33" s="153"/>
      <c r="T33" s="153"/>
      <c r="U33" s="153"/>
      <c r="V33" s="152"/>
      <c r="W33" s="151"/>
      <c r="Y33" s="153"/>
      <c r="Z33" s="153"/>
      <c r="AA33" s="153"/>
      <c r="AB33" s="153"/>
      <c r="AC33" s="152"/>
      <c r="AD33" s="151"/>
      <c r="AF33" s="153"/>
      <c r="AG33" s="153"/>
      <c r="AH33" s="153"/>
      <c r="AI33" s="153"/>
      <c r="AJ33" s="152"/>
      <c r="AK33" s="151"/>
      <c r="AL33" s="153"/>
      <c r="AM33" s="153"/>
      <c r="AN33" s="153"/>
      <c r="AO33" s="153"/>
      <c r="AP33" s="153"/>
      <c r="AQ33" s="152"/>
      <c r="AR33" s="151"/>
      <c r="AS33" s="153"/>
      <c r="AT33" s="153"/>
      <c r="AU33" s="153"/>
      <c r="AV33" s="153"/>
      <c r="AW33" s="153"/>
      <c r="AX33" s="152"/>
      <c r="AY33" s="151"/>
      <c r="AZ33" s="234" t="s">
        <v>151</v>
      </c>
      <c r="BA33" s="198"/>
      <c r="BB33" s="155"/>
      <c r="BC33" s="155"/>
      <c r="BD33" s="199"/>
      <c r="BF33" s="155"/>
      <c r="BG33" s="155"/>
      <c r="BH33" s="155"/>
      <c r="BI33" s="155"/>
    </row>
    <row r="34" spans="2:61" ht="8.1" customHeight="1" x14ac:dyDescent="0.25">
      <c r="B34" s="235"/>
      <c r="C34" s="150"/>
      <c r="D34" s="148"/>
      <c r="E34" s="148"/>
      <c r="F34" s="148"/>
      <c r="G34" s="148"/>
      <c r="H34" s="147"/>
      <c r="I34" s="146"/>
      <c r="J34" s="149"/>
      <c r="K34" s="148"/>
      <c r="L34" s="148"/>
      <c r="M34" s="148"/>
      <c r="N34" s="148"/>
      <c r="O34" s="147"/>
      <c r="P34" s="146"/>
      <c r="Q34" s="149"/>
      <c r="R34" s="148"/>
      <c r="S34" s="148"/>
      <c r="T34" s="148"/>
      <c r="U34" s="148"/>
      <c r="V34" s="147"/>
      <c r="W34" s="146"/>
      <c r="X34" s="149"/>
      <c r="Y34" s="148"/>
      <c r="Z34" s="148"/>
      <c r="AA34" s="148"/>
      <c r="AB34" s="148"/>
      <c r="AC34" s="147"/>
      <c r="AD34" s="146"/>
      <c r="AE34" s="149"/>
      <c r="AF34" s="148"/>
      <c r="AG34" s="148"/>
      <c r="AH34" s="148"/>
      <c r="AI34" s="148"/>
      <c r="AJ34" s="147"/>
      <c r="AK34" s="146"/>
      <c r="AL34" s="148"/>
      <c r="AM34" s="148"/>
      <c r="AN34" s="148"/>
      <c r="AO34" s="148"/>
      <c r="AP34" s="148"/>
      <c r="AQ34" s="147"/>
      <c r="AR34" s="146"/>
      <c r="AS34" s="148"/>
      <c r="AT34" s="148"/>
      <c r="AU34" s="148"/>
      <c r="AV34" s="148"/>
      <c r="AW34" s="148"/>
      <c r="AX34" s="147"/>
      <c r="AY34" s="146"/>
      <c r="AZ34" s="235"/>
      <c r="BA34" s="198"/>
      <c r="BB34" s="155"/>
      <c r="BC34" s="155"/>
      <c r="BD34" s="199"/>
      <c r="BF34" s="155"/>
      <c r="BG34" s="155"/>
      <c r="BH34" s="155"/>
      <c r="BI34" s="155"/>
    </row>
    <row r="35" spans="2:61" ht="8.1" customHeight="1" x14ac:dyDescent="0.25">
      <c r="B35" s="234"/>
      <c r="C35" s="154"/>
      <c r="D35" s="153"/>
      <c r="E35" s="153"/>
      <c r="F35" s="153"/>
      <c r="G35" s="153"/>
      <c r="H35" s="152"/>
      <c r="I35" s="151"/>
      <c r="K35" s="153"/>
      <c r="L35" s="153"/>
      <c r="M35" s="153"/>
      <c r="N35" s="153"/>
      <c r="O35" s="152"/>
      <c r="P35" s="151"/>
      <c r="R35" s="153"/>
      <c r="S35" s="153"/>
      <c r="T35" s="153"/>
      <c r="U35" s="153"/>
      <c r="V35" s="152"/>
      <c r="W35" s="151"/>
      <c r="Y35" s="153"/>
      <c r="Z35" s="153"/>
      <c r="AA35" s="153"/>
      <c r="AB35" s="153"/>
      <c r="AC35" s="152"/>
      <c r="AD35" s="151"/>
      <c r="AF35" s="153"/>
      <c r="AG35" s="153"/>
      <c r="AH35" s="153"/>
      <c r="AI35" s="153"/>
      <c r="AJ35" s="152"/>
      <c r="AK35" s="151"/>
      <c r="AL35" s="153"/>
      <c r="AM35" s="153"/>
      <c r="AN35" s="153"/>
      <c r="AO35" s="153"/>
      <c r="AP35" s="153"/>
      <c r="AQ35" s="152"/>
      <c r="AR35" s="151"/>
      <c r="AS35" s="153"/>
      <c r="AT35" s="153"/>
      <c r="AU35" s="153"/>
      <c r="AV35" s="153"/>
      <c r="AW35" s="153"/>
      <c r="AX35" s="152"/>
      <c r="AY35" s="151"/>
      <c r="AZ35" s="234"/>
      <c r="BA35" s="198"/>
      <c r="BB35" s="155"/>
      <c r="BC35" s="155"/>
      <c r="BD35" s="199"/>
      <c r="BF35" s="155"/>
      <c r="BG35" s="155"/>
      <c r="BH35" s="155"/>
      <c r="BI35" s="155"/>
    </row>
    <row r="36" spans="2:61" ht="8.1" customHeight="1" x14ac:dyDescent="0.25">
      <c r="B36" s="235"/>
      <c r="C36" s="150"/>
      <c r="D36" s="148"/>
      <c r="E36" s="148"/>
      <c r="F36" s="148"/>
      <c r="G36" s="148"/>
      <c r="H36" s="147"/>
      <c r="I36" s="146"/>
      <c r="J36" s="149"/>
      <c r="K36" s="148"/>
      <c r="L36" s="148"/>
      <c r="M36" s="148"/>
      <c r="N36" s="148"/>
      <c r="O36" s="147"/>
      <c r="P36" s="146"/>
      <c r="Q36" s="149"/>
      <c r="R36" s="148"/>
      <c r="S36" s="148"/>
      <c r="T36" s="148"/>
      <c r="U36" s="148"/>
      <c r="V36" s="147"/>
      <c r="W36" s="146"/>
      <c r="X36" s="149"/>
      <c r="Y36" s="148"/>
      <c r="Z36" s="148"/>
      <c r="AA36" s="148"/>
      <c r="AB36" s="148"/>
      <c r="AC36" s="147"/>
      <c r="AD36" s="146"/>
      <c r="AE36" s="149"/>
      <c r="AF36" s="148"/>
      <c r="AG36" s="148"/>
      <c r="AH36" s="148"/>
      <c r="AI36" s="148"/>
      <c r="AJ36" s="147"/>
      <c r="AK36" s="146"/>
      <c r="AL36" s="148"/>
      <c r="AM36" s="148"/>
      <c r="AN36" s="148"/>
      <c r="AO36" s="148"/>
      <c r="AP36" s="148"/>
      <c r="AQ36" s="147"/>
      <c r="AR36" s="146"/>
      <c r="AS36" s="148"/>
      <c r="AT36" s="148"/>
      <c r="AU36" s="148"/>
      <c r="AV36" s="148"/>
      <c r="AW36" s="148"/>
      <c r="AX36" s="147"/>
      <c r="AY36" s="146"/>
      <c r="AZ36" s="235"/>
      <c r="BA36" s="198"/>
      <c r="BB36" s="155"/>
      <c r="BC36" s="155"/>
      <c r="BD36" s="199"/>
      <c r="BF36" s="155"/>
      <c r="BG36" s="155"/>
      <c r="BH36" s="155"/>
      <c r="BI36" s="155"/>
    </row>
    <row r="37" spans="2:61" ht="8.1" customHeight="1" x14ac:dyDescent="0.25">
      <c r="B37" s="234" t="s">
        <v>152</v>
      </c>
      <c r="C37" s="154"/>
      <c r="D37" s="153"/>
      <c r="E37" s="153"/>
      <c r="F37" s="153"/>
      <c r="G37" s="153"/>
      <c r="H37" s="152"/>
      <c r="I37" s="151"/>
      <c r="K37" s="153"/>
      <c r="L37" s="153"/>
      <c r="M37" s="153"/>
      <c r="N37" s="153"/>
      <c r="O37" s="152"/>
      <c r="P37" s="151"/>
      <c r="R37" s="153"/>
      <c r="S37" s="153"/>
      <c r="T37" s="153"/>
      <c r="U37" s="153"/>
      <c r="V37" s="152"/>
      <c r="W37" s="151"/>
      <c r="Y37" s="153"/>
      <c r="Z37" s="153"/>
      <c r="AA37" s="153"/>
      <c r="AB37" s="153"/>
      <c r="AC37" s="152"/>
      <c r="AD37" s="151"/>
      <c r="AF37" s="153"/>
      <c r="AG37" s="153"/>
      <c r="AH37" s="153"/>
      <c r="AI37" s="153"/>
      <c r="AJ37" s="152"/>
      <c r="AK37" s="151"/>
      <c r="AL37" s="153"/>
      <c r="AM37" s="153"/>
      <c r="AN37" s="153"/>
      <c r="AO37" s="153"/>
      <c r="AP37" s="153"/>
      <c r="AQ37" s="152"/>
      <c r="AR37" s="151"/>
      <c r="AS37" s="153"/>
      <c r="AT37" s="153"/>
      <c r="AU37" s="153"/>
      <c r="AV37" s="153"/>
      <c r="AW37" s="153"/>
      <c r="AX37" s="152"/>
      <c r="AY37" s="151"/>
      <c r="AZ37" s="234" t="s">
        <v>152</v>
      </c>
      <c r="BA37" s="198"/>
      <c r="BB37" s="155"/>
      <c r="BC37" s="155"/>
      <c r="BD37" s="199"/>
      <c r="BF37" s="155"/>
      <c r="BG37" s="155"/>
      <c r="BH37" s="155"/>
      <c r="BI37" s="155"/>
    </row>
    <row r="38" spans="2:61" ht="8.1" customHeight="1" x14ac:dyDescent="0.25">
      <c r="B38" s="235"/>
      <c r="C38" s="150"/>
      <c r="D38" s="148"/>
      <c r="E38" s="148"/>
      <c r="F38" s="148"/>
      <c r="G38" s="148"/>
      <c r="H38" s="147"/>
      <c r="I38" s="146"/>
      <c r="J38" s="149"/>
      <c r="K38" s="148"/>
      <c r="L38" s="148"/>
      <c r="M38" s="148"/>
      <c r="N38" s="148"/>
      <c r="O38" s="147"/>
      <c r="P38" s="146"/>
      <c r="Q38" s="149"/>
      <c r="R38" s="148"/>
      <c r="S38" s="148"/>
      <c r="T38" s="148"/>
      <c r="U38" s="148"/>
      <c r="V38" s="147"/>
      <c r="W38" s="146"/>
      <c r="X38" s="149"/>
      <c r="Y38" s="148"/>
      <c r="Z38" s="148"/>
      <c r="AA38" s="148"/>
      <c r="AB38" s="148"/>
      <c r="AC38" s="147"/>
      <c r="AD38" s="146"/>
      <c r="AE38" s="149"/>
      <c r="AF38" s="148"/>
      <c r="AG38" s="148"/>
      <c r="AH38" s="148"/>
      <c r="AI38" s="148"/>
      <c r="AJ38" s="147"/>
      <c r="AK38" s="146"/>
      <c r="AL38" s="148"/>
      <c r="AM38" s="148"/>
      <c r="AN38" s="148"/>
      <c r="AO38" s="148"/>
      <c r="AP38" s="148"/>
      <c r="AQ38" s="147"/>
      <c r="AR38" s="146"/>
      <c r="AS38" s="148"/>
      <c r="AT38" s="148"/>
      <c r="AU38" s="148"/>
      <c r="AV38" s="148"/>
      <c r="AW38" s="148"/>
      <c r="AX38" s="147"/>
      <c r="AY38" s="146"/>
      <c r="AZ38" s="235"/>
      <c r="BA38" s="198"/>
      <c r="BB38" s="155"/>
      <c r="BC38" s="155"/>
      <c r="BD38" s="199"/>
      <c r="BF38" s="155"/>
      <c r="BG38" s="155"/>
      <c r="BH38" s="155"/>
      <c r="BI38" s="155"/>
    </row>
    <row r="39" spans="2:61" ht="8.1" customHeight="1" x14ac:dyDescent="0.25">
      <c r="B39" s="234"/>
      <c r="C39" s="154"/>
      <c r="D39" s="153"/>
      <c r="E39" s="153"/>
      <c r="F39" s="153"/>
      <c r="G39" s="153"/>
      <c r="H39" s="152"/>
      <c r="I39" s="151"/>
      <c r="K39" s="153"/>
      <c r="L39" s="153"/>
      <c r="M39" s="153"/>
      <c r="N39" s="153"/>
      <c r="O39" s="152"/>
      <c r="P39" s="151"/>
      <c r="R39" s="153"/>
      <c r="S39" s="153"/>
      <c r="T39" s="153"/>
      <c r="U39" s="153"/>
      <c r="V39" s="152"/>
      <c r="W39" s="151"/>
      <c r="Y39" s="153"/>
      <c r="Z39" s="153"/>
      <c r="AA39" s="153"/>
      <c r="AB39" s="153"/>
      <c r="AC39" s="152"/>
      <c r="AD39" s="151"/>
      <c r="AF39" s="153"/>
      <c r="AG39" s="153"/>
      <c r="AH39" s="153"/>
      <c r="AI39" s="153"/>
      <c r="AJ39" s="152"/>
      <c r="AK39" s="151"/>
      <c r="AL39" s="153"/>
      <c r="AM39" s="153"/>
      <c r="AN39" s="153"/>
      <c r="AO39" s="153"/>
      <c r="AP39" s="153"/>
      <c r="AQ39" s="152"/>
      <c r="AR39" s="151"/>
      <c r="AS39" s="153"/>
      <c r="AT39" s="153"/>
      <c r="AU39" s="153"/>
      <c r="AV39" s="153"/>
      <c r="AW39" s="153"/>
      <c r="AX39" s="152"/>
      <c r="AY39" s="151"/>
      <c r="AZ39" s="234"/>
      <c r="BA39" s="198"/>
      <c r="BB39" s="155"/>
      <c r="BC39" s="155"/>
      <c r="BD39" s="199"/>
      <c r="BF39" s="155"/>
      <c r="BG39" s="155"/>
      <c r="BH39" s="155"/>
      <c r="BI39" s="155"/>
    </row>
    <row r="40" spans="2:61" ht="8.1" customHeight="1" x14ac:dyDescent="0.25">
      <c r="B40" s="235"/>
      <c r="C40" s="150"/>
      <c r="D40" s="148"/>
      <c r="E40" s="148"/>
      <c r="F40" s="148"/>
      <c r="G40" s="148"/>
      <c r="H40" s="147"/>
      <c r="I40" s="146"/>
      <c r="J40" s="149"/>
      <c r="K40" s="148"/>
      <c r="L40" s="148"/>
      <c r="M40" s="148"/>
      <c r="N40" s="148"/>
      <c r="O40" s="147"/>
      <c r="P40" s="146"/>
      <c r="Q40" s="149"/>
      <c r="R40" s="148"/>
      <c r="S40" s="148"/>
      <c r="T40" s="148"/>
      <c r="U40" s="148"/>
      <c r="V40" s="147"/>
      <c r="W40" s="146"/>
      <c r="X40" s="149"/>
      <c r="Y40" s="148"/>
      <c r="Z40" s="148"/>
      <c r="AA40" s="148"/>
      <c r="AB40" s="148"/>
      <c r="AC40" s="147"/>
      <c r="AD40" s="146"/>
      <c r="AE40" s="149"/>
      <c r="AF40" s="148"/>
      <c r="AG40" s="148"/>
      <c r="AH40" s="148"/>
      <c r="AI40" s="148"/>
      <c r="AJ40" s="147"/>
      <c r="AK40" s="146"/>
      <c r="AL40" s="148"/>
      <c r="AM40" s="148"/>
      <c r="AN40" s="148"/>
      <c r="AO40" s="148"/>
      <c r="AP40" s="148"/>
      <c r="AQ40" s="147"/>
      <c r="AR40" s="146"/>
      <c r="AS40" s="148"/>
      <c r="AT40" s="148"/>
      <c r="AU40" s="148"/>
      <c r="AV40" s="148"/>
      <c r="AW40" s="148"/>
      <c r="AX40" s="147"/>
      <c r="AY40" s="146"/>
      <c r="AZ40" s="235"/>
      <c r="BA40" s="198"/>
      <c r="BB40" s="155"/>
      <c r="BC40" s="155"/>
      <c r="BD40" s="199"/>
      <c r="BF40" s="155"/>
      <c r="BG40" s="155"/>
      <c r="BH40" s="155"/>
      <c r="BI40" s="155"/>
    </row>
    <row r="41" spans="2:61" ht="8.1" customHeight="1" x14ac:dyDescent="0.25">
      <c r="B41" s="234" t="s">
        <v>153</v>
      </c>
      <c r="C41" s="154"/>
      <c r="D41" s="153"/>
      <c r="E41" s="153"/>
      <c r="F41" s="153"/>
      <c r="G41" s="153"/>
      <c r="H41" s="152"/>
      <c r="I41" s="151"/>
      <c r="K41" s="153"/>
      <c r="L41" s="153"/>
      <c r="M41" s="153"/>
      <c r="N41" s="153"/>
      <c r="O41" s="152"/>
      <c r="P41" s="151"/>
      <c r="R41" s="153"/>
      <c r="S41" s="153"/>
      <c r="T41" s="153"/>
      <c r="U41" s="153"/>
      <c r="V41" s="152"/>
      <c r="W41" s="151"/>
      <c r="Y41" s="153"/>
      <c r="Z41" s="153"/>
      <c r="AA41" s="153"/>
      <c r="AB41" s="153"/>
      <c r="AC41" s="152"/>
      <c r="AD41" s="151"/>
      <c r="AF41" s="153"/>
      <c r="AG41" s="153"/>
      <c r="AH41" s="153"/>
      <c r="AI41" s="153"/>
      <c r="AJ41" s="152"/>
      <c r="AK41" s="151"/>
      <c r="AL41" s="153"/>
      <c r="AM41" s="153"/>
      <c r="AN41" s="153"/>
      <c r="AO41" s="153"/>
      <c r="AP41" s="153"/>
      <c r="AQ41" s="152"/>
      <c r="AR41" s="151"/>
      <c r="AS41" s="153"/>
      <c r="AT41" s="153"/>
      <c r="AU41" s="153"/>
      <c r="AV41" s="153"/>
      <c r="AW41" s="153"/>
      <c r="AX41" s="152"/>
      <c r="AY41" s="151"/>
      <c r="AZ41" s="234" t="s">
        <v>153</v>
      </c>
      <c r="BA41" s="198"/>
      <c r="BB41" s="155"/>
      <c r="BC41" s="155"/>
      <c r="BD41" s="199"/>
      <c r="BF41" s="155"/>
      <c r="BG41" s="155"/>
      <c r="BH41" s="155"/>
      <c r="BI41" s="155"/>
    </row>
    <row r="42" spans="2:61" ht="8.1" customHeight="1" x14ac:dyDescent="0.25">
      <c r="B42" s="235"/>
      <c r="C42" s="150"/>
      <c r="D42" s="148"/>
      <c r="E42" s="148"/>
      <c r="F42" s="148"/>
      <c r="G42" s="148"/>
      <c r="H42" s="147"/>
      <c r="I42" s="146"/>
      <c r="J42" s="149"/>
      <c r="K42" s="148"/>
      <c r="L42" s="148"/>
      <c r="M42" s="148"/>
      <c r="N42" s="148"/>
      <c r="O42" s="147"/>
      <c r="P42" s="146"/>
      <c r="Q42" s="149"/>
      <c r="R42" s="148"/>
      <c r="S42" s="148"/>
      <c r="T42" s="148"/>
      <c r="U42" s="148"/>
      <c r="V42" s="147"/>
      <c r="W42" s="146"/>
      <c r="X42" s="149"/>
      <c r="Y42" s="148"/>
      <c r="Z42" s="148"/>
      <c r="AA42" s="148"/>
      <c r="AB42" s="148"/>
      <c r="AC42" s="147"/>
      <c r="AD42" s="146"/>
      <c r="AE42" s="149"/>
      <c r="AF42" s="148"/>
      <c r="AG42" s="148"/>
      <c r="AH42" s="148"/>
      <c r="AI42" s="148"/>
      <c r="AJ42" s="147"/>
      <c r="AK42" s="146"/>
      <c r="AL42" s="148"/>
      <c r="AM42" s="148"/>
      <c r="AN42" s="148"/>
      <c r="AO42" s="148"/>
      <c r="AP42" s="148"/>
      <c r="AQ42" s="147"/>
      <c r="AR42" s="146"/>
      <c r="AS42" s="148"/>
      <c r="AT42" s="148"/>
      <c r="AU42" s="148"/>
      <c r="AV42" s="148"/>
      <c r="AW42" s="148"/>
      <c r="AX42" s="147"/>
      <c r="AY42" s="146"/>
      <c r="AZ42" s="235"/>
      <c r="BA42" s="198"/>
      <c r="BB42" s="155"/>
      <c r="BC42" s="155"/>
      <c r="BD42" s="199"/>
      <c r="BF42" s="155"/>
      <c r="BG42" s="155"/>
      <c r="BH42" s="155"/>
      <c r="BI42" s="155"/>
    </row>
    <row r="43" spans="2:61" ht="8.1" customHeight="1" x14ac:dyDescent="0.25">
      <c r="B43" s="234"/>
      <c r="C43" s="154"/>
      <c r="D43" s="153"/>
      <c r="E43" s="153"/>
      <c r="F43" s="153"/>
      <c r="G43" s="153"/>
      <c r="H43" s="152"/>
      <c r="I43" s="151"/>
      <c r="K43" s="153"/>
      <c r="L43" s="153"/>
      <c r="M43" s="153"/>
      <c r="N43" s="153"/>
      <c r="O43" s="152"/>
      <c r="P43" s="151"/>
      <c r="R43" s="153"/>
      <c r="S43" s="153"/>
      <c r="T43" s="153"/>
      <c r="U43" s="153"/>
      <c r="V43" s="152"/>
      <c r="W43" s="151"/>
      <c r="Y43" s="153"/>
      <c r="Z43" s="153"/>
      <c r="AA43" s="153"/>
      <c r="AB43" s="153"/>
      <c r="AC43" s="152"/>
      <c r="AD43" s="151"/>
      <c r="AF43" s="153"/>
      <c r="AG43" s="153"/>
      <c r="AH43" s="153"/>
      <c r="AI43" s="153"/>
      <c r="AJ43" s="152"/>
      <c r="AK43" s="151"/>
      <c r="AL43" s="153"/>
      <c r="AM43" s="153"/>
      <c r="AN43" s="153"/>
      <c r="AO43" s="153"/>
      <c r="AP43" s="153"/>
      <c r="AQ43" s="152"/>
      <c r="AR43" s="151"/>
      <c r="AS43" s="153"/>
      <c r="AT43" s="153"/>
      <c r="AU43" s="153"/>
      <c r="AV43" s="153"/>
      <c r="AW43" s="153"/>
      <c r="AX43" s="152"/>
      <c r="AY43" s="151"/>
      <c r="AZ43" s="234"/>
      <c r="BA43" s="198"/>
      <c r="BB43" s="155"/>
      <c r="BC43" s="155"/>
      <c r="BD43" s="199"/>
      <c r="BF43" s="155"/>
      <c r="BG43" s="155"/>
      <c r="BH43" s="155"/>
      <c r="BI43" s="155"/>
    </row>
    <row r="44" spans="2:61" ht="8.1" customHeight="1" x14ac:dyDescent="0.25">
      <c r="B44" s="235"/>
      <c r="C44" s="150"/>
      <c r="D44" s="148"/>
      <c r="E44" s="148"/>
      <c r="F44" s="148"/>
      <c r="G44" s="148"/>
      <c r="H44" s="147"/>
      <c r="I44" s="146"/>
      <c r="J44" s="149"/>
      <c r="K44" s="148"/>
      <c r="L44" s="148"/>
      <c r="M44" s="148"/>
      <c r="N44" s="148"/>
      <c r="O44" s="147"/>
      <c r="P44" s="146"/>
      <c r="Q44" s="149"/>
      <c r="R44" s="148"/>
      <c r="S44" s="148"/>
      <c r="T44" s="148"/>
      <c r="U44" s="148"/>
      <c r="V44" s="147"/>
      <c r="W44" s="146"/>
      <c r="X44" s="149"/>
      <c r="Y44" s="148"/>
      <c r="Z44" s="148"/>
      <c r="AA44" s="148"/>
      <c r="AB44" s="148"/>
      <c r="AC44" s="147"/>
      <c r="AD44" s="146"/>
      <c r="AE44" s="149"/>
      <c r="AF44" s="148"/>
      <c r="AG44" s="148"/>
      <c r="AH44" s="148"/>
      <c r="AI44" s="148"/>
      <c r="AJ44" s="147"/>
      <c r="AK44" s="146"/>
      <c r="AL44" s="148"/>
      <c r="AM44" s="148"/>
      <c r="AN44" s="148"/>
      <c r="AO44" s="148"/>
      <c r="AP44" s="148"/>
      <c r="AQ44" s="147"/>
      <c r="AR44" s="146"/>
      <c r="AS44" s="148"/>
      <c r="AT44" s="148"/>
      <c r="AU44" s="148"/>
      <c r="AV44" s="148"/>
      <c r="AW44" s="148"/>
      <c r="AX44" s="147"/>
      <c r="AY44" s="146"/>
      <c r="AZ44" s="235"/>
      <c r="BA44" s="198"/>
      <c r="BB44" s="155"/>
      <c r="BC44" s="155"/>
      <c r="BD44" s="199"/>
      <c r="BF44" s="155"/>
      <c r="BG44" s="155"/>
      <c r="BH44" s="155"/>
      <c r="BI44" s="155"/>
    </row>
    <row r="45" spans="2:61" ht="8.1" customHeight="1" x14ac:dyDescent="0.25">
      <c r="B45" s="234" t="s">
        <v>154</v>
      </c>
      <c r="C45" s="154"/>
      <c r="D45" s="153"/>
      <c r="E45" s="153"/>
      <c r="F45" s="153"/>
      <c r="G45" s="153"/>
      <c r="H45" s="152"/>
      <c r="I45" s="151"/>
      <c r="K45" s="153"/>
      <c r="L45" s="153"/>
      <c r="M45" s="153"/>
      <c r="N45" s="153"/>
      <c r="O45" s="152"/>
      <c r="P45" s="151"/>
      <c r="R45" s="153"/>
      <c r="S45" s="153"/>
      <c r="T45" s="153"/>
      <c r="U45" s="153"/>
      <c r="V45" s="152"/>
      <c r="W45" s="151"/>
      <c r="Y45" s="153"/>
      <c r="Z45" s="153"/>
      <c r="AA45" s="153"/>
      <c r="AB45" s="153"/>
      <c r="AC45" s="152"/>
      <c r="AD45" s="151"/>
      <c r="AF45" s="153"/>
      <c r="AG45" s="153"/>
      <c r="AH45" s="153"/>
      <c r="AI45" s="153"/>
      <c r="AJ45" s="152"/>
      <c r="AK45" s="151"/>
      <c r="AL45" s="153"/>
      <c r="AM45" s="153"/>
      <c r="AN45" s="153"/>
      <c r="AO45" s="153"/>
      <c r="AP45" s="153"/>
      <c r="AQ45" s="152"/>
      <c r="AR45" s="151"/>
      <c r="AS45" s="153"/>
      <c r="AT45" s="153"/>
      <c r="AU45" s="153"/>
      <c r="AV45" s="153"/>
      <c r="AW45" s="153"/>
      <c r="AX45" s="152"/>
      <c r="AY45" s="151"/>
      <c r="AZ45" s="234" t="s">
        <v>154</v>
      </c>
      <c r="BA45" s="198"/>
      <c r="BB45" s="155"/>
      <c r="BC45" s="155"/>
      <c r="BD45" s="199"/>
      <c r="BF45" s="155"/>
      <c r="BG45" s="155"/>
      <c r="BH45" s="155"/>
      <c r="BI45" s="155"/>
    </row>
    <row r="46" spans="2:61" ht="8.1" customHeight="1" x14ac:dyDescent="0.25">
      <c r="B46" s="235"/>
      <c r="C46" s="150"/>
      <c r="D46" s="148"/>
      <c r="E46" s="148"/>
      <c r="F46" s="148"/>
      <c r="G46" s="148"/>
      <c r="H46" s="147"/>
      <c r="I46" s="146"/>
      <c r="J46" s="149"/>
      <c r="K46" s="148"/>
      <c r="L46" s="148"/>
      <c r="M46" s="148"/>
      <c r="N46" s="148"/>
      <c r="O46" s="147"/>
      <c r="P46" s="146"/>
      <c r="Q46" s="149"/>
      <c r="R46" s="148"/>
      <c r="S46" s="148"/>
      <c r="T46" s="148"/>
      <c r="U46" s="148"/>
      <c r="V46" s="147"/>
      <c r="W46" s="146"/>
      <c r="X46" s="149"/>
      <c r="Y46" s="148"/>
      <c r="Z46" s="148"/>
      <c r="AA46" s="148"/>
      <c r="AB46" s="148"/>
      <c r="AC46" s="147"/>
      <c r="AD46" s="146"/>
      <c r="AE46" s="149"/>
      <c r="AF46" s="148"/>
      <c r="AG46" s="148"/>
      <c r="AH46" s="148"/>
      <c r="AI46" s="148"/>
      <c r="AJ46" s="147"/>
      <c r="AK46" s="146"/>
      <c r="AL46" s="148"/>
      <c r="AM46" s="148"/>
      <c r="AN46" s="148"/>
      <c r="AO46" s="148"/>
      <c r="AP46" s="148"/>
      <c r="AQ46" s="147"/>
      <c r="AR46" s="146"/>
      <c r="AS46" s="148"/>
      <c r="AT46" s="148"/>
      <c r="AU46" s="148"/>
      <c r="AV46" s="148"/>
      <c r="AW46" s="148"/>
      <c r="AX46" s="147"/>
      <c r="AY46" s="146"/>
      <c r="AZ46" s="235"/>
      <c r="BA46" s="198"/>
      <c r="BB46" s="155"/>
      <c r="BC46" s="155"/>
      <c r="BD46" s="199"/>
      <c r="BF46" s="155"/>
      <c r="BG46" s="155"/>
      <c r="BH46" s="155"/>
      <c r="BI46" s="155"/>
    </row>
    <row r="47" spans="2:61" ht="8.1" customHeight="1" x14ac:dyDescent="0.25">
      <c r="B47" s="234"/>
      <c r="C47" s="154"/>
      <c r="D47" s="153"/>
      <c r="E47" s="153"/>
      <c r="F47" s="153"/>
      <c r="G47" s="153"/>
      <c r="H47" s="152"/>
      <c r="I47" s="151"/>
      <c r="K47" s="153"/>
      <c r="L47" s="153"/>
      <c r="M47" s="153"/>
      <c r="N47" s="153"/>
      <c r="O47" s="152"/>
      <c r="P47" s="151"/>
      <c r="R47" s="153"/>
      <c r="S47" s="153"/>
      <c r="T47" s="153"/>
      <c r="U47" s="153"/>
      <c r="V47" s="152"/>
      <c r="W47" s="151"/>
      <c r="Y47" s="153"/>
      <c r="Z47" s="153"/>
      <c r="AA47" s="153"/>
      <c r="AB47" s="153"/>
      <c r="AC47" s="152"/>
      <c r="AD47" s="151"/>
      <c r="AF47" s="153"/>
      <c r="AG47" s="153"/>
      <c r="AH47" s="153"/>
      <c r="AI47" s="153"/>
      <c r="AJ47" s="152"/>
      <c r="AK47" s="151"/>
      <c r="AL47" s="153" t="s">
        <v>196</v>
      </c>
      <c r="AM47" s="153"/>
      <c r="AN47" s="153"/>
      <c r="AO47" s="153"/>
      <c r="AP47" s="153"/>
      <c r="AQ47" s="152"/>
      <c r="AR47" s="151"/>
      <c r="AS47" s="153"/>
      <c r="AT47" s="153"/>
      <c r="AU47" s="153"/>
      <c r="AV47" s="153"/>
      <c r="AW47" s="153"/>
      <c r="AX47" s="152"/>
      <c r="AY47" s="151"/>
      <c r="AZ47" s="234"/>
      <c r="BA47" s="198"/>
      <c r="BB47" s="155"/>
      <c r="BC47" s="155"/>
      <c r="BD47" s="199"/>
      <c r="BF47" s="155"/>
      <c r="BG47" s="155"/>
      <c r="BH47" s="155"/>
      <c r="BI47" s="155"/>
    </row>
    <row r="48" spans="2:61" ht="8.1" customHeight="1" x14ac:dyDescent="0.25">
      <c r="B48" s="235"/>
      <c r="C48" s="150"/>
      <c r="D48" s="148"/>
      <c r="E48" s="148"/>
      <c r="F48" s="148"/>
      <c r="G48" s="148"/>
      <c r="H48" s="147"/>
      <c r="I48" s="146"/>
      <c r="J48" s="149"/>
      <c r="K48" s="148"/>
      <c r="L48" s="148"/>
      <c r="M48" s="148"/>
      <c r="N48" s="148"/>
      <c r="O48" s="147"/>
      <c r="P48" s="146"/>
      <c r="Q48" s="149"/>
      <c r="R48" s="148"/>
      <c r="S48" s="148"/>
      <c r="T48" s="148"/>
      <c r="U48" s="148"/>
      <c r="V48" s="147"/>
      <c r="W48" s="146"/>
      <c r="X48" s="149"/>
      <c r="Y48" s="148"/>
      <c r="Z48" s="148"/>
      <c r="AA48" s="148"/>
      <c r="AB48" s="148"/>
      <c r="AC48" s="147"/>
      <c r="AD48" s="146"/>
      <c r="AE48" s="149"/>
      <c r="AF48" s="148"/>
      <c r="AG48" s="148"/>
      <c r="AH48" s="148"/>
      <c r="AI48" s="148"/>
      <c r="AJ48" s="147"/>
      <c r="AK48" s="146"/>
      <c r="AL48" s="148"/>
      <c r="AM48" s="148"/>
      <c r="AN48" s="148"/>
      <c r="AO48" s="148"/>
      <c r="AP48" s="148"/>
      <c r="AQ48" s="147"/>
      <c r="AR48" s="146"/>
      <c r="AS48" s="148"/>
      <c r="AT48" s="148"/>
      <c r="AU48" s="148"/>
      <c r="AV48" s="148"/>
      <c r="AW48" s="148"/>
      <c r="AX48" s="147"/>
      <c r="AY48" s="146"/>
      <c r="AZ48" s="235"/>
      <c r="BA48" s="198"/>
      <c r="BB48" s="155"/>
      <c r="BC48" s="155"/>
      <c r="BD48" s="199"/>
      <c r="BF48" s="155"/>
      <c r="BG48" s="155"/>
      <c r="BH48" s="155"/>
      <c r="BI48" s="155"/>
    </row>
    <row r="49" spans="1:62" ht="8.1" customHeight="1" x14ac:dyDescent="0.25">
      <c r="B49" s="234" t="s">
        <v>155</v>
      </c>
      <c r="C49" s="154"/>
      <c r="D49" s="153"/>
      <c r="E49" s="153"/>
      <c r="F49" s="153"/>
      <c r="G49" s="153"/>
      <c r="H49" s="152"/>
      <c r="I49" s="151"/>
      <c r="K49" s="153"/>
      <c r="L49" s="153"/>
      <c r="M49" s="153"/>
      <c r="N49" s="153"/>
      <c r="O49" s="152"/>
      <c r="P49" s="151"/>
      <c r="R49" s="153"/>
      <c r="S49" s="153"/>
      <c r="T49" s="153"/>
      <c r="U49" s="153"/>
      <c r="V49" s="152"/>
      <c r="W49" s="151"/>
      <c r="Y49" s="153"/>
      <c r="Z49" s="153"/>
      <c r="AA49" s="153"/>
      <c r="AB49" s="153"/>
      <c r="AC49" s="152"/>
      <c r="AD49" s="151"/>
      <c r="AF49" s="153"/>
      <c r="AG49" s="153"/>
      <c r="AH49" s="153"/>
      <c r="AI49" s="153"/>
      <c r="AJ49" s="152"/>
      <c r="AK49" s="151"/>
      <c r="AL49" s="153"/>
      <c r="AM49" s="153"/>
      <c r="AN49" s="153"/>
      <c r="AO49" s="153"/>
      <c r="AP49" s="153"/>
      <c r="AQ49" s="152"/>
      <c r="AR49" s="151"/>
      <c r="AS49" s="153"/>
      <c r="AT49" s="153"/>
      <c r="AU49" s="153"/>
      <c r="AV49" s="153"/>
      <c r="AW49" s="153"/>
      <c r="AX49" s="152"/>
      <c r="AY49" s="151"/>
      <c r="AZ49" s="234" t="s">
        <v>155</v>
      </c>
      <c r="BA49" s="198"/>
      <c r="BB49" s="155"/>
      <c r="BC49" s="155"/>
      <c r="BD49" s="199"/>
      <c r="BF49" s="155"/>
      <c r="BG49" s="266"/>
      <c r="BH49" s="266"/>
      <c r="BI49" s="266"/>
      <c r="BJ49" s="266"/>
    </row>
    <row r="50" spans="1:62" ht="8.1" customHeight="1" x14ac:dyDescent="0.25">
      <c r="B50" s="235"/>
      <c r="C50" s="150"/>
      <c r="D50" s="148"/>
      <c r="E50" s="148"/>
      <c r="F50" s="148"/>
      <c r="G50" s="148"/>
      <c r="H50" s="147"/>
      <c r="I50" s="146"/>
      <c r="J50" s="149"/>
      <c r="K50" s="148"/>
      <c r="L50" s="148"/>
      <c r="M50" s="148"/>
      <c r="N50" s="148"/>
      <c r="O50" s="147"/>
      <c r="P50" s="146"/>
      <c r="Q50" s="149"/>
      <c r="R50" s="148"/>
      <c r="S50" s="148"/>
      <c r="T50" s="148"/>
      <c r="U50" s="148"/>
      <c r="V50" s="147"/>
      <c r="W50" s="146"/>
      <c r="X50" s="149"/>
      <c r="Y50" s="148"/>
      <c r="Z50" s="148"/>
      <c r="AA50" s="148"/>
      <c r="AB50" s="148"/>
      <c r="AC50" s="147"/>
      <c r="AD50" s="146"/>
      <c r="AE50" s="149"/>
      <c r="AF50" s="148"/>
      <c r="AG50" s="148"/>
      <c r="AH50" s="148"/>
      <c r="AI50" s="148"/>
      <c r="AJ50" s="147"/>
      <c r="AK50" s="146"/>
      <c r="AL50" s="148"/>
      <c r="AM50" s="148"/>
      <c r="AN50" s="148"/>
      <c r="AO50" s="148"/>
      <c r="AP50" s="148"/>
      <c r="AQ50" s="147"/>
      <c r="AR50" s="146"/>
      <c r="AS50" s="148"/>
      <c r="AT50" s="148"/>
      <c r="AU50" s="148"/>
      <c r="AV50" s="148"/>
      <c r="AW50" s="148"/>
      <c r="AX50" s="147"/>
      <c r="AY50" s="146"/>
      <c r="AZ50" s="235"/>
      <c r="BA50" s="198"/>
      <c r="BB50" s="155"/>
      <c r="BC50" s="155"/>
      <c r="BD50" s="199"/>
      <c r="BE50" s="245"/>
      <c r="BF50" s="155"/>
      <c r="BG50" s="266"/>
      <c r="BH50" s="266"/>
      <c r="BI50" s="266"/>
      <c r="BJ50" s="266"/>
    </row>
    <row r="51" spans="1:62" ht="8.1" customHeight="1" x14ac:dyDescent="0.25">
      <c r="B51" s="234"/>
      <c r="C51" s="154"/>
      <c r="D51" s="153"/>
      <c r="E51" s="153"/>
      <c r="F51" s="153"/>
      <c r="G51" s="153"/>
      <c r="H51" s="152"/>
      <c r="I51" s="151"/>
      <c r="K51" s="153"/>
      <c r="L51" s="153"/>
      <c r="M51" s="153"/>
      <c r="N51" s="153"/>
      <c r="O51" s="152"/>
      <c r="P51" s="151"/>
      <c r="R51" s="153"/>
      <c r="S51" s="153"/>
      <c r="T51" s="153"/>
      <c r="U51" s="153"/>
      <c r="V51" s="152"/>
      <c r="W51" s="151"/>
      <c r="Y51" s="153"/>
      <c r="Z51" s="153"/>
      <c r="AA51" s="153"/>
      <c r="AB51" s="153"/>
      <c r="AC51" s="152"/>
      <c r="AD51" s="151"/>
      <c r="AF51" s="153"/>
      <c r="AG51" s="153"/>
      <c r="AH51" s="153"/>
      <c r="AI51" s="153"/>
      <c r="AJ51" s="152"/>
      <c r="AK51" s="151"/>
      <c r="AL51" s="153"/>
      <c r="AM51" s="153"/>
      <c r="AN51" s="153"/>
      <c r="AO51" s="153"/>
      <c r="AP51" s="153"/>
      <c r="AQ51" s="152"/>
      <c r="AR51" s="151"/>
      <c r="AS51" s="153"/>
      <c r="AT51" s="153"/>
      <c r="AU51" s="153"/>
      <c r="AV51" s="153"/>
      <c r="AW51" s="153"/>
      <c r="AX51" s="152"/>
      <c r="AY51" s="151"/>
      <c r="AZ51" s="234"/>
      <c r="BA51" s="198"/>
      <c r="BB51" s="155"/>
      <c r="BC51" s="155"/>
      <c r="BD51" s="199"/>
      <c r="BE51" s="245"/>
      <c r="BF51" s="155"/>
      <c r="BG51" s="266"/>
      <c r="BH51" s="266"/>
      <c r="BI51" s="266"/>
      <c r="BJ51" s="266"/>
    </row>
    <row r="52" spans="1:62" ht="8.1" customHeight="1" x14ac:dyDescent="0.25">
      <c r="B52" s="235"/>
      <c r="C52" s="150"/>
      <c r="D52" s="148"/>
      <c r="E52" s="148"/>
      <c r="F52" s="148"/>
      <c r="G52" s="148"/>
      <c r="H52" s="147"/>
      <c r="I52" s="146"/>
      <c r="J52" s="149"/>
      <c r="K52" s="148"/>
      <c r="L52" s="148"/>
      <c r="M52" s="148"/>
      <c r="N52" s="148"/>
      <c r="O52" s="147"/>
      <c r="P52" s="146"/>
      <c r="Q52" s="149"/>
      <c r="R52" s="148"/>
      <c r="S52" s="148"/>
      <c r="T52" s="148"/>
      <c r="U52" s="148"/>
      <c r="V52" s="147"/>
      <c r="W52" s="146"/>
      <c r="X52" s="149"/>
      <c r="Y52" s="148"/>
      <c r="Z52" s="148"/>
      <c r="AA52" s="148"/>
      <c r="AB52" s="148"/>
      <c r="AC52" s="147"/>
      <c r="AD52" s="146"/>
      <c r="AE52" s="149"/>
      <c r="AF52" s="148"/>
      <c r="AG52" s="148"/>
      <c r="AH52" s="148"/>
      <c r="AI52" s="148"/>
      <c r="AJ52" s="147"/>
      <c r="AK52" s="146"/>
      <c r="AL52" s="148"/>
      <c r="AM52" s="148"/>
      <c r="AN52" s="148"/>
      <c r="AO52" s="148"/>
      <c r="AP52" s="148"/>
      <c r="AQ52" s="147"/>
      <c r="AR52" s="146"/>
      <c r="AS52" s="148"/>
      <c r="AT52" s="148"/>
      <c r="AU52" s="148"/>
      <c r="AV52" s="148"/>
      <c r="AW52" s="148"/>
      <c r="AX52" s="147"/>
      <c r="AY52" s="146"/>
      <c r="AZ52" s="235"/>
      <c r="BA52" s="198"/>
      <c r="BB52" s="155"/>
      <c r="BC52" s="155"/>
      <c r="BD52" s="199"/>
      <c r="BF52" s="155"/>
      <c r="BG52" s="266"/>
      <c r="BH52" s="266"/>
      <c r="BI52" s="266"/>
      <c r="BJ52" s="266"/>
    </row>
    <row r="53" spans="1:62" ht="8.1" customHeight="1" x14ac:dyDescent="0.25">
      <c r="B53" s="234" t="s">
        <v>156</v>
      </c>
      <c r="C53" s="154"/>
      <c r="D53" s="153"/>
      <c r="E53" s="153"/>
      <c r="F53" s="153"/>
      <c r="G53" s="153"/>
      <c r="H53" s="152"/>
      <c r="I53" s="151"/>
      <c r="K53" s="153"/>
      <c r="L53" s="153"/>
      <c r="M53" s="153"/>
      <c r="N53" s="153"/>
      <c r="O53" s="152"/>
      <c r="P53" s="151"/>
      <c r="R53" s="153"/>
      <c r="S53" s="153"/>
      <c r="T53" s="153"/>
      <c r="U53" s="153"/>
      <c r="V53" s="152"/>
      <c r="W53" s="151"/>
      <c r="Y53" s="153"/>
      <c r="Z53" s="153"/>
      <c r="AA53" s="153"/>
      <c r="AB53" s="153"/>
      <c r="AC53" s="152"/>
      <c r="AD53" s="151"/>
      <c r="AF53" s="153"/>
      <c r="AG53" s="153"/>
      <c r="AH53" s="153"/>
      <c r="AI53" s="153"/>
      <c r="AJ53" s="152"/>
      <c r="AK53" s="151"/>
      <c r="AL53" s="153"/>
      <c r="AM53" s="153"/>
      <c r="AN53" s="153"/>
      <c r="AO53" s="153"/>
      <c r="AP53" s="153"/>
      <c r="AQ53" s="152"/>
      <c r="AR53" s="151"/>
      <c r="AS53" s="153"/>
      <c r="AT53" s="153"/>
      <c r="AU53" s="153"/>
      <c r="AV53" s="153"/>
      <c r="AW53" s="153"/>
      <c r="AX53" s="152"/>
      <c r="AY53" s="151"/>
      <c r="AZ53" s="234" t="s">
        <v>156</v>
      </c>
      <c r="BA53" s="198"/>
      <c r="BB53" s="155"/>
      <c r="BC53" s="155"/>
      <c r="BD53" s="199"/>
      <c r="BF53" s="155"/>
      <c r="BG53" s="266"/>
      <c r="BH53" s="266"/>
      <c r="BI53" s="266"/>
      <c r="BJ53" s="266"/>
    </row>
    <row r="54" spans="1:62" ht="8.1" customHeight="1" x14ac:dyDescent="0.25">
      <c r="B54" s="235"/>
      <c r="C54" s="150"/>
      <c r="D54" s="148"/>
      <c r="E54" s="148"/>
      <c r="F54" s="148"/>
      <c r="G54" s="148"/>
      <c r="H54" s="147"/>
      <c r="I54" s="146"/>
      <c r="J54" s="149"/>
      <c r="K54" s="148"/>
      <c r="L54" s="148"/>
      <c r="M54" s="148"/>
      <c r="N54" s="148"/>
      <c r="O54" s="147"/>
      <c r="P54" s="146"/>
      <c r="Q54" s="149"/>
      <c r="R54" s="148"/>
      <c r="S54" s="148"/>
      <c r="T54" s="148"/>
      <c r="U54" s="148"/>
      <c r="V54" s="147"/>
      <c r="W54" s="146"/>
      <c r="X54" s="149"/>
      <c r="Y54" s="148"/>
      <c r="Z54" s="148"/>
      <c r="AA54" s="148"/>
      <c r="AB54" s="148"/>
      <c r="AC54" s="147"/>
      <c r="AD54" s="146"/>
      <c r="AE54" s="149"/>
      <c r="AF54" s="148"/>
      <c r="AG54" s="148"/>
      <c r="AH54" s="148"/>
      <c r="AI54" s="148"/>
      <c r="AJ54" s="147"/>
      <c r="AK54" s="146"/>
      <c r="AL54" s="148"/>
      <c r="AM54" s="148"/>
      <c r="AN54" s="148"/>
      <c r="AO54" s="148"/>
      <c r="AP54" s="148"/>
      <c r="AQ54" s="147"/>
      <c r="AR54" s="146"/>
      <c r="AS54" s="148"/>
      <c r="AT54" s="148"/>
      <c r="AU54" s="148"/>
      <c r="AV54" s="148"/>
      <c r="AW54" s="148"/>
      <c r="AX54" s="147"/>
      <c r="AY54" s="146"/>
      <c r="AZ54" s="235"/>
      <c r="BA54" s="198"/>
      <c r="BB54" s="155"/>
      <c r="BC54" s="155"/>
      <c r="BD54" s="199"/>
      <c r="BF54" s="155"/>
      <c r="BG54" s="266"/>
      <c r="BH54" s="266"/>
      <c r="BI54" s="266"/>
      <c r="BJ54" s="266"/>
    </row>
    <row r="55" spans="1:62" ht="8.1" customHeight="1" x14ac:dyDescent="0.25">
      <c r="B55" s="234"/>
      <c r="C55" s="154"/>
      <c r="D55" s="153"/>
      <c r="E55" s="153"/>
      <c r="F55" s="153"/>
      <c r="G55" s="153"/>
      <c r="H55" s="152"/>
      <c r="I55" s="151"/>
      <c r="K55" s="153"/>
      <c r="L55" s="153"/>
      <c r="M55" s="153"/>
      <c r="N55" s="153"/>
      <c r="O55" s="152"/>
      <c r="P55" s="151"/>
      <c r="R55" s="153"/>
      <c r="S55" s="153"/>
      <c r="T55" s="153"/>
      <c r="U55" s="153"/>
      <c r="V55" s="152"/>
      <c r="W55" s="151"/>
      <c r="Y55" s="153"/>
      <c r="Z55" s="153"/>
      <c r="AA55" s="153"/>
      <c r="AB55" s="153"/>
      <c r="AC55" s="152"/>
      <c r="AD55" s="151"/>
      <c r="AF55" s="153"/>
      <c r="AG55" s="153"/>
      <c r="AH55" s="153"/>
      <c r="AI55" s="153"/>
      <c r="AJ55" s="152"/>
      <c r="AK55" s="151"/>
      <c r="AL55" s="153"/>
      <c r="AM55" s="153"/>
      <c r="AN55" s="153"/>
      <c r="AO55" s="153"/>
      <c r="AP55" s="153"/>
      <c r="AQ55" s="152"/>
      <c r="AR55" s="151"/>
      <c r="AS55" s="153"/>
      <c r="AT55" s="153"/>
      <c r="AU55" s="153"/>
      <c r="AV55" s="153"/>
      <c r="AW55" s="153"/>
      <c r="AX55" s="152"/>
      <c r="AY55" s="151"/>
      <c r="AZ55" s="234"/>
      <c r="BA55" s="198"/>
      <c r="BB55" s="155"/>
      <c r="BC55" s="155"/>
      <c r="BD55" s="199"/>
      <c r="BF55" s="155"/>
      <c r="BG55" s="266"/>
      <c r="BH55" s="266"/>
      <c r="BI55" s="266"/>
      <c r="BJ55" s="266"/>
    </row>
    <row r="56" spans="1:62" ht="8.1" customHeight="1" x14ac:dyDescent="0.25">
      <c r="A56" s="157"/>
      <c r="B56" s="235"/>
      <c r="C56" s="150"/>
      <c r="D56" s="148"/>
      <c r="E56" s="148"/>
      <c r="F56" s="148"/>
      <c r="G56" s="148"/>
      <c r="H56" s="147"/>
      <c r="I56" s="146"/>
      <c r="J56" s="149"/>
      <c r="K56" s="148"/>
      <c r="L56" s="148"/>
      <c r="M56" s="148"/>
      <c r="N56" s="148"/>
      <c r="O56" s="147"/>
      <c r="P56" s="146"/>
      <c r="Q56" s="149"/>
      <c r="R56" s="148"/>
      <c r="S56" s="148"/>
      <c r="T56" s="148"/>
      <c r="U56" s="148"/>
      <c r="V56" s="147"/>
      <c r="W56" s="146"/>
      <c r="X56" s="149"/>
      <c r="Y56" s="148"/>
      <c r="Z56" s="148"/>
      <c r="AA56" s="148"/>
      <c r="AB56" s="148"/>
      <c r="AC56" s="147"/>
      <c r="AD56" s="146"/>
      <c r="AE56" s="149"/>
      <c r="AF56" s="148"/>
      <c r="AG56" s="148"/>
      <c r="AH56" s="148"/>
      <c r="AI56" s="148"/>
      <c r="AJ56" s="147"/>
      <c r="AK56" s="146"/>
      <c r="AL56" s="148"/>
      <c r="AM56" s="148"/>
      <c r="AN56" s="148"/>
      <c r="AO56" s="148"/>
      <c r="AP56" s="148"/>
      <c r="AQ56" s="147"/>
      <c r="AR56" s="146"/>
      <c r="AS56" s="148"/>
      <c r="AT56" s="148"/>
      <c r="AU56" s="148"/>
      <c r="AV56" s="148"/>
      <c r="AW56" s="148"/>
      <c r="AX56" s="147"/>
      <c r="AY56" s="146"/>
      <c r="AZ56" s="235"/>
      <c r="BA56" s="198"/>
      <c r="BB56" s="155"/>
      <c r="BC56" s="155"/>
      <c r="BD56" s="199"/>
      <c r="BF56" s="155"/>
      <c r="BG56" s="266"/>
      <c r="BH56" s="266"/>
      <c r="BI56" s="266"/>
      <c r="BJ56" s="266"/>
    </row>
    <row r="57" spans="1:62" ht="8.1" customHeight="1" x14ac:dyDescent="0.25">
      <c r="B57" s="234" t="s">
        <v>157</v>
      </c>
      <c r="C57" s="154"/>
      <c r="D57" s="153"/>
      <c r="E57" s="153"/>
      <c r="F57" s="153"/>
      <c r="G57" s="153"/>
      <c r="H57" s="152"/>
      <c r="I57" s="151"/>
      <c r="K57" s="153"/>
      <c r="L57" s="153"/>
      <c r="M57" s="153"/>
      <c r="N57" s="153"/>
      <c r="O57" s="152"/>
      <c r="P57" s="151"/>
      <c r="R57" s="153"/>
      <c r="S57" s="153"/>
      <c r="T57" s="153"/>
      <c r="U57" s="153"/>
      <c r="V57" s="152"/>
      <c r="W57" s="151"/>
      <c r="Y57" s="153"/>
      <c r="Z57" s="153"/>
      <c r="AA57" s="153"/>
      <c r="AB57" s="153"/>
      <c r="AC57" s="152"/>
      <c r="AD57" s="151"/>
      <c r="AF57" s="153"/>
      <c r="AG57" s="153"/>
      <c r="AH57" s="153"/>
      <c r="AI57" s="153"/>
      <c r="AJ57" s="152"/>
      <c r="AK57" s="151"/>
      <c r="AL57" s="153"/>
      <c r="AM57" s="153"/>
      <c r="AN57" s="153"/>
      <c r="AO57" s="153"/>
      <c r="AP57" s="153"/>
      <c r="AQ57" s="152"/>
      <c r="AR57" s="151"/>
      <c r="AS57" s="153"/>
      <c r="AT57" s="153"/>
      <c r="AU57" s="153"/>
      <c r="AV57" s="153"/>
      <c r="AW57" s="153"/>
      <c r="AX57" s="152"/>
      <c r="AY57" s="151"/>
      <c r="AZ57" s="234" t="s">
        <v>157</v>
      </c>
      <c r="BA57" s="198"/>
      <c r="BB57" s="155"/>
      <c r="BC57" s="155"/>
      <c r="BD57" s="199"/>
      <c r="BF57" s="155"/>
      <c r="BG57" s="266"/>
      <c r="BH57" s="266"/>
      <c r="BI57" s="266"/>
      <c r="BJ57" s="266"/>
    </row>
    <row r="58" spans="1:62" ht="8.1" customHeight="1" x14ac:dyDescent="0.25">
      <c r="B58" s="235"/>
      <c r="C58" s="150"/>
      <c r="D58" s="148"/>
      <c r="E58" s="148"/>
      <c r="F58" s="148"/>
      <c r="G58" s="148"/>
      <c r="H58" s="147"/>
      <c r="I58" s="146"/>
      <c r="J58" s="149"/>
      <c r="K58" s="148"/>
      <c r="L58" s="148"/>
      <c r="M58" s="148"/>
      <c r="N58" s="148"/>
      <c r="O58" s="147"/>
      <c r="P58" s="146"/>
      <c r="Q58" s="149"/>
      <c r="R58" s="148"/>
      <c r="S58" s="148"/>
      <c r="T58" s="148"/>
      <c r="U58" s="148"/>
      <c r="V58" s="147"/>
      <c r="W58" s="146"/>
      <c r="X58" s="149"/>
      <c r="Y58" s="148"/>
      <c r="Z58" s="148"/>
      <c r="AA58" s="148"/>
      <c r="AB58" s="148"/>
      <c r="AC58" s="147"/>
      <c r="AD58" s="146"/>
      <c r="AE58" s="149"/>
      <c r="AF58" s="148"/>
      <c r="AG58" s="148"/>
      <c r="AH58" s="148"/>
      <c r="AI58" s="148"/>
      <c r="AJ58" s="147"/>
      <c r="AK58" s="146"/>
      <c r="AL58" s="148"/>
      <c r="AM58" s="148"/>
      <c r="AN58" s="148"/>
      <c r="AO58" s="148"/>
      <c r="AP58" s="148"/>
      <c r="AQ58" s="147"/>
      <c r="AR58" s="146"/>
      <c r="AS58" s="148"/>
      <c r="AT58" s="148"/>
      <c r="AU58" s="148"/>
      <c r="AV58" s="148"/>
      <c r="AW58" s="148"/>
      <c r="AX58" s="147"/>
      <c r="AY58" s="146"/>
      <c r="AZ58" s="235"/>
      <c r="BA58" s="198"/>
      <c r="BB58" s="155"/>
      <c r="BC58" s="155"/>
      <c r="BD58" s="199"/>
      <c r="BF58" s="155"/>
      <c r="BG58" s="266"/>
      <c r="BH58" s="266"/>
      <c r="BI58" s="266"/>
      <c r="BJ58" s="266"/>
    </row>
    <row r="59" spans="1:62" ht="8.1" customHeight="1" x14ac:dyDescent="0.25">
      <c r="B59" s="234"/>
      <c r="C59" s="154"/>
      <c r="D59" s="153"/>
      <c r="E59" s="153"/>
      <c r="F59" s="153"/>
      <c r="G59" s="153"/>
      <c r="H59" s="152"/>
      <c r="I59" s="151"/>
      <c r="K59" s="153"/>
      <c r="L59" s="153"/>
      <c r="M59" s="153"/>
      <c r="N59" s="153"/>
      <c r="O59" s="152"/>
      <c r="P59" s="151"/>
      <c r="R59" s="153"/>
      <c r="S59" s="153"/>
      <c r="T59" s="153"/>
      <c r="U59" s="153"/>
      <c r="V59" s="152"/>
      <c r="W59" s="151"/>
      <c r="Y59" s="153"/>
      <c r="Z59" s="153"/>
      <c r="AA59" s="153"/>
      <c r="AB59" s="153"/>
      <c r="AC59" s="152"/>
      <c r="AD59" s="151"/>
      <c r="AF59" s="153"/>
      <c r="AG59" s="153"/>
      <c r="AH59" s="153"/>
      <c r="AI59" s="153"/>
      <c r="AJ59" s="152"/>
      <c r="AK59" s="151"/>
      <c r="AL59" s="153"/>
      <c r="AM59" s="153"/>
      <c r="AN59" s="153"/>
      <c r="AO59" s="153"/>
      <c r="AP59" s="153"/>
      <c r="AQ59" s="152"/>
      <c r="AR59" s="151"/>
      <c r="AS59" s="153"/>
      <c r="AT59" s="153"/>
      <c r="AU59" s="153"/>
      <c r="AV59" s="153"/>
      <c r="AW59" s="153"/>
      <c r="AX59" s="152"/>
      <c r="AY59" s="151"/>
      <c r="AZ59" s="234"/>
      <c r="BA59" s="198"/>
      <c r="BB59" s="155"/>
      <c r="BC59" s="155"/>
      <c r="BD59" s="199"/>
      <c r="BF59" s="155"/>
      <c r="BG59" s="266"/>
      <c r="BH59" s="266"/>
      <c r="BI59" s="266"/>
      <c r="BJ59" s="266"/>
    </row>
    <row r="60" spans="1:62" ht="8.1" customHeight="1" x14ac:dyDescent="0.25">
      <c r="B60" s="235"/>
      <c r="C60" s="150"/>
      <c r="D60" s="148"/>
      <c r="E60" s="148"/>
      <c r="F60" s="148"/>
      <c r="G60" s="148"/>
      <c r="H60" s="147"/>
      <c r="I60" s="146"/>
      <c r="J60" s="149"/>
      <c r="K60" s="148"/>
      <c r="L60" s="148"/>
      <c r="M60" s="148"/>
      <c r="N60" s="148"/>
      <c r="O60" s="147"/>
      <c r="P60" s="146"/>
      <c r="Q60" s="149"/>
      <c r="R60" s="148"/>
      <c r="S60" s="148"/>
      <c r="T60" s="148"/>
      <c r="U60" s="148"/>
      <c r="V60" s="147"/>
      <c r="W60" s="146"/>
      <c r="X60" s="149"/>
      <c r="Y60" s="148"/>
      <c r="Z60" s="148"/>
      <c r="AA60" s="148"/>
      <c r="AB60" s="148"/>
      <c r="AC60" s="147"/>
      <c r="AD60" s="146"/>
      <c r="AE60" s="149"/>
      <c r="AF60" s="148"/>
      <c r="AG60" s="148"/>
      <c r="AH60" s="148"/>
      <c r="AI60" s="148"/>
      <c r="AJ60" s="147"/>
      <c r="AK60" s="146"/>
      <c r="AL60" s="148"/>
      <c r="AM60" s="148"/>
      <c r="AN60" s="148"/>
      <c r="AO60" s="148"/>
      <c r="AP60" s="148"/>
      <c r="AQ60" s="147"/>
      <c r="AR60" s="146"/>
      <c r="AS60" s="148"/>
      <c r="AT60" s="148"/>
      <c r="AU60" s="148"/>
      <c r="AV60" s="148"/>
      <c r="AW60" s="148"/>
      <c r="AX60" s="147"/>
      <c r="AY60" s="146"/>
      <c r="AZ60" s="235"/>
      <c r="BA60" s="198"/>
      <c r="BB60" s="155"/>
      <c r="BC60" s="155"/>
      <c r="BD60" s="199"/>
      <c r="BF60" s="155"/>
      <c r="BG60" s="266"/>
      <c r="BH60" s="266"/>
      <c r="BI60" s="266"/>
      <c r="BJ60" s="266"/>
    </row>
    <row r="61" spans="1:62" ht="8.1" customHeight="1" x14ac:dyDescent="0.25">
      <c r="B61" s="234" t="s">
        <v>21</v>
      </c>
      <c r="C61" s="154"/>
      <c r="D61" s="153"/>
      <c r="E61" s="153"/>
      <c r="F61" s="153"/>
      <c r="G61" s="153"/>
      <c r="H61" s="152"/>
      <c r="I61" s="151"/>
      <c r="K61" s="153"/>
      <c r="L61" s="153"/>
      <c r="M61" s="153"/>
      <c r="N61" s="153"/>
      <c r="O61" s="152"/>
      <c r="P61" s="151"/>
      <c r="R61" s="153"/>
      <c r="S61" s="153"/>
      <c r="T61" s="153"/>
      <c r="U61" s="153"/>
      <c r="V61" s="152"/>
      <c r="W61" s="151"/>
      <c r="Y61" s="153"/>
      <c r="Z61" s="153"/>
      <c r="AA61" s="153"/>
      <c r="AB61" s="153"/>
      <c r="AC61" s="152"/>
      <c r="AD61" s="151"/>
      <c r="AF61" s="153"/>
      <c r="AG61" s="153"/>
      <c r="AH61" s="153"/>
      <c r="AI61" s="153"/>
      <c r="AJ61" s="152"/>
      <c r="AK61" s="151"/>
      <c r="AL61" s="153"/>
      <c r="AM61" s="153"/>
      <c r="AN61" s="153"/>
      <c r="AO61" s="153"/>
      <c r="AP61" s="153"/>
      <c r="AQ61" s="152"/>
      <c r="AR61" s="151"/>
      <c r="AS61" s="153"/>
      <c r="AT61" s="153"/>
      <c r="AU61" s="153"/>
      <c r="AV61" s="153"/>
      <c r="AW61" s="153"/>
      <c r="AX61" s="152"/>
      <c r="AY61" s="151"/>
      <c r="AZ61" s="234" t="s">
        <v>21</v>
      </c>
      <c r="BA61" s="198"/>
      <c r="BB61" s="155"/>
      <c r="BC61" s="155"/>
      <c r="BD61" s="199"/>
      <c r="BF61" s="155"/>
      <c r="BG61" s="266"/>
      <c r="BH61" s="266"/>
      <c r="BI61" s="266"/>
      <c r="BJ61" s="266"/>
    </row>
    <row r="62" spans="1:62" ht="8.1" customHeight="1" x14ac:dyDescent="0.25">
      <c r="B62" s="235"/>
      <c r="C62" s="150"/>
      <c r="D62" s="148"/>
      <c r="E62" s="148"/>
      <c r="F62" s="148"/>
      <c r="G62" s="148"/>
      <c r="H62" s="147"/>
      <c r="I62" s="146"/>
      <c r="J62" s="149"/>
      <c r="K62" s="148"/>
      <c r="L62" s="148"/>
      <c r="M62" s="148"/>
      <c r="N62" s="148"/>
      <c r="O62" s="147"/>
      <c r="P62" s="146"/>
      <c r="Q62" s="149"/>
      <c r="R62" s="148"/>
      <c r="S62" s="148"/>
      <c r="T62" s="148"/>
      <c r="U62" s="148"/>
      <c r="V62" s="147"/>
      <c r="W62" s="146"/>
      <c r="X62" s="149"/>
      <c r="Y62" s="148"/>
      <c r="Z62" s="148"/>
      <c r="AA62" s="148"/>
      <c r="AB62" s="148"/>
      <c r="AC62" s="147"/>
      <c r="AD62" s="146"/>
      <c r="AE62" s="149"/>
      <c r="AF62" s="148"/>
      <c r="AG62" s="148"/>
      <c r="AH62" s="148"/>
      <c r="AI62" s="148"/>
      <c r="AJ62" s="147"/>
      <c r="AK62" s="146"/>
      <c r="AL62" s="148"/>
      <c r="AM62" s="148"/>
      <c r="AN62" s="148"/>
      <c r="AO62" s="148"/>
      <c r="AP62" s="148"/>
      <c r="AQ62" s="147"/>
      <c r="AR62" s="146"/>
      <c r="AS62" s="148"/>
      <c r="AT62" s="148"/>
      <c r="AU62" s="148"/>
      <c r="AV62" s="148"/>
      <c r="AW62" s="148"/>
      <c r="AX62" s="147"/>
      <c r="AY62" s="146"/>
      <c r="AZ62" s="235"/>
      <c r="BA62" s="198"/>
      <c r="BB62" s="155"/>
      <c r="BC62" s="155"/>
      <c r="BD62" s="199"/>
      <c r="BF62" s="155"/>
      <c r="BG62" s="266"/>
      <c r="BH62" s="266"/>
      <c r="BI62" s="266"/>
      <c r="BJ62" s="266"/>
    </row>
    <row r="63" spans="1:62" ht="8.1" customHeight="1" x14ac:dyDescent="0.25">
      <c r="B63" s="234"/>
      <c r="C63" s="154"/>
      <c r="D63" s="153"/>
      <c r="E63" s="153"/>
      <c r="F63" s="153"/>
      <c r="G63" s="153"/>
      <c r="H63" s="152"/>
      <c r="I63" s="151"/>
      <c r="K63" s="153"/>
      <c r="L63" s="153"/>
      <c r="M63" s="153"/>
      <c r="N63" s="153"/>
      <c r="O63" s="152"/>
      <c r="P63" s="151"/>
      <c r="R63" s="153"/>
      <c r="S63" s="153"/>
      <c r="T63" s="153"/>
      <c r="U63" s="153"/>
      <c r="V63" s="152"/>
      <c r="W63" s="151"/>
      <c r="Y63" s="153"/>
      <c r="Z63" s="153"/>
      <c r="AA63" s="153"/>
      <c r="AB63" s="153"/>
      <c r="AC63" s="152"/>
      <c r="AD63" s="151"/>
      <c r="AF63" s="153"/>
      <c r="AG63" s="153"/>
      <c r="AH63" s="153"/>
      <c r="AI63" s="153"/>
      <c r="AJ63" s="152"/>
      <c r="AK63" s="151"/>
      <c r="AL63" s="153"/>
      <c r="AM63" s="153"/>
      <c r="AN63" s="153"/>
      <c r="AO63" s="153"/>
      <c r="AP63" s="153"/>
      <c r="AQ63" s="152"/>
      <c r="AR63" s="151"/>
      <c r="AS63" s="153"/>
      <c r="AT63" s="153"/>
      <c r="AU63" s="153"/>
      <c r="AV63" s="153"/>
      <c r="AW63" s="153"/>
      <c r="AX63" s="152"/>
      <c r="AY63" s="151"/>
      <c r="AZ63" s="234"/>
      <c r="BA63" s="198"/>
      <c r="BB63" s="155"/>
      <c r="BC63" s="155"/>
      <c r="BD63" s="199"/>
      <c r="BF63" s="155"/>
      <c r="BG63" s="266"/>
      <c r="BH63" s="266"/>
      <c r="BI63" s="266"/>
      <c r="BJ63" s="266"/>
    </row>
    <row r="64" spans="1:62" ht="8.1" customHeight="1" x14ac:dyDescent="0.25">
      <c r="B64" s="235"/>
      <c r="C64" s="150"/>
      <c r="D64" s="148"/>
      <c r="E64" s="148"/>
      <c r="F64" s="148"/>
      <c r="G64" s="148"/>
      <c r="H64" s="147"/>
      <c r="I64" s="146"/>
      <c r="J64" s="149"/>
      <c r="K64" s="148"/>
      <c r="L64" s="148"/>
      <c r="M64" s="148"/>
      <c r="N64" s="148"/>
      <c r="O64" s="147"/>
      <c r="P64" s="146"/>
      <c r="Q64" s="149"/>
      <c r="R64" s="148"/>
      <c r="S64" s="148"/>
      <c r="T64" s="148"/>
      <c r="U64" s="148"/>
      <c r="V64" s="147"/>
      <c r="W64" s="146"/>
      <c r="X64" s="149"/>
      <c r="Y64" s="148"/>
      <c r="Z64" s="148"/>
      <c r="AA64" s="148"/>
      <c r="AB64" s="148"/>
      <c r="AC64" s="147"/>
      <c r="AD64" s="146"/>
      <c r="AE64" s="149"/>
      <c r="AF64" s="148"/>
      <c r="AG64" s="148"/>
      <c r="AH64" s="148"/>
      <c r="AI64" s="148"/>
      <c r="AJ64" s="147"/>
      <c r="AK64" s="146"/>
      <c r="AL64" s="148"/>
      <c r="AM64" s="148"/>
      <c r="AN64" s="148"/>
      <c r="AO64" s="148"/>
      <c r="AP64" s="148"/>
      <c r="AQ64" s="147"/>
      <c r="AR64" s="146"/>
      <c r="AS64" s="148"/>
      <c r="AT64" s="148"/>
      <c r="AU64" s="148"/>
      <c r="AV64" s="148"/>
      <c r="AW64" s="148"/>
      <c r="AX64" s="147"/>
      <c r="AY64" s="146"/>
      <c r="AZ64" s="235"/>
      <c r="BA64" s="198"/>
      <c r="BB64" s="155"/>
      <c r="BC64" s="155"/>
      <c r="BD64" s="199"/>
      <c r="BF64" s="155"/>
      <c r="BG64" s="266"/>
      <c r="BH64" s="266"/>
      <c r="BI64" s="266"/>
      <c r="BJ64" s="266"/>
    </row>
    <row r="65" spans="2:62" ht="8.1" customHeight="1" x14ac:dyDescent="0.25">
      <c r="B65" s="234" t="s">
        <v>158</v>
      </c>
      <c r="C65" s="154"/>
      <c r="D65" s="153"/>
      <c r="E65" s="153"/>
      <c r="F65" s="153"/>
      <c r="G65" s="153"/>
      <c r="H65" s="152"/>
      <c r="I65" s="151"/>
      <c r="K65" s="153"/>
      <c r="L65" s="153"/>
      <c r="M65" s="153"/>
      <c r="N65" s="153"/>
      <c r="O65" s="152"/>
      <c r="P65" s="151"/>
      <c r="R65" s="153"/>
      <c r="S65" s="153"/>
      <c r="T65" s="153"/>
      <c r="U65" s="153"/>
      <c r="V65" s="152"/>
      <c r="W65" s="151"/>
      <c r="Y65" s="153"/>
      <c r="Z65" s="153"/>
      <c r="AA65" s="153"/>
      <c r="AB65" s="153"/>
      <c r="AC65" s="152"/>
      <c r="AD65" s="151"/>
      <c r="AF65" s="153"/>
      <c r="AG65" s="153"/>
      <c r="AH65" s="153"/>
      <c r="AI65" s="153"/>
      <c r="AJ65" s="152"/>
      <c r="AK65" s="151"/>
      <c r="AL65" s="153"/>
      <c r="AM65" s="153"/>
      <c r="AN65" s="153"/>
      <c r="AO65" s="153"/>
      <c r="AP65" s="153"/>
      <c r="AQ65" s="152"/>
      <c r="AR65" s="151"/>
      <c r="AS65" s="153"/>
      <c r="AT65" s="153"/>
      <c r="AU65" s="153"/>
      <c r="AV65" s="153"/>
      <c r="AW65" s="153"/>
      <c r="AX65" s="152"/>
      <c r="AY65" s="151"/>
      <c r="AZ65" s="234" t="s">
        <v>158</v>
      </c>
      <c r="BA65" s="198"/>
      <c r="BB65" s="155"/>
      <c r="BC65" s="155"/>
      <c r="BD65" s="199"/>
      <c r="BF65" s="155"/>
      <c r="BG65" s="266"/>
      <c r="BH65" s="266"/>
      <c r="BI65" s="266"/>
      <c r="BJ65" s="266"/>
    </row>
    <row r="66" spans="2:62" ht="8.1" customHeight="1" x14ac:dyDescent="0.25">
      <c r="B66" s="235"/>
      <c r="C66" s="150"/>
      <c r="D66" s="148"/>
      <c r="E66" s="148"/>
      <c r="F66" s="148"/>
      <c r="G66" s="148"/>
      <c r="H66" s="147"/>
      <c r="I66" s="146"/>
      <c r="J66" s="149"/>
      <c r="K66" s="148"/>
      <c r="L66" s="148"/>
      <c r="M66" s="148"/>
      <c r="N66" s="148"/>
      <c r="O66" s="147"/>
      <c r="P66" s="146"/>
      <c r="Q66" s="149"/>
      <c r="R66" s="148"/>
      <c r="S66" s="148"/>
      <c r="T66" s="148"/>
      <c r="U66" s="148"/>
      <c r="V66" s="147"/>
      <c r="W66" s="146"/>
      <c r="X66" s="149"/>
      <c r="Y66" s="148"/>
      <c r="Z66" s="148"/>
      <c r="AA66" s="148"/>
      <c r="AB66" s="148"/>
      <c r="AC66" s="147"/>
      <c r="AD66" s="146"/>
      <c r="AE66" s="149"/>
      <c r="AF66" s="148"/>
      <c r="AG66" s="148"/>
      <c r="AH66" s="148"/>
      <c r="AI66" s="148"/>
      <c r="AJ66" s="147"/>
      <c r="AK66" s="146"/>
      <c r="AL66" s="148"/>
      <c r="AM66" s="148"/>
      <c r="AN66" s="148"/>
      <c r="AO66" s="148"/>
      <c r="AP66" s="148"/>
      <c r="AQ66" s="147"/>
      <c r="AR66" s="146"/>
      <c r="AS66" s="148"/>
      <c r="AT66" s="148"/>
      <c r="AU66" s="148"/>
      <c r="AV66" s="148"/>
      <c r="AW66" s="148"/>
      <c r="AX66" s="147"/>
      <c r="AY66" s="146"/>
      <c r="AZ66" s="235"/>
      <c r="BA66" s="198"/>
      <c r="BB66" s="155"/>
      <c r="BC66" s="155"/>
      <c r="BD66" s="199"/>
      <c r="BF66" s="155"/>
      <c r="BG66" s="266"/>
      <c r="BH66" s="266"/>
      <c r="BI66" s="266"/>
      <c r="BJ66" s="266"/>
    </row>
    <row r="67" spans="2:62" ht="8.1" customHeight="1" x14ac:dyDescent="0.25">
      <c r="B67" s="234"/>
      <c r="C67" s="154"/>
      <c r="D67" s="153"/>
      <c r="E67" s="153"/>
      <c r="F67" s="153"/>
      <c r="G67" s="153"/>
      <c r="H67" s="152"/>
      <c r="I67" s="151"/>
      <c r="K67" s="153"/>
      <c r="L67" s="153"/>
      <c r="M67" s="153"/>
      <c r="N67" s="153"/>
      <c r="O67" s="152"/>
      <c r="P67" s="151"/>
      <c r="R67" s="153"/>
      <c r="S67" s="153"/>
      <c r="T67" s="153"/>
      <c r="U67" s="153"/>
      <c r="V67" s="152"/>
      <c r="W67" s="151"/>
      <c r="Y67" s="153"/>
      <c r="Z67" s="153"/>
      <c r="AA67" s="153"/>
      <c r="AB67" s="153"/>
      <c r="AC67" s="152"/>
      <c r="AD67" s="151"/>
      <c r="AF67" s="153"/>
      <c r="AG67" s="153"/>
      <c r="AH67" s="153"/>
      <c r="AI67" s="153"/>
      <c r="AJ67" s="152"/>
      <c r="AK67" s="151"/>
      <c r="AL67" s="153"/>
      <c r="AM67" s="153"/>
      <c r="AN67" s="153"/>
      <c r="AO67" s="153"/>
      <c r="AP67" s="153"/>
      <c r="AQ67" s="152"/>
      <c r="AR67" s="151"/>
      <c r="AS67" s="153"/>
      <c r="AT67" s="153"/>
      <c r="AU67" s="153"/>
      <c r="AV67" s="153"/>
      <c r="AW67" s="153"/>
      <c r="AX67" s="152"/>
      <c r="AY67" s="151"/>
      <c r="AZ67" s="234"/>
      <c r="BA67" s="198"/>
      <c r="BB67" s="155"/>
      <c r="BC67" s="155"/>
      <c r="BD67" s="199"/>
      <c r="BE67" s="156"/>
      <c r="BF67" s="155"/>
      <c r="BG67" s="155"/>
      <c r="BH67" s="155"/>
      <c r="BI67" s="155"/>
    </row>
    <row r="68" spans="2:62" ht="8.1" customHeight="1" x14ac:dyDescent="0.25">
      <c r="B68" s="235"/>
      <c r="C68" s="150"/>
      <c r="D68" s="148"/>
      <c r="E68" s="148"/>
      <c r="F68" s="148"/>
      <c r="G68" s="148"/>
      <c r="H68" s="147"/>
      <c r="I68" s="146"/>
      <c r="J68" s="149"/>
      <c r="K68" s="148"/>
      <c r="L68" s="148"/>
      <c r="M68" s="148"/>
      <c r="N68" s="148"/>
      <c r="O68" s="147"/>
      <c r="P68" s="146"/>
      <c r="Q68" s="149"/>
      <c r="R68" s="148"/>
      <c r="S68" s="148"/>
      <c r="T68" s="148"/>
      <c r="U68" s="148"/>
      <c r="V68" s="147"/>
      <c r="W68" s="146"/>
      <c r="X68" s="149"/>
      <c r="Y68" s="148"/>
      <c r="Z68" s="148"/>
      <c r="AA68" s="148"/>
      <c r="AB68" s="148"/>
      <c r="AC68" s="147"/>
      <c r="AD68" s="146"/>
      <c r="AE68" s="149"/>
      <c r="AF68" s="148"/>
      <c r="AG68" s="148"/>
      <c r="AH68" s="148"/>
      <c r="AI68" s="148"/>
      <c r="AJ68" s="147"/>
      <c r="AK68" s="146"/>
      <c r="AL68" s="148"/>
      <c r="AM68" s="148"/>
      <c r="AN68" s="148"/>
      <c r="AO68" s="148"/>
      <c r="AP68" s="148"/>
      <c r="AQ68" s="147"/>
      <c r="AR68" s="146"/>
      <c r="AS68" s="148"/>
      <c r="AT68" s="148"/>
      <c r="AU68" s="148"/>
      <c r="AV68" s="148"/>
      <c r="AW68" s="148"/>
      <c r="AX68" s="147"/>
      <c r="AY68" s="146"/>
      <c r="AZ68" s="235"/>
      <c r="BA68" s="200"/>
      <c r="BB68" s="201"/>
      <c r="BC68" s="201"/>
      <c r="BD68" s="202"/>
      <c r="BF68" s="155"/>
      <c r="BG68" s="155"/>
      <c r="BH68" s="155"/>
      <c r="BI68" s="155"/>
    </row>
    <row r="69" spans="2:62" ht="8.1" customHeight="1" x14ac:dyDescent="0.25">
      <c r="B69" s="234" t="s">
        <v>159</v>
      </c>
      <c r="C69" s="154"/>
      <c r="D69" s="153"/>
      <c r="E69" s="153"/>
      <c r="F69" s="153"/>
      <c r="G69" s="153"/>
      <c r="H69" s="152"/>
      <c r="I69" s="151"/>
      <c r="K69" s="153"/>
      <c r="L69" s="153"/>
      <c r="M69" s="153"/>
      <c r="N69" s="153"/>
      <c r="O69" s="152"/>
      <c r="P69" s="151"/>
      <c r="R69" s="153"/>
      <c r="S69" s="153"/>
      <c r="T69" s="153"/>
      <c r="U69" s="153"/>
      <c r="V69" s="152"/>
      <c r="W69" s="151"/>
      <c r="Y69" s="153"/>
      <c r="Z69" s="153"/>
      <c r="AA69" s="153"/>
      <c r="AB69" s="153"/>
      <c r="AC69" s="152"/>
      <c r="AD69" s="151"/>
      <c r="AF69" s="153"/>
      <c r="AG69" s="153"/>
      <c r="AH69" s="153"/>
      <c r="AI69" s="153"/>
      <c r="AJ69" s="152"/>
      <c r="AK69" s="151"/>
      <c r="AL69" s="153"/>
      <c r="AM69" s="153"/>
      <c r="AN69" s="153"/>
      <c r="AO69" s="153"/>
      <c r="AP69" s="153"/>
      <c r="AQ69" s="152"/>
      <c r="AR69" s="151"/>
      <c r="AS69" s="153"/>
      <c r="AT69" s="153"/>
      <c r="AU69" s="153"/>
      <c r="AV69" s="153"/>
      <c r="AW69" s="153"/>
      <c r="AX69" s="152"/>
      <c r="AY69" s="151"/>
      <c r="AZ69" s="234" t="s">
        <v>159</v>
      </c>
      <c r="BA69" s="138"/>
      <c r="BB69" s="137"/>
      <c r="BC69" s="137"/>
      <c r="BD69" s="136"/>
      <c r="BF69" s="155"/>
      <c r="BG69" s="155"/>
      <c r="BH69" s="155"/>
      <c r="BI69" s="155"/>
    </row>
    <row r="70" spans="2:62" ht="8.1" customHeight="1" x14ac:dyDescent="0.25">
      <c r="B70" s="235"/>
      <c r="C70" s="150"/>
      <c r="D70" s="148"/>
      <c r="E70" s="148"/>
      <c r="F70" s="148"/>
      <c r="G70" s="148"/>
      <c r="H70" s="147"/>
      <c r="I70" s="146"/>
      <c r="J70" s="149"/>
      <c r="K70" s="148"/>
      <c r="L70" s="148"/>
      <c r="M70" s="148"/>
      <c r="N70" s="148"/>
      <c r="O70" s="147"/>
      <c r="P70" s="146"/>
      <c r="Q70" s="149"/>
      <c r="R70" s="148"/>
      <c r="S70" s="148"/>
      <c r="T70" s="148"/>
      <c r="U70" s="148"/>
      <c r="V70" s="147"/>
      <c r="W70" s="146"/>
      <c r="X70" s="149"/>
      <c r="Y70" s="148"/>
      <c r="Z70" s="148"/>
      <c r="AA70" s="148"/>
      <c r="AB70" s="148"/>
      <c r="AC70" s="147"/>
      <c r="AD70" s="146"/>
      <c r="AE70" s="149"/>
      <c r="AF70" s="148"/>
      <c r="AG70" s="148"/>
      <c r="AH70" s="148"/>
      <c r="AI70" s="148"/>
      <c r="AJ70" s="147"/>
      <c r="AK70" s="146"/>
      <c r="AL70" s="148"/>
      <c r="AM70" s="148"/>
      <c r="AN70" s="148"/>
      <c r="AO70" s="148"/>
      <c r="AP70" s="148"/>
      <c r="AQ70" s="147"/>
      <c r="AR70" s="146"/>
      <c r="AS70" s="148"/>
      <c r="AT70" s="148"/>
      <c r="AU70" s="148"/>
      <c r="AV70" s="148"/>
      <c r="AW70" s="148"/>
      <c r="AX70" s="147"/>
      <c r="AY70" s="146"/>
      <c r="AZ70" s="235"/>
      <c r="BA70" s="138"/>
      <c r="BB70" s="267" t="s">
        <v>3</v>
      </c>
      <c r="BC70" s="267"/>
      <c r="BD70" s="136"/>
      <c r="BF70" s="155"/>
      <c r="BG70" s="155"/>
      <c r="BH70" s="155"/>
      <c r="BI70" s="155"/>
    </row>
    <row r="71" spans="2:62" ht="8.1" customHeight="1" x14ac:dyDescent="0.25">
      <c r="B71" s="234"/>
      <c r="C71" s="154"/>
      <c r="D71" s="153"/>
      <c r="E71" s="153"/>
      <c r="F71" s="153"/>
      <c r="G71" s="153"/>
      <c r="H71" s="152"/>
      <c r="I71" s="151"/>
      <c r="K71" s="153"/>
      <c r="L71" s="153"/>
      <c r="M71" s="153"/>
      <c r="N71" s="153"/>
      <c r="O71" s="152"/>
      <c r="P71" s="151"/>
      <c r="R71" s="153"/>
      <c r="S71" s="153"/>
      <c r="T71" s="153"/>
      <c r="U71" s="153"/>
      <c r="V71" s="152" t="s">
        <v>196</v>
      </c>
      <c r="W71" s="151"/>
      <c r="Y71" s="153"/>
      <c r="Z71" s="153"/>
      <c r="AA71" s="153"/>
      <c r="AB71" s="153"/>
      <c r="AC71" s="152"/>
      <c r="AD71" s="151"/>
      <c r="AF71" s="153"/>
      <c r="AG71" s="153"/>
      <c r="AH71" s="153"/>
      <c r="AI71" s="153"/>
      <c r="AJ71" s="152"/>
      <c r="AK71" s="151"/>
      <c r="AL71" s="153"/>
      <c r="AM71" s="153"/>
      <c r="AN71" s="153"/>
      <c r="AO71" s="153"/>
      <c r="AP71" s="153"/>
      <c r="AQ71" s="152"/>
      <c r="AR71" s="151"/>
      <c r="AS71" s="153"/>
      <c r="AT71" s="153"/>
      <c r="AU71" s="153"/>
      <c r="AV71" s="153"/>
      <c r="AW71" s="153"/>
      <c r="AX71" s="152"/>
      <c r="AY71" s="151"/>
      <c r="AZ71" s="234"/>
      <c r="BA71" s="138"/>
      <c r="BB71" s="267"/>
      <c r="BC71" s="267"/>
      <c r="BD71" s="136"/>
      <c r="BF71" s="155"/>
      <c r="BG71" s="155"/>
      <c r="BH71" s="155"/>
      <c r="BI71" s="155"/>
    </row>
    <row r="72" spans="2:62" ht="8.1" customHeight="1" x14ac:dyDescent="0.25">
      <c r="B72" s="235"/>
      <c r="C72" s="150"/>
      <c r="D72" s="148"/>
      <c r="E72" s="148"/>
      <c r="F72" s="148"/>
      <c r="G72" s="148"/>
      <c r="H72" s="147"/>
      <c r="I72" s="146"/>
      <c r="J72" s="149"/>
      <c r="K72" s="148"/>
      <c r="L72" s="148"/>
      <c r="M72" s="148"/>
      <c r="N72" s="148"/>
      <c r="O72" s="147"/>
      <c r="P72" s="146"/>
      <c r="Q72" s="149"/>
      <c r="R72" s="148"/>
      <c r="S72" s="148"/>
      <c r="T72" s="148"/>
      <c r="U72" s="148"/>
      <c r="V72" s="147"/>
      <c r="W72" s="146"/>
      <c r="X72" s="149"/>
      <c r="Y72" s="148"/>
      <c r="Z72" s="148"/>
      <c r="AA72" s="148"/>
      <c r="AB72" s="148"/>
      <c r="AC72" s="147"/>
      <c r="AD72" s="146"/>
      <c r="AE72" s="149"/>
      <c r="AF72" s="148"/>
      <c r="AG72" s="148"/>
      <c r="AH72" s="148"/>
      <c r="AI72" s="148"/>
      <c r="AJ72" s="147"/>
      <c r="AK72" s="146"/>
      <c r="AL72" s="148"/>
      <c r="AM72" s="148"/>
      <c r="AN72" s="148"/>
      <c r="AO72" s="148"/>
      <c r="AP72" s="148"/>
      <c r="AQ72" s="147"/>
      <c r="AR72" s="146"/>
      <c r="AS72" s="148"/>
      <c r="AT72" s="148"/>
      <c r="AU72" s="148"/>
      <c r="AV72" s="148"/>
      <c r="AW72" s="148"/>
      <c r="AX72" s="147"/>
      <c r="AY72" s="146"/>
      <c r="AZ72" s="235"/>
      <c r="BA72" s="138"/>
      <c r="BB72" s="233" t="e" vm="1">
        <v>#VALUE!</v>
      </c>
      <c r="BC72" s="233"/>
      <c r="BD72" s="136"/>
      <c r="BF72" s="155"/>
      <c r="BG72" s="155"/>
      <c r="BH72" s="155"/>
      <c r="BI72" s="155"/>
    </row>
    <row r="73" spans="2:62" ht="8.1" customHeight="1" x14ac:dyDescent="0.25">
      <c r="B73" s="234" t="s">
        <v>160</v>
      </c>
      <c r="C73" s="154"/>
      <c r="D73" s="153"/>
      <c r="E73" s="153"/>
      <c r="F73" s="153"/>
      <c r="G73" s="153"/>
      <c r="H73" s="152"/>
      <c r="I73" s="151"/>
      <c r="K73" s="153"/>
      <c r="L73" s="153"/>
      <c r="M73" s="153"/>
      <c r="N73" s="153"/>
      <c r="O73" s="152"/>
      <c r="P73" s="151"/>
      <c r="R73" s="153"/>
      <c r="S73" s="153"/>
      <c r="T73" s="153"/>
      <c r="U73" s="153"/>
      <c r="V73" s="152"/>
      <c r="W73" s="151"/>
      <c r="Y73" s="153"/>
      <c r="Z73" s="153"/>
      <c r="AA73" s="153"/>
      <c r="AB73" s="153"/>
      <c r="AC73" s="152"/>
      <c r="AD73" s="151"/>
      <c r="AF73" s="153"/>
      <c r="AG73" s="153"/>
      <c r="AH73" s="153"/>
      <c r="AI73" s="153"/>
      <c r="AJ73" s="152"/>
      <c r="AK73" s="151"/>
      <c r="AL73" s="153"/>
      <c r="AM73" s="153"/>
      <c r="AN73" s="153"/>
      <c r="AO73" s="153"/>
      <c r="AP73" s="153"/>
      <c r="AQ73" s="152"/>
      <c r="AR73" s="151"/>
      <c r="AS73" s="153"/>
      <c r="AT73" s="153"/>
      <c r="AU73" s="153"/>
      <c r="AV73" s="153"/>
      <c r="AW73" s="153"/>
      <c r="AX73" s="152"/>
      <c r="AY73" s="151"/>
      <c r="AZ73" s="234" t="s">
        <v>160</v>
      </c>
      <c r="BA73" s="138"/>
      <c r="BB73" s="233"/>
      <c r="BC73" s="233"/>
      <c r="BD73" s="136"/>
    </row>
    <row r="74" spans="2:62" ht="8.1" customHeight="1" x14ac:dyDescent="0.25">
      <c r="B74" s="235"/>
      <c r="C74" s="150"/>
      <c r="D74" s="148"/>
      <c r="E74" s="148"/>
      <c r="F74" s="148"/>
      <c r="G74" s="148"/>
      <c r="H74" s="147"/>
      <c r="I74" s="146"/>
      <c r="J74" s="149"/>
      <c r="K74" s="148"/>
      <c r="L74" s="148"/>
      <c r="M74" s="148"/>
      <c r="N74" s="148"/>
      <c r="O74" s="147"/>
      <c r="P74" s="146"/>
      <c r="Q74" s="149"/>
      <c r="R74" s="148"/>
      <c r="S74" s="148"/>
      <c r="T74" s="148"/>
      <c r="U74" s="148"/>
      <c r="V74" s="147"/>
      <c r="W74" s="146"/>
      <c r="X74" s="149"/>
      <c r="Y74" s="148"/>
      <c r="Z74" s="148"/>
      <c r="AA74" s="148"/>
      <c r="AB74" s="148"/>
      <c r="AC74" s="147"/>
      <c r="AD74" s="146"/>
      <c r="AE74" s="149"/>
      <c r="AF74" s="148"/>
      <c r="AG74" s="148"/>
      <c r="AH74" s="148"/>
      <c r="AI74" s="148"/>
      <c r="AJ74" s="147"/>
      <c r="AK74" s="146"/>
      <c r="AL74" s="148"/>
      <c r="AM74" s="148"/>
      <c r="AN74" s="148"/>
      <c r="AO74" s="148"/>
      <c r="AP74" s="148"/>
      <c r="AQ74" s="147"/>
      <c r="AR74" s="146"/>
      <c r="AS74" s="148"/>
      <c r="AT74" s="148"/>
      <c r="AU74" s="148"/>
      <c r="AV74" s="148"/>
      <c r="AW74" s="148"/>
      <c r="AX74" s="147"/>
      <c r="AY74" s="146"/>
      <c r="AZ74" s="235"/>
      <c r="BA74" s="138"/>
      <c r="BB74" s="233"/>
      <c r="BC74" s="233"/>
      <c r="BD74" s="136"/>
    </row>
    <row r="75" spans="2:62" ht="8.1" customHeight="1" x14ac:dyDescent="0.25">
      <c r="B75" s="234"/>
      <c r="C75" s="154"/>
      <c r="D75" s="153"/>
      <c r="E75" s="153"/>
      <c r="F75" s="153"/>
      <c r="G75" s="153"/>
      <c r="H75" s="152"/>
      <c r="I75" s="151"/>
      <c r="K75" s="153"/>
      <c r="L75" s="153"/>
      <c r="M75" s="153"/>
      <c r="N75" s="153"/>
      <c r="O75" s="152"/>
      <c r="P75" s="151"/>
      <c r="R75" s="153"/>
      <c r="S75" s="153"/>
      <c r="T75" s="153"/>
      <c r="U75" s="153"/>
      <c r="V75" s="152"/>
      <c r="W75" s="151"/>
      <c r="Y75" s="153"/>
      <c r="Z75" s="153"/>
      <c r="AA75" s="153"/>
      <c r="AB75" s="153"/>
      <c r="AC75" s="152"/>
      <c r="AD75" s="151"/>
      <c r="AF75" s="153"/>
      <c r="AG75" s="153"/>
      <c r="AH75" s="153"/>
      <c r="AI75" s="153"/>
      <c r="AJ75" s="152"/>
      <c r="AK75" s="151"/>
      <c r="AL75" s="153"/>
      <c r="AM75" s="153"/>
      <c r="AN75" s="153"/>
      <c r="AO75" s="153"/>
      <c r="AP75" s="153"/>
      <c r="AQ75" s="152"/>
      <c r="AR75" s="151"/>
      <c r="AS75" s="153"/>
      <c r="AT75" s="153"/>
      <c r="AU75" s="153"/>
      <c r="AV75" s="153"/>
      <c r="AW75" s="153"/>
      <c r="AX75" s="152"/>
      <c r="AY75" s="151"/>
      <c r="AZ75" s="234"/>
      <c r="BA75" s="138"/>
      <c r="BB75" s="233"/>
      <c r="BC75" s="233"/>
      <c r="BD75" s="136"/>
    </row>
    <row r="76" spans="2:62" ht="8.1" customHeight="1" x14ac:dyDescent="0.25">
      <c r="B76" s="235"/>
      <c r="C76" s="150"/>
      <c r="D76" s="148"/>
      <c r="E76" s="148"/>
      <c r="F76" s="148"/>
      <c r="G76" s="148"/>
      <c r="H76" s="147"/>
      <c r="I76" s="146"/>
      <c r="J76" s="149"/>
      <c r="K76" s="148"/>
      <c r="L76" s="148"/>
      <c r="M76" s="148"/>
      <c r="N76" s="148"/>
      <c r="O76" s="147"/>
      <c r="P76" s="146"/>
      <c r="Q76" s="149"/>
      <c r="R76" s="148"/>
      <c r="S76" s="148"/>
      <c r="T76" s="148"/>
      <c r="U76" s="148"/>
      <c r="V76" s="147"/>
      <c r="W76" s="146"/>
      <c r="X76" s="149"/>
      <c r="Y76" s="148"/>
      <c r="Z76" s="148"/>
      <c r="AA76" s="148"/>
      <c r="AB76" s="148"/>
      <c r="AC76" s="147"/>
      <c r="AD76" s="146"/>
      <c r="AE76" s="149"/>
      <c r="AF76" s="148"/>
      <c r="AG76" s="148"/>
      <c r="AH76" s="148"/>
      <c r="AI76" s="148"/>
      <c r="AJ76" s="147"/>
      <c r="AK76" s="146"/>
      <c r="AL76" s="148"/>
      <c r="AM76" s="148"/>
      <c r="AN76" s="148"/>
      <c r="AO76" s="148"/>
      <c r="AP76" s="148"/>
      <c r="AQ76" s="147"/>
      <c r="AR76" s="146"/>
      <c r="AS76" s="148"/>
      <c r="AT76" s="148"/>
      <c r="AU76" s="148"/>
      <c r="AV76" s="148"/>
      <c r="AW76" s="148"/>
      <c r="AX76" s="147"/>
      <c r="AY76" s="146"/>
      <c r="AZ76" s="235"/>
      <c r="BA76" s="138"/>
      <c r="BB76" s="233"/>
      <c r="BC76" s="233"/>
      <c r="BD76" s="136"/>
    </row>
    <row r="77" spans="2:62" ht="8.1" customHeight="1" x14ac:dyDescent="0.25">
      <c r="B77" s="234" t="s">
        <v>161</v>
      </c>
      <c r="C77" s="154"/>
      <c r="D77" s="153"/>
      <c r="E77" s="153"/>
      <c r="F77" s="153"/>
      <c r="G77" s="153"/>
      <c r="H77" s="152"/>
      <c r="I77" s="151"/>
      <c r="K77" s="153"/>
      <c r="L77" s="153"/>
      <c r="M77" s="153"/>
      <c r="N77" s="153"/>
      <c r="O77" s="152"/>
      <c r="P77" s="151"/>
      <c r="R77" s="153"/>
      <c r="S77" s="153"/>
      <c r="T77" s="153"/>
      <c r="U77" s="153"/>
      <c r="V77" s="152"/>
      <c r="W77" s="151"/>
      <c r="Y77" s="153"/>
      <c r="Z77" s="153"/>
      <c r="AA77" s="153"/>
      <c r="AB77" s="153"/>
      <c r="AC77" s="152"/>
      <c r="AD77" s="151"/>
      <c r="AF77" s="153"/>
      <c r="AG77" s="153"/>
      <c r="AH77" s="153"/>
      <c r="AI77" s="153"/>
      <c r="AJ77" s="152"/>
      <c r="AK77" s="151"/>
      <c r="AL77" s="153"/>
      <c r="AM77" s="153"/>
      <c r="AN77" s="153"/>
      <c r="AO77" s="153"/>
      <c r="AP77" s="153"/>
      <c r="AQ77" s="152"/>
      <c r="AR77" s="151"/>
      <c r="AS77" s="153"/>
      <c r="AT77" s="153"/>
      <c r="AU77" s="153"/>
      <c r="AV77" s="153"/>
      <c r="AW77" s="153"/>
      <c r="AX77" s="152"/>
      <c r="AY77" s="151"/>
      <c r="AZ77" s="234" t="s">
        <v>161</v>
      </c>
      <c r="BA77" s="138"/>
      <c r="BB77" s="233"/>
      <c r="BC77" s="233"/>
      <c r="BD77" s="136"/>
    </row>
    <row r="78" spans="2:62" ht="8.1" customHeight="1" x14ac:dyDescent="0.25">
      <c r="B78" s="235"/>
      <c r="C78" s="150"/>
      <c r="D78" s="148"/>
      <c r="E78" s="148"/>
      <c r="F78" s="148"/>
      <c r="G78" s="148"/>
      <c r="H78" s="147"/>
      <c r="I78" s="146"/>
      <c r="J78" s="149"/>
      <c r="K78" s="148"/>
      <c r="L78" s="148"/>
      <c r="M78" s="148"/>
      <c r="N78" s="148"/>
      <c r="O78" s="147"/>
      <c r="P78" s="146"/>
      <c r="Q78" s="149"/>
      <c r="R78" s="148"/>
      <c r="S78" s="148"/>
      <c r="T78" s="148"/>
      <c r="U78" s="148"/>
      <c r="V78" s="147"/>
      <c r="W78" s="146"/>
      <c r="X78" s="149"/>
      <c r="Y78" s="148"/>
      <c r="Z78" s="148"/>
      <c r="AA78" s="148"/>
      <c r="AB78" s="148"/>
      <c r="AC78" s="147"/>
      <c r="AD78" s="146"/>
      <c r="AE78" s="149"/>
      <c r="AF78" s="148"/>
      <c r="AG78" s="148"/>
      <c r="AH78" s="148"/>
      <c r="AI78" s="148"/>
      <c r="AJ78" s="147"/>
      <c r="AK78" s="146"/>
      <c r="AL78" s="148"/>
      <c r="AM78" s="148"/>
      <c r="AN78" s="148"/>
      <c r="AO78" s="148"/>
      <c r="AP78" s="148"/>
      <c r="AQ78" s="147"/>
      <c r="AR78" s="146"/>
      <c r="AS78" s="148"/>
      <c r="AT78" s="148"/>
      <c r="AU78" s="148"/>
      <c r="AV78" s="148"/>
      <c r="AW78" s="148"/>
      <c r="AX78" s="147"/>
      <c r="AY78" s="146"/>
      <c r="AZ78" s="235"/>
      <c r="BA78" s="138"/>
      <c r="BB78" s="233"/>
      <c r="BC78" s="233"/>
      <c r="BD78" s="136"/>
    </row>
    <row r="79" spans="2:62" ht="8.1" customHeight="1" x14ac:dyDescent="0.25">
      <c r="B79" s="234"/>
      <c r="C79" s="154"/>
      <c r="D79" s="153"/>
      <c r="E79" s="153"/>
      <c r="F79" s="153"/>
      <c r="G79" s="153"/>
      <c r="H79" s="152"/>
      <c r="I79" s="151"/>
      <c r="K79" s="153"/>
      <c r="L79" s="153"/>
      <c r="M79" s="153"/>
      <c r="N79" s="153"/>
      <c r="O79" s="152"/>
      <c r="P79" s="151"/>
      <c r="R79" s="153"/>
      <c r="S79" s="153"/>
      <c r="T79" s="153"/>
      <c r="U79" s="153"/>
      <c r="V79" s="152"/>
      <c r="W79" s="151"/>
      <c r="Y79" s="153"/>
      <c r="Z79" s="153"/>
      <c r="AA79" s="153"/>
      <c r="AB79" s="153"/>
      <c r="AC79" s="152"/>
      <c r="AD79" s="151"/>
      <c r="AF79" s="153"/>
      <c r="AG79" s="153"/>
      <c r="AH79" s="153"/>
      <c r="AI79" s="153"/>
      <c r="AJ79" s="152"/>
      <c r="AK79" s="151"/>
      <c r="AL79" s="153"/>
      <c r="AM79" s="153"/>
      <c r="AN79" s="153"/>
      <c r="AO79" s="153"/>
      <c r="AP79" s="153"/>
      <c r="AQ79" s="152"/>
      <c r="AR79" s="151"/>
      <c r="AS79" s="153"/>
      <c r="AT79" s="153"/>
      <c r="AU79" s="153"/>
      <c r="AV79" s="153"/>
      <c r="AW79" s="153"/>
      <c r="AX79" s="152"/>
      <c r="AY79" s="151"/>
      <c r="AZ79" s="234"/>
      <c r="BA79" s="138"/>
      <c r="BB79" s="233"/>
      <c r="BC79" s="233"/>
      <c r="BD79" s="136"/>
    </row>
    <row r="80" spans="2:62" ht="8.1" customHeight="1" x14ac:dyDescent="0.25">
      <c r="B80" s="235"/>
      <c r="C80" s="150"/>
      <c r="D80" s="148"/>
      <c r="E80" s="148"/>
      <c r="F80" s="148"/>
      <c r="G80" s="148"/>
      <c r="H80" s="147"/>
      <c r="I80" s="146"/>
      <c r="J80" s="149"/>
      <c r="K80" s="148"/>
      <c r="L80" s="148"/>
      <c r="M80" s="148"/>
      <c r="N80" s="148"/>
      <c r="O80" s="147"/>
      <c r="P80" s="146"/>
      <c r="Q80" s="149"/>
      <c r="R80" s="148"/>
      <c r="S80" s="148"/>
      <c r="T80" s="148"/>
      <c r="U80" s="148"/>
      <c r="V80" s="147"/>
      <c r="W80" s="146"/>
      <c r="X80" s="149"/>
      <c r="Y80" s="148"/>
      <c r="Z80" s="148"/>
      <c r="AA80" s="148"/>
      <c r="AB80" s="148"/>
      <c r="AC80" s="147"/>
      <c r="AD80" s="146"/>
      <c r="AE80" s="149"/>
      <c r="AF80" s="148"/>
      <c r="AG80" s="148"/>
      <c r="AH80" s="148"/>
      <c r="AI80" s="148"/>
      <c r="AJ80" s="147"/>
      <c r="AK80" s="146"/>
      <c r="AL80" s="148"/>
      <c r="AM80" s="148"/>
      <c r="AN80" s="148"/>
      <c r="AO80" s="148"/>
      <c r="AP80" s="148"/>
      <c r="AQ80" s="147"/>
      <c r="AR80" s="146"/>
      <c r="AS80" s="148"/>
      <c r="AT80" s="148"/>
      <c r="AU80" s="148"/>
      <c r="AV80" s="148"/>
      <c r="AW80" s="148"/>
      <c r="AX80" s="147"/>
      <c r="AY80" s="146"/>
      <c r="AZ80" s="235"/>
      <c r="BA80" s="138"/>
      <c r="BB80" s="266" t="s">
        <v>162</v>
      </c>
      <c r="BC80" s="266"/>
      <c r="BD80" s="136"/>
    </row>
    <row r="81" spans="2:56" ht="8.1" customHeight="1" x14ac:dyDescent="0.25">
      <c r="B81" s="234" t="s">
        <v>163</v>
      </c>
      <c r="C81" s="154"/>
      <c r="D81" s="153"/>
      <c r="E81" s="153"/>
      <c r="F81" s="153"/>
      <c r="G81" s="153"/>
      <c r="H81" s="152"/>
      <c r="I81" s="151"/>
      <c r="K81" s="153"/>
      <c r="L81" s="153"/>
      <c r="M81" s="153"/>
      <c r="N81" s="153"/>
      <c r="O81" s="152"/>
      <c r="P81" s="151"/>
      <c r="R81" s="153"/>
      <c r="S81" s="153"/>
      <c r="T81" s="153"/>
      <c r="U81" s="153"/>
      <c r="V81" s="152"/>
      <c r="W81" s="151"/>
      <c r="Y81" s="153"/>
      <c r="Z81" s="153"/>
      <c r="AA81" s="153"/>
      <c r="AB81" s="153"/>
      <c r="AC81" s="152"/>
      <c r="AD81" s="151"/>
      <c r="AF81" s="153"/>
      <c r="AG81" s="153"/>
      <c r="AH81" s="153"/>
      <c r="AI81" s="153"/>
      <c r="AJ81" s="152"/>
      <c r="AK81" s="151"/>
      <c r="AL81" s="153"/>
      <c r="AM81" s="153"/>
      <c r="AN81" s="153"/>
      <c r="AO81" s="153"/>
      <c r="AP81" s="153"/>
      <c r="AQ81" s="152"/>
      <c r="AR81" s="151"/>
      <c r="AS81" s="153"/>
      <c r="AT81" s="153"/>
      <c r="AU81" s="153"/>
      <c r="AV81" s="153"/>
      <c r="AW81" s="153"/>
      <c r="AX81" s="152"/>
      <c r="AY81" s="151"/>
      <c r="AZ81" s="234" t="s">
        <v>163</v>
      </c>
      <c r="BA81" s="138"/>
      <c r="BB81" s="266"/>
      <c r="BC81" s="266"/>
      <c r="BD81" s="136"/>
    </row>
    <row r="82" spans="2:56" ht="8.1" customHeight="1" x14ac:dyDescent="0.25">
      <c r="B82" s="234"/>
      <c r="C82" s="150"/>
      <c r="D82" s="148"/>
      <c r="E82" s="148"/>
      <c r="F82" s="148"/>
      <c r="G82" s="148"/>
      <c r="H82" s="147"/>
      <c r="I82" s="146"/>
      <c r="J82" s="149"/>
      <c r="K82" s="148"/>
      <c r="L82" s="148"/>
      <c r="M82" s="148"/>
      <c r="N82" s="148"/>
      <c r="O82" s="147"/>
      <c r="P82" s="146"/>
      <c r="Q82" s="149"/>
      <c r="R82" s="148"/>
      <c r="S82" s="148"/>
      <c r="T82" s="148"/>
      <c r="U82" s="148"/>
      <c r="V82" s="147"/>
      <c r="W82" s="146"/>
      <c r="X82" s="149"/>
      <c r="Y82" s="148"/>
      <c r="Z82" s="148"/>
      <c r="AA82" s="148"/>
      <c r="AB82" s="148"/>
      <c r="AC82" s="147"/>
      <c r="AD82" s="146"/>
      <c r="AE82" s="149"/>
      <c r="AF82" s="148"/>
      <c r="AG82" s="148"/>
      <c r="AH82" s="148"/>
      <c r="AI82" s="148"/>
      <c r="AJ82" s="147"/>
      <c r="AK82" s="146"/>
      <c r="AL82" s="148"/>
      <c r="AM82" s="148"/>
      <c r="AN82" s="148"/>
      <c r="AO82" s="148"/>
      <c r="AP82" s="148"/>
      <c r="AQ82" s="147"/>
      <c r="AR82" s="146"/>
      <c r="AS82" s="148"/>
      <c r="AT82" s="148"/>
      <c r="AU82" s="148"/>
      <c r="AV82" s="148"/>
      <c r="AW82" s="148"/>
      <c r="AX82" s="147"/>
      <c r="AY82" s="146"/>
      <c r="AZ82" s="234"/>
      <c r="BA82" s="138"/>
      <c r="BB82" s="266"/>
      <c r="BC82" s="266"/>
      <c r="BD82" s="136"/>
    </row>
    <row r="83" spans="2:56" ht="8.1" customHeight="1" x14ac:dyDescent="0.25">
      <c r="B83" s="145"/>
      <c r="C83" s="144"/>
      <c r="D83" s="142"/>
      <c r="E83" s="142"/>
      <c r="F83" s="142"/>
      <c r="G83" s="142"/>
      <c r="H83" s="141"/>
      <c r="I83" s="140"/>
      <c r="J83" s="143"/>
      <c r="K83" s="142"/>
      <c r="L83" s="142"/>
      <c r="M83" s="142"/>
      <c r="N83" s="142"/>
      <c r="O83" s="141"/>
      <c r="P83" s="140"/>
      <c r="Q83" s="143"/>
      <c r="R83" s="142"/>
      <c r="S83" s="142"/>
      <c r="T83" s="142"/>
      <c r="U83" s="142"/>
      <c r="V83" s="141"/>
      <c r="W83" s="140"/>
      <c r="X83" s="143"/>
      <c r="Y83" s="142"/>
      <c r="Z83" s="142"/>
      <c r="AA83" s="142"/>
      <c r="AB83" s="142"/>
      <c r="AC83" s="141"/>
      <c r="AD83" s="140"/>
      <c r="AE83" s="143"/>
      <c r="AF83" s="142"/>
      <c r="AG83" s="142"/>
      <c r="AH83" s="142"/>
      <c r="AI83" s="142"/>
      <c r="AJ83" s="141"/>
      <c r="AK83" s="140"/>
      <c r="AL83" s="142"/>
      <c r="AM83" s="142"/>
      <c r="AN83" s="142"/>
      <c r="AO83" s="142"/>
      <c r="AP83" s="142"/>
      <c r="AQ83" s="141"/>
      <c r="AR83" s="140"/>
      <c r="AS83" s="142"/>
      <c r="AT83" s="142"/>
      <c r="AU83" s="142"/>
      <c r="AV83" s="142"/>
      <c r="AW83" s="142"/>
      <c r="AX83" s="141"/>
      <c r="AY83" s="140"/>
      <c r="AZ83" s="139"/>
      <c r="BA83" s="138"/>
      <c r="BB83" s="137"/>
      <c r="BC83" s="137"/>
      <c r="BD83" s="136"/>
    </row>
    <row r="84" spans="2:56" ht="15" hidden="1" customHeight="1" x14ac:dyDescent="0.25">
      <c r="BA84" s="138"/>
      <c r="BB84" s="137"/>
      <c r="BC84" s="137"/>
      <c r="BD84" s="136"/>
    </row>
    <row r="85" spans="2:56" ht="15" hidden="1" customHeight="1" x14ac:dyDescent="0.25">
      <c r="BA85" s="135"/>
      <c r="BB85" s="134"/>
      <c r="BC85" s="134"/>
      <c r="BD85" s="133"/>
    </row>
    <row r="86" spans="2:56" ht="15" hidden="1" customHeight="1" x14ac:dyDescent="0.25"/>
    <row r="87" spans="2:56" ht="15" hidden="1" customHeight="1" x14ac:dyDescent="0.25"/>
    <row r="88" spans="2:56" ht="15" hidden="1" customHeight="1" x14ac:dyDescent="0.25"/>
    <row r="89" spans="2:56" ht="15" hidden="1" customHeight="1" x14ac:dyDescent="0.25"/>
    <row r="90" spans="2:56" ht="15" hidden="1" customHeight="1" x14ac:dyDescent="0.25"/>
    <row r="91" spans="2:56" ht="15" hidden="1" customHeight="1" x14ac:dyDescent="0.25"/>
    <row r="92" spans="2:56" ht="15" hidden="1" customHeight="1" x14ac:dyDescent="0.25"/>
    <row r="93" spans="2:56" ht="15" hidden="1" customHeight="1" x14ac:dyDescent="0.25"/>
    <row r="94" spans="2:56" ht="15" hidden="1" customHeight="1" x14ac:dyDescent="0.25"/>
    <row r="95" spans="2:56" ht="15" hidden="1" customHeight="1" x14ac:dyDescent="0.25"/>
    <row r="96" spans="2:56" ht="15" hidden="1" customHeight="1" x14ac:dyDescent="0.25"/>
    <row r="97" spans="3:56" ht="15" hidden="1" customHeight="1" x14ac:dyDescent="0.25"/>
    <row r="98" spans="3:56" ht="15" hidden="1" customHeight="1" x14ac:dyDescent="0.25"/>
    <row r="99" spans="3:56" ht="15" hidden="1" customHeight="1" x14ac:dyDescent="0.25"/>
    <row r="100" spans="3:56" ht="15" hidden="1" customHeight="1" x14ac:dyDescent="0.25"/>
    <row r="101" spans="3:56" ht="15" hidden="1" customHeight="1" x14ac:dyDescent="0.25"/>
    <row r="102" spans="3:56" ht="15" hidden="1" customHeight="1" x14ac:dyDescent="0.25"/>
    <row r="103" spans="3:56" ht="15" hidden="1" customHeight="1" x14ac:dyDescent="0.25"/>
    <row r="104" spans="3:56" ht="15" hidden="1" customHeight="1" x14ac:dyDescent="0.25"/>
    <row r="105" spans="3:56" ht="15" hidden="1" customHeight="1" x14ac:dyDescent="0.25"/>
    <row r="106" spans="3:56" ht="15" hidden="1" customHeight="1" x14ac:dyDescent="0.25"/>
    <row r="107" spans="3:56" ht="15" hidden="1" customHeight="1" x14ac:dyDescent="0.25"/>
    <row r="108" spans="3:56" ht="15" hidden="1" customHeight="1" x14ac:dyDescent="0.25"/>
    <row r="109" spans="3:56" ht="15" hidden="1" customHeight="1" x14ac:dyDescent="0.25"/>
    <row r="110" spans="3:56" ht="15" hidden="1" customHeight="1" x14ac:dyDescent="0.25"/>
    <row r="111" spans="3:56" ht="15" hidden="1" customHeight="1" x14ac:dyDescent="0.25"/>
    <row r="112" spans="3:56" ht="15" hidden="1" customHeight="1" x14ac:dyDescent="0.25">
      <c r="C112" s="246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7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BA112" s="131"/>
      <c r="BB112" s="131"/>
      <c r="BC112" s="131"/>
      <c r="BD112" s="131"/>
    </row>
    <row r="113" spans="1:56" ht="15" hidden="1" customHeight="1" x14ac:dyDescent="0.25"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</row>
    <row r="114" spans="1:56" ht="15.75" hidden="1" customHeight="1" x14ac:dyDescent="0.25">
      <c r="C114" s="250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</row>
    <row r="115" spans="1:56" ht="9.75" customHeight="1" x14ac:dyDescent="0.25">
      <c r="BA115" s="131"/>
      <c r="BB115" s="131"/>
      <c r="BC115" s="131"/>
      <c r="BD115" s="131"/>
    </row>
    <row r="116" spans="1:56" ht="12.75" customHeight="1" x14ac:dyDescent="0.25">
      <c r="A116" s="252"/>
      <c r="B116" s="253"/>
      <c r="C116" s="239" t="s">
        <v>120</v>
      </c>
      <c r="D116" s="240"/>
      <c r="E116" s="240"/>
      <c r="F116" s="240"/>
      <c r="G116" s="240"/>
      <c r="H116" s="240"/>
      <c r="I116" s="241"/>
      <c r="J116" s="239" t="s">
        <v>121</v>
      </c>
      <c r="K116" s="240"/>
      <c r="L116" s="240"/>
      <c r="M116" s="240"/>
      <c r="N116" s="240"/>
      <c r="O116" s="240"/>
      <c r="P116" s="241"/>
      <c r="Q116" s="239" t="s">
        <v>122</v>
      </c>
      <c r="R116" s="240"/>
      <c r="S116" s="240"/>
      <c r="T116" s="240"/>
      <c r="U116" s="240"/>
      <c r="V116" s="240"/>
      <c r="W116" s="241"/>
      <c r="X116" s="239" t="s">
        <v>123</v>
      </c>
      <c r="Y116" s="240"/>
      <c r="Z116" s="240"/>
      <c r="AA116" s="240"/>
      <c r="AB116" s="240"/>
      <c r="AC116" s="240"/>
      <c r="AD116" s="241"/>
      <c r="AE116" s="239" t="s">
        <v>124</v>
      </c>
      <c r="AF116" s="240"/>
      <c r="AG116" s="240"/>
      <c r="AH116" s="240"/>
      <c r="AI116" s="240"/>
      <c r="AJ116" s="240"/>
      <c r="AK116" s="241"/>
      <c r="AL116" s="239" t="s">
        <v>125</v>
      </c>
      <c r="AM116" s="240"/>
      <c r="AN116" s="240"/>
      <c r="AO116" s="240"/>
      <c r="AP116" s="240"/>
      <c r="AQ116" s="240"/>
      <c r="AR116" s="241"/>
      <c r="AS116" s="239" t="s">
        <v>126</v>
      </c>
      <c r="AT116" s="240"/>
      <c r="AU116" s="240"/>
      <c r="AV116" s="240"/>
      <c r="AW116" s="240"/>
      <c r="AX116" s="240"/>
      <c r="AY116" s="241"/>
    </row>
    <row r="117" spans="1:56" ht="9.75" customHeight="1" x14ac:dyDescent="0.25">
      <c r="A117" s="252"/>
      <c r="B117" s="254"/>
      <c r="C117" s="230">
        <f>'WAP - Wo 1'!$AS$6+1</f>
        <v>46300</v>
      </c>
      <c r="D117" s="231"/>
      <c r="E117" s="231"/>
      <c r="F117" s="231"/>
      <c r="G117" s="231"/>
      <c r="H117" s="231"/>
      <c r="I117" s="232"/>
      <c r="J117" s="230">
        <f>C117+1</f>
        <v>46301</v>
      </c>
      <c r="K117" s="231"/>
      <c r="L117" s="231"/>
      <c r="M117" s="231"/>
      <c r="N117" s="231"/>
      <c r="O117" s="231"/>
      <c r="P117" s="232"/>
      <c r="Q117" s="230">
        <f>J117+1</f>
        <v>46302</v>
      </c>
      <c r="R117" s="231"/>
      <c r="S117" s="231"/>
      <c r="T117" s="231"/>
      <c r="U117" s="231"/>
      <c r="V117" s="231"/>
      <c r="W117" s="232"/>
      <c r="X117" s="230">
        <f>Q117+1</f>
        <v>46303</v>
      </c>
      <c r="Y117" s="231"/>
      <c r="Z117" s="231"/>
      <c r="AA117" s="231"/>
      <c r="AB117" s="231"/>
      <c r="AC117" s="231"/>
      <c r="AD117" s="232"/>
      <c r="AE117" s="230">
        <f>X117+1</f>
        <v>46304</v>
      </c>
      <c r="AF117" s="231"/>
      <c r="AG117" s="231"/>
      <c r="AH117" s="231"/>
      <c r="AI117" s="231"/>
      <c r="AJ117" s="231"/>
      <c r="AK117" s="232"/>
      <c r="AL117" s="230">
        <f>AE117+1</f>
        <v>46305</v>
      </c>
      <c r="AM117" s="231"/>
      <c r="AN117" s="231"/>
      <c r="AO117" s="231"/>
      <c r="AP117" s="231"/>
      <c r="AQ117" s="231"/>
      <c r="AR117" s="232"/>
      <c r="AS117" s="230">
        <f>AL117+1</f>
        <v>46306</v>
      </c>
      <c r="AT117" s="231"/>
      <c r="AU117" s="231"/>
      <c r="AV117" s="231"/>
      <c r="AW117" s="231"/>
      <c r="AX117" s="231"/>
      <c r="AY117" s="232"/>
    </row>
    <row r="118" spans="1:56" s="128" customFormat="1" ht="9.6" customHeight="1" x14ac:dyDescent="0.25">
      <c r="A118" s="130"/>
      <c r="B118" s="221" t="s">
        <v>169</v>
      </c>
      <c r="C118" s="211">
        <v>10</v>
      </c>
      <c r="D118" s="219" t="s">
        <v>197</v>
      </c>
      <c r="E118" s="219"/>
      <c r="F118" s="219"/>
      <c r="G118" s="219"/>
      <c r="H118" s="219"/>
      <c r="I118" s="219"/>
      <c r="J118" s="211"/>
      <c r="K118" s="219"/>
      <c r="L118" s="219"/>
      <c r="M118" s="219"/>
      <c r="N118" s="219"/>
      <c r="O118" s="219"/>
      <c r="P118" s="220"/>
      <c r="Q118" s="211"/>
      <c r="R118" s="219"/>
      <c r="S118" s="219"/>
      <c r="T118" s="219"/>
      <c r="U118" s="219"/>
      <c r="V118" s="219"/>
      <c r="W118" s="220"/>
      <c r="X118" s="211"/>
      <c r="Y118" s="219"/>
      <c r="Z118" s="219"/>
      <c r="AA118" s="219"/>
      <c r="AB118" s="219"/>
      <c r="AC118" s="219"/>
      <c r="AD118" s="219"/>
      <c r="AE118" s="211">
        <v>50</v>
      </c>
      <c r="AF118" s="219" t="s">
        <v>198</v>
      </c>
      <c r="AG118" s="219"/>
      <c r="AH118" s="219"/>
      <c r="AI118" s="219"/>
      <c r="AJ118" s="219"/>
      <c r="AK118" s="220"/>
      <c r="AL118" s="209"/>
      <c r="AM118" s="272"/>
      <c r="AN118" s="272"/>
      <c r="AO118" s="272"/>
      <c r="AP118" s="272"/>
      <c r="AQ118" s="272"/>
      <c r="AR118" s="273"/>
      <c r="AS118" s="206"/>
      <c r="AT118" s="270"/>
      <c r="AU118" s="270"/>
      <c r="AV118" s="270"/>
      <c r="AW118" s="270"/>
      <c r="AX118" s="270"/>
      <c r="AY118" s="271"/>
      <c r="BA118" s="129"/>
    </row>
    <row r="119" spans="1:56" s="128" customFormat="1" ht="9.6" customHeight="1" x14ac:dyDescent="0.25">
      <c r="A119" s="130"/>
      <c r="B119" s="222"/>
      <c r="C119" s="212"/>
      <c r="D119" s="215"/>
      <c r="E119" s="215"/>
      <c r="F119" s="215"/>
      <c r="G119" s="215"/>
      <c r="H119" s="215"/>
      <c r="I119" s="215"/>
      <c r="J119" s="212"/>
      <c r="K119" s="215"/>
      <c r="L119" s="215"/>
      <c r="M119" s="215"/>
      <c r="N119" s="215"/>
      <c r="O119" s="215"/>
      <c r="P119" s="216"/>
      <c r="Q119" s="212"/>
      <c r="R119" s="215"/>
      <c r="S119" s="215"/>
      <c r="T119" s="215"/>
      <c r="U119" s="215"/>
      <c r="V119" s="215"/>
      <c r="W119" s="216"/>
      <c r="X119" s="212"/>
      <c r="Y119" s="215"/>
      <c r="Z119" s="215"/>
      <c r="AA119" s="215"/>
      <c r="AB119" s="215"/>
      <c r="AC119" s="215"/>
      <c r="AD119" s="215"/>
      <c r="AE119" s="212"/>
      <c r="AF119" s="215"/>
      <c r="AG119" s="215"/>
      <c r="AH119" s="215"/>
      <c r="AI119" s="215"/>
      <c r="AJ119" s="215"/>
      <c r="AK119" s="216"/>
      <c r="AL119" s="205"/>
      <c r="AM119" s="268"/>
      <c r="AN119" s="268"/>
      <c r="AO119" s="268"/>
      <c r="AP119" s="268"/>
      <c r="AQ119" s="268"/>
      <c r="AR119" s="269"/>
      <c r="AS119" s="207"/>
      <c r="AT119" s="268"/>
      <c r="AU119" s="268"/>
      <c r="AV119" s="268"/>
      <c r="AW119" s="268"/>
      <c r="AX119" s="268"/>
      <c r="AY119" s="269"/>
      <c r="BA119" s="129"/>
    </row>
    <row r="120" spans="1:56" s="128" customFormat="1" ht="9.6" customHeight="1" x14ac:dyDescent="0.25">
      <c r="A120" s="130"/>
      <c r="B120" s="222"/>
      <c r="C120" s="212"/>
      <c r="D120" s="215"/>
      <c r="E120" s="215"/>
      <c r="F120" s="215"/>
      <c r="G120" s="215"/>
      <c r="H120" s="215"/>
      <c r="I120" s="215"/>
      <c r="J120" s="212"/>
      <c r="K120" s="215"/>
      <c r="L120" s="215"/>
      <c r="M120" s="215"/>
      <c r="N120" s="215"/>
      <c r="O120" s="215"/>
      <c r="P120" s="216"/>
      <c r="Q120" s="212"/>
      <c r="R120" s="215"/>
      <c r="S120" s="215"/>
      <c r="T120" s="215"/>
      <c r="U120" s="215"/>
      <c r="V120" s="215"/>
      <c r="W120" s="216"/>
      <c r="X120" s="212"/>
      <c r="Y120" s="215"/>
      <c r="Z120" s="215"/>
      <c r="AA120" s="215"/>
      <c r="AB120" s="215"/>
      <c r="AC120" s="215"/>
      <c r="AD120" s="215"/>
      <c r="AE120" s="212"/>
      <c r="AF120" s="215"/>
      <c r="AG120" s="215"/>
      <c r="AH120" s="215"/>
      <c r="AI120" s="215"/>
      <c r="AJ120" s="215"/>
      <c r="AK120" s="216"/>
      <c r="AL120" s="205"/>
      <c r="AM120" s="268"/>
      <c r="AN120" s="268"/>
      <c r="AO120" s="268"/>
      <c r="AP120" s="268"/>
      <c r="AQ120" s="268"/>
      <c r="AR120" s="269"/>
      <c r="AS120" s="207"/>
      <c r="AT120" s="268"/>
      <c r="AU120" s="268"/>
      <c r="AV120" s="268"/>
      <c r="AW120" s="268"/>
      <c r="AX120" s="268"/>
      <c r="AY120" s="269"/>
      <c r="BA120" s="129"/>
    </row>
    <row r="121" spans="1:56" s="128" customFormat="1" ht="9.6" customHeight="1" x14ac:dyDescent="0.25">
      <c r="A121" s="130"/>
      <c r="B121" s="222"/>
      <c r="C121" s="212"/>
      <c r="D121" s="215"/>
      <c r="E121" s="215"/>
      <c r="F121" s="215"/>
      <c r="G121" s="215"/>
      <c r="H121" s="215"/>
      <c r="I121" s="215"/>
      <c r="J121" s="212"/>
      <c r="K121" s="215"/>
      <c r="L121" s="215"/>
      <c r="M121" s="215"/>
      <c r="N121" s="215"/>
      <c r="O121" s="215"/>
      <c r="P121" s="216"/>
      <c r="Q121" s="212"/>
      <c r="R121" s="215"/>
      <c r="S121" s="215"/>
      <c r="T121" s="215"/>
      <c r="U121" s="215"/>
      <c r="V121" s="215"/>
      <c r="W121" s="216"/>
      <c r="X121" s="212"/>
      <c r="Y121" s="215"/>
      <c r="Z121" s="215"/>
      <c r="AA121" s="215"/>
      <c r="AB121" s="215"/>
      <c r="AC121" s="215"/>
      <c r="AD121" s="215"/>
      <c r="AE121" s="212"/>
      <c r="AF121" s="215"/>
      <c r="AG121" s="215"/>
      <c r="AH121" s="215"/>
      <c r="AI121" s="215"/>
      <c r="AJ121" s="215"/>
      <c r="AK121" s="216"/>
      <c r="AL121" s="205"/>
      <c r="AM121" s="268"/>
      <c r="AN121" s="268"/>
      <c r="AO121" s="268"/>
      <c r="AP121" s="268"/>
      <c r="AQ121" s="268"/>
      <c r="AR121" s="269"/>
      <c r="AS121" s="207"/>
      <c r="AT121" s="268"/>
      <c r="AU121" s="268"/>
      <c r="AV121" s="268"/>
      <c r="AW121" s="268"/>
      <c r="AX121" s="268"/>
      <c r="AY121" s="269"/>
      <c r="BA121" s="129"/>
    </row>
    <row r="122" spans="1:56" s="128" customFormat="1" ht="9.6" customHeight="1" x14ac:dyDescent="0.25">
      <c r="A122" s="130"/>
      <c r="B122" s="222"/>
      <c r="C122" s="212"/>
      <c r="D122" s="215"/>
      <c r="E122" s="215"/>
      <c r="F122" s="215"/>
      <c r="G122" s="215"/>
      <c r="H122" s="215"/>
      <c r="I122" s="215"/>
      <c r="J122" s="212"/>
      <c r="K122" s="215"/>
      <c r="L122" s="215"/>
      <c r="M122" s="215"/>
      <c r="N122" s="215"/>
      <c r="O122" s="215"/>
      <c r="P122" s="216"/>
      <c r="Q122" s="212"/>
      <c r="R122" s="215"/>
      <c r="S122" s="215"/>
      <c r="T122" s="215"/>
      <c r="U122" s="215"/>
      <c r="V122" s="215"/>
      <c r="W122" s="216"/>
      <c r="X122" s="212"/>
      <c r="Y122" s="215"/>
      <c r="Z122" s="215"/>
      <c r="AA122" s="215"/>
      <c r="AB122" s="215"/>
      <c r="AC122" s="215"/>
      <c r="AD122" s="215"/>
      <c r="AE122" s="212"/>
      <c r="AF122" s="215"/>
      <c r="AG122" s="215"/>
      <c r="AH122" s="215"/>
      <c r="AI122" s="215"/>
      <c r="AJ122" s="215"/>
      <c r="AK122" s="216"/>
      <c r="AL122" s="205"/>
      <c r="AM122" s="268"/>
      <c r="AN122" s="268"/>
      <c r="AO122" s="268"/>
      <c r="AP122" s="268"/>
      <c r="AQ122" s="268"/>
      <c r="AR122" s="269"/>
      <c r="AS122" s="207"/>
      <c r="AT122" s="268"/>
      <c r="AU122" s="268"/>
      <c r="AV122" s="268"/>
      <c r="AW122" s="268"/>
      <c r="AX122" s="268"/>
      <c r="AY122" s="269"/>
      <c r="BA122" s="129"/>
    </row>
    <row r="123" spans="1:56" s="128" customFormat="1" ht="9.6" customHeight="1" x14ac:dyDescent="0.25">
      <c r="A123" s="130"/>
      <c r="B123" s="222"/>
      <c r="C123" s="212"/>
      <c r="D123" s="215"/>
      <c r="E123" s="215"/>
      <c r="F123" s="215"/>
      <c r="G123" s="215"/>
      <c r="H123" s="215"/>
      <c r="I123" s="215"/>
      <c r="J123" s="212"/>
      <c r="K123" s="215"/>
      <c r="L123" s="215"/>
      <c r="M123" s="215"/>
      <c r="N123" s="215"/>
      <c r="O123" s="215"/>
      <c r="P123" s="216"/>
      <c r="Q123" s="212"/>
      <c r="R123" s="215"/>
      <c r="S123" s="215"/>
      <c r="T123" s="215"/>
      <c r="U123" s="215"/>
      <c r="V123" s="215"/>
      <c r="W123" s="216"/>
      <c r="X123" s="212"/>
      <c r="Y123" s="215"/>
      <c r="Z123" s="215"/>
      <c r="AA123" s="215"/>
      <c r="AB123" s="215"/>
      <c r="AC123" s="215"/>
      <c r="AD123" s="215"/>
      <c r="AE123" s="212"/>
      <c r="AF123" s="215"/>
      <c r="AG123" s="215"/>
      <c r="AH123" s="215"/>
      <c r="AI123" s="215"/>
      <c r="AJ123" s="215"/>
      <c r="AK123" s="216"/>
      <c r="AL123" s="205"/>
      <c r="AM123" s="268"/>
      <c r="AN123" s="268"/>
      <c r="AO123" s="268"/>
      <c r="AP123" s="268"/>
      <c r="AQ123" s="268"/>
      <c r="AR123" s="269"/>
      <c r="AS123" s="207"/>
      <c r="AT123" s="268"/>
      <c r="AU123" s="268"/>
      <c r="AV123" s="268"/>
      <c r="AW123" s="268"/>
      <c r="AX123" s="268"/>
      <c r="AY123" s="269"/>
      <c r="BA123" s="129"/>
    </row>
    <row r="124" spans="1:56" s="128" customFormat="1" ht="9.6" customHeight="1" x14ac:dyDescent="0.25">
      <c r="A124" s="130"/>
      <c r="B124" s="222"/>
      <c r="C124" s="212"/>
      <c r="D124" s="215"/>
      <c r="E124" s="215"/>
      <c r="F124" s="215"/>
      <c r="G124" s="215"/>
      <c r="H124" s="215"/>
      <c r="I124" s="215"/>
      <c r="J124" s="212"/>
      <c r="K124" s="215"/>
      <c r="L124" s="215"/>
      <c r="M124" s="215"/>
      <c r="N124" s="215"/>
      <c r="O124" s="215"/>
      <c r="P124" s="216"/>
      <c r="Q124" s="212"/>
      <c r="R124" s="215"/>
      <c r="S124" s="215"/>
      <c r="T124" s="215"/>
      <c r="U124" s="215"/>
      <c r="V124" s="215"/>
      <c r="W124" s="216"/>
      <c r="X124" s="212"/>
      <c r="Y124" s="215"/>
      <c r="Z124" s="215"/>
      <c r="AA124" s="215"/>
      <c r="AB124" s="215"/>
      <c r="AC124" s="215"/>
      <c r="AD124" s="215"/>
      <c r="AE124" s="212"/>
      <c r="AF124" s="215"/>
      <c r="AG124" s="215"/>
      <c r="AH124" s="215"/>
      <c r="AI124" s="215"/>
      <c r="AJ124" s="215"/>
      <c r="AK124" s="216"/>
      <c r="AL124" s="205"/>
      <c r="AM124" s="268"/>
      <c r="AN124" s="268"/>
      <c r="AO124" s="268"/>
      <c r="AP124" s="268"/>
      <c r="AQ124" s="268"/>
      <c r="AR124" s="269"/>
      <c r="AS124" s="207"/>
      <c r="AT124" s="268"/>
      <c r="AU124" s="268"/>
      <c r="AV124" s="268"/>
      <c r="AW124" s="268"/>
      <c r="AX124" s="268"/>
      <c r="AY124" s="269"/>
      <c r="BA124" s="129"/>
    </row>
    <row r="125" spans="1:56" s="128" customFormat="1" ht="9.6" customHeight="1" x14ac:dyDescent="0.25">
      <c r="A125" s="130"/>
      <c r="B125" s="223"/>
      <c r="C125" s="213"/>
      <c r="D125" s="217"/>
      <c r="E125" s="217"/>
      <c r="F125" s="217"/>
      <c r="G125" s="217"/>
      <c r="H125" s="217"/>
      <c r="I125" s="217"/>
      <c r="J125" s="213"/>
      <c r="K125" s="217"/>
      <c r="L125" s="217"/>
      <c r="M125" s="217"/>
      <c r="N125" s="217"/>
      <c r="O125" s="217"/>
      <c r="P125" s="218"/>
      <c r="Q125" s="213"/>
      <c r="R125" s="217"/>
      <c r="S125" s="217"/>
      <c r="T125" s="217"/>
      <c r="U125" s="217"/>
      <c r="V125" s="217"/>
      <c r="W125" s="218"/>
      <c r="X125" s="213"/>
      <c r="Y125" s="217"/>
      <c r="Z125" s="217"/>
      <c r="AA125" s="217"/>
      <c r="AB125" s="217"/>
      <c r="AC125" s="217"/>
      <c r="AD125" s="217"/>
      <c r="AE125" s="213"/>
      <c r="AF125" s="217"/>
      <c r="AG125" s="217"/>
      <c r="AH125" s="217"/>
      <c r="AI125" s="217"/>
      <c r="AJ125" s="217"/>
      <c r="AK125" s="218"/>
      <c r="AL125" s="210"/>
      <c r="AM125" s="268"/>
      <c r="AN125" s="268"/>
      <c r="AO125" s="268"/>
      <c r="AP125" s="268"/>
      <c r="AQ125" s="268"/>
      <c r="AR125" s="269"/>
      <c r="AS125" s="208"/>
      <c r="AT125" s="268"/>
      <c r="AU125" s="268"/>
      <c r="AV125" s="268"/>
      <c r="AW125" s="268"/>
      <c r="AX125" s="268"/>
      <c r="AY125" s="269"/>
      <c r="BA125" s="129"/>
    </row>
    <row r="126" spans="1:56" x14ac:dyDescent="0.25">
      <c r="B126" s="127" t="s">
        <v>37</v>
      </c>
      <c r="C126" s="265" t="str">
        <f>VLOOKUP(C117,Einstellungen!$G$34:$H$60,2,FALSE)</f>
        <v>Oblt Sieber</v>
      </c>
      <c r="D126" s="265"/>
      <c r="E126" s="265"/>
      <c r="F126" s="265"/>
      <c r="G126" s="265"/>
      <c r="H126" s="265"/>
      <c r="I126" s="265"/>
      <c r="J126" s="265" t="str">
        <f>VLOOKUP(J117,Einstellungen!$G$34:$H$60,2,FALSE)</f>
        <v>Lt Gemeinder</v>
      </c>
      <c r="K126" s="265"/>
      <c r="L126" s="265"/>
      <c r="M126" s="265"/>
      <c r="N126" s="265"/>
      <c r="O126" s="265"/>
      <c r="P126" s="265"/>
      <c r="Q126" s="265" t="str">
        <f>VLOOKUP(Q117,Einstellungen!$G$34:$H$60,2,FALSE)</f>
        <v>Lt Köchli</v>
      </c>
      <c r="R126" s="265"/>
      <c r="S126" s="265"/>
      <c r="T126" s="265"/>
      <c r="U126" s="265"/>
      <c r="V126" s="265"/>
      <c r="W126" s="265"/>
      <c r="X126" s="265" t="str">
        <f>VLOOKUP(X117,Einstellungen!$G$34:$H$60,2,FALSE)</f>
        <v>Lt Lehner</v>
      </c>
      <c r="Y126" s="265"/>
      <c r="Z126" s="265"/>
      <c r="AA126" s="265"/>
      <c r="AB126" s="265"/>
      <c r="AC126" s="265"/>
      <c r="AD126" s="265"/>
      <c r="AE126" s="265" t="str">
        <f>VLOOKUP(AE117,Einstellungen!$G$34:$H$60,2,FALSE)</f>
        <v>Lt Christophe Lopez-Polo</v>
      </c>
      <c r="AF126" s="265"/>
      <c r="AG126" s="265"/>
      <c r="AH126" s="265"/>
      <c r="AI126" s="265"/>
      <c r="AJ126" s="265"/>
      <c r="AK126" s="265"/>
      <c r="AL126" s="265" t="str">
        <f>VLOOKUP(AL117,Einstellungen!$G$34:$H$60,2,FALSE)</f>
        <v>Lt Lehner</v>
      </c>
      <c r="AM126" s="265"/>
      <c r="AN126" s="265"/>
      <c r="AO126" s="265"/>
      <c r="AP126" s="265"/>
      <c r="AQ126" s="265"/>
      <c r="AR126" s="265"/>
      <c r="AS126" s="265" t="str">
        <f>VLOOKUP(AS117,Einstellungen!$G$34:$H$60,2,FALSE)</f>
        <v>Lt Lehner</v>
      </c>
      <c r="AT126" s="265"/>
      <c r="AU126" s="265"/>
      <c r="AV126" s="265"/>
      <c r="AW126" s="265"/>
      <c r="AX126" s="265"/>
      <c r="AY126" s="265"/>
    </row>
  </sheetData>
  <mergeCells count="177">
    <mergeCell ref="C126:I126"/>
    <mergeCell ref="J126:P126"/>
    <mergeCell ref="Q126:W126"/>
    <mergeCell ref="X126:AD126"/>
    <mergeCell ref="AE126:AK126"/>
    <mergeCell ref="AL126:AR126"/>
    <mergeCell ref="AS126:AY126"/>
    <mergeCell ref="AZ65:AZ66"/>
    <mergeCell ref="BB80:BC82"/>
    <mergeCell ref="D122:I122"/>
    <mergeCell ref="AT120:AY120"/>
    <mergeCell ref="AT121:AY121"/>
    <mergeCell ref="AF118:AK118"/>
    <mergeCell ref="AM118:AR118"/>
    <mergeCell ref="AT118:AY118"/>
    <mergeCell ref="K119:P119"/>
    <mergeCell ref="R119:W119"/>
    <mergeCell ref="Y119:AD119"/>
    <mergeCell ref="AF119:AK119"/>
    <mergeCell ref="AM119:AR119"/>
    <mergeCell ref="AT119:AY119"/>
    <mergeCell ref="K120:P120"/>
    <mergeCell ref="R120:W120"/>
    <mergeCell ref="Y120:AD120"/>
    <mergeCell ref="B79:B80"/>
    <mergeCell ref="AZ79:AZ80"/>
    <mergeCell ref="AL116:AR116"/>
    <mergeCell ref="AS116:AY116"/>
    <mergeCell ref="C117:I117"/>
    <mergeCell ref="J117:P117"/>
    <mergeCell ref="Q117:W117"/>
    <mergeCell ref="X117:AD117"/>
    <mergeCell ref="AE117:AK117"/>
    <mergeCell ref="AL117:AR117"/>
    <mergeCell ref="AS117:AY117"/>
    <mergeCell ref="B81:B82"/>
    <mergeCell ref="AZ81:AZ82"/>
    <mergeCell ref="C112:AK114"/>
    <mergeCell ref="A116:B117"/>
    <mergeCell ref="C116:I116"/>
    <mergeCell ref="J116:P116"/>
    <mergeCell ref="Q116:W116"/>
    <mergeCell ref="X116:AD116"/>
    <mergeCell ref="AE116:AK116"/>
    <mergeCell ref="AZ41:AZ42"/>
    <mergeCell ref="B43:B44"/>
    <mergeCell ref="AZ43:AZ44"/>
    <mergeCell ref="B45:B46"/>
    <mergeCell ref="AZ45:AZ46"/>
    <mergeCell ref="B39:B40"/>
    <mergeCell ref="BB70:BC71"/>
    <mergeCell ref="B71:B72"/>
    <mergeCell ref="AZ71:AZ72"/>
    <mergeCell ref="B61:B62"/>
    <mergeCell ref="AZ61:AZ62"/>
    <mergeCell ref="B63:B64"/>
    <mergeCell ref="AZ63:AZ64"/>
    <mergeCell ref="BB72:BC79"/>
    <mergeCell ref="B73:B74"/>
    <mergeCell ref="AZ73:AZ74"/>
    <mergeCell ref="B75:B76"/>
    <mergeCell ref="AZ75:AZ76"/>
    <mergeCell ref="B77:B78"/>
    <mergeCell ref="AZ77:AZ78"/>
    <mergeCell ref="B67:B68"/>
    <mergeCell ref="AZ67:AZ68"/>
    <mergeCell ref="B69:B70"/>
    <mergeCell ref="AZ69:AZ70"/>
    <mergeCell ref="AZ31:AZ32"/>
    <mergeCell ref="B33:B34"/>
    <mergeCell ref="AZ33:AZ34"/>
    <mergeCell ref="B35:B36"/>
    <mergeCell ref="AZ35:AZ36"/>
    <mergeCell ref="B37:B38"/>
    <mergeCell ref="AZ37:AZ38"/>
    <mergeCell ref="BG49:BJ66"/>
    <mergeCell ref="BE50:BE51"/>
    <mergeCell ref="B51:B52"/>
    <mergeCell ref="AZ51:AZ52"/>
    <mergeCell ref="B53:B54"/>
    <mergeCell ref="AZ53:AZ54"/>
    <mergeCell ref="B55:B56"/>
    <mergeCell ref="AZ55:AZ56"/>
    <mergeCell ref="B57:B58"/>
    <mergeCell ref="AZ57:AZ58"/>
    <mergeCell ref="B59:B60"/>
    <mergeCell ref="AZ59:AZ60"/>
    <mergeCell ref="B47:B48"/>
    <mergeCell ref="AZ47:AZ48"/>
    <mergeCell ref="B49:B50"/>
    <mergeCell ref="AZ49:AZ50"/>
    <mergeCell ref="B41:B42"/>
    <mergeCell ref="AS7:AW7"/>
    <mergeCell ref="B9:B10"/>
    <mergeCell ref="AZ9:AZ10"/>
    <mergeCell ref="B11:B12"/>
    <mergeCell ref="AZ11:AZ12"/>
    <mergeCell ref="B13:B14"/>
    <mergeCell ref="AZ13:AZ14"/>
    <mergeCell ref="B15:B16"/>
    <mergeCell ref="AZ39:AZ40"/>
    <mergeCell ref="AZ15:AZ16"/>
    <mergeCell ref="B17:B18"/>
    <mergeCell ref="AZ17:AZ18"/>
    <mergeCell ref="B19:B20"/>
    <mergeCell ref="AZ19:AZ20"/>
    <mergeCell ref="B21:B22"/>
    <mergeCell ref="AZ21:AZ22"/>
    <mergeCell ref="B23:B24"/>
    <mergeCell ref="AZ23:AZ24"/>
    <mergeCell ref="B25:B26"/>
    <mergeCell ref="AZ25:AZ26"/>
    <mergeCell ref="B27:B28"/>
    <mergeCell ref="AZ27:AZ28"/>
    <mergeCell ref="B29:B30"/>
    <mergeCell ref="AZ29:AZ30"/>
    <mergeCell ref="AS5:AY5"/>
    <mergeCell ref="BA5:BD6"/>
    <mergeCell ref="C6:I6"/>
    <mergeCell ref="J6:P6"/>
    <mergeCell ref="Q6:W6"/>
    <mergeCell ref="X6:AD6"/>
    <mergeCell ref="AE6:AK6"/>
    <mergeCell ref="AL6:AR6"/>
    <mergeCell ref="AS6:AY6"/>
    <mergeCell ref="B118:B125"/>
    <mergeCell ref="B1:J1"/>
    <mergeCell ref="C5:I5"/>
    <mergeCell ref="J5:P5"/>
    <mergeCell ref="Q5:W5"/>
    <mergeCell ref="X5:AD5"/>
    <mergeCell ref="AE5:AK5"/>
    <mergeCell ref="AL5:AR5"/>
    <mergeCell ref="AL7:AP7"/>
    <mergeCell ref="B31:B32"/>
    <mergeCell ref="B65:B66"/>
    <mergeCell ref="D121:I121"/>
    <mergeCell ref="K121:P121"/>
    <mergeCell ref="R121:W121"/>
    <mergeCell ref="Y121:AD121"/>
    <mergeCell ref="AF121:AK121"/>
    <mergeCell ref="AM121:AR121"/>
    <mergeCell ref="D118:I118"/>
    <mergeCell ref="D119:I119"/>
    <mergeCell ref="D120:I120"/>
    <mergeCell ref="D125:I125"/>
    <mergeCell ref="K118:P118"/>
    <mergeCell ref="R118:W118"/>
    <mergeCell ref="Y118:AD118"/>
    <mergeCell ref="D123:I123"/>
    <mergeCell ref="D124:I124"/>
    <mergeCell ref="K124:P124"/>
    <mergeCell ref="R124:W124"/>
    <mergeCell ref="Y124:AD124"/>
    <mergeCell ref="AF124:AK124"/>
    <mergeCell ref="K125:P125"/>
    <mergeCell ref="R125:W125"/>
    <mergeCell ref="Y125:AD125"/>
    <mergeCell ref="AF125:AK125"/>
    <mergeCell ref="AF120:AK120"/>
    <mergeCell ref="AM120:AR120"/>
    <mergeCell ref="AM125:AR125"/>
    <mergeCell ref="AT125:AY125"/>
    <mergeCell ref="K122:P122"/>
    <mergeCell ref="R122:W122"/>
    <mergeCell ref="Y122:AD122"/>
    <mergeCell ref="AF122:AK122"/>
    <mergeCell ref="AM122:AR122"/>
    <mergeCell ref="AT122:AY122"/>
    <mergeCell ref="K123:P123"/>
    <mergeCell ref="R123:W123"/>
    <mergeCell ref="Y123:AD123"/>
    <mergeCell ref="AF123:AK123"/>
    <mergeCell ref="AM123:AR123"/>
    <mergeCell ref="AT123:AY123"/>
    <mergeCell ref="AM124:AR124"/>
    <mergeCell ref="AT124:AY124"/>
  </mergeCells>
  <printOptions horizontalCentered="1" verticalCentered="1"/>
  <pageMargins left="0.25" right="0.25" top="0.75" bottom="0.75" header="0.3" footer="0.3"/>
  <pageSetup paperSize="9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1254-34B9-4EBC-9131-AD0B853FD14F}">
  <sheetPr>
    <tabColor rgb="FFFFFF00"/>
    <pageSetUpPr fitToPage="1"/>
  </sheetPr>
  <dimension ref="A1:BJ126"/>
  <sheetViews>
    <sheetView view="pageBreakPreview" topLeftCell="W1" zoomScale="115" zoomScaleNormal="55" zoomScaleSheetLayoutView="115" zoomScalePageLayoutView="70" workbookViewId="0">
      <pane ySplit="7" topLeftCell="A8" activePane="bottomLeft" state="frozen"/>
      <selection activeCell="C119" sqref="C119:I119"/>
      <selection pane="bottomLeft" activeCell="O27" sqref="O27"/>
    </sheetView>
  </sheetViews>
  <sheetFormatPr defaultColWidth="14.88671875" defaultRowHeight="13.8" x14ac:dyDescent="0.25"/>
  <cols>
    <col min="1" max="1" width="2.5546875" style="125" customWidth="1"/>
    <col min="2" max="2" width="7.109375" style="126" customWidth="1"/>
    <col min="3" max="7" width="5" style="125" customWidth="1"/>
    <col min="8" max="9" width="4.109375" style="125" customWidth="1"/>
    <col min="10" max="14" width="5" style="125" customWidth="1"/>
    <col min="15" max="16" width="4.109375" style="125" customWidth="1"/>
    <col min="17" max="21" width="5" style="125" customWidth="1"/>
    <col min="22" max="23" width="4.109375" style="125" customWidth="1"/>
    <col min="24" max="28" width="5" style="125" customWidth="1"/>
    <col min="29" max="30" width="4.109375" style="125" customWidth="1"/>
    <col min="31" max="35" width="5" style="125" customWidth="1"/>
    <col min="36" max="51" width="2.88671875" style="125" customWidth="1"/>
    <col min="52" max="52" width="6.6640625" style="126" customWidth="1"/>
    <col min="53" max="53" width="0.88671875" style="125" customWidth="1"/>
    <col min="54" max="55" width="11.109375" style="125" customWidth="1"/>
    <col min="56" max="56" width="0.88671875" style="125" customWidth="1"/>
    <col min="57" max="16384" width="14.88671875" style="125"/>
  </cols>
  <sheetData>
    <row r="1" spans="2:61" s="185" customFormat="1" ht="23.25" customHeight="1" x14ac:dyDescent="0.4">
      <c r="B1" s="238" t="s">
        <v>199</v>
      </c>
      <c r="C1" s="238"/>
      <c r="D1" s="238"/>
      <c r="E1" s="238"/>
      <c r="F1" s="238"/>
      <c r="G1" s="238"/>
      <c r="H1" s="238"/>
      <c r="I1" s="238"/>
      <c r="J1" s="238"/>
      <c r="K1" s="238"/>
      <c r="L1" s="197"/>
      <c r="M1" s="197" t="str">
        <f>_xlfn.CONCAT(TEXT(Einstellungen!$C$6+21,"DD.MM.YYYY")," bis ",TEXT(Einstellungen!$C$6+27,"DD.MM.YYYY"))</f>
        <v>12.10.2026 bis 18.10.2026</v>
      </c>
      <c r="N1" s="197"/>
      <c r="O1" s="192"/>
      <c r="P1" s="192"/>
      <c r="Q1" s="192"/>
      <c r="R1" s="192"/>
      <c r="S1" s="192"/>
      <c r="AJ1" s="190"/>
      <c r="AK1" s="190"/>
      <c r="AQ1" s="190"/>
      <c r="AR1" s="190"/>
      <c r="AX1" s="190"/>
      <c r="AY1" s="190"/>
      <c r="AZ1" s="189"/>
      <c r="BD1" s="188"/>
    </row>
    <row r="2" spans="2:61" s="185" customFormat="1" ht="12" customHeight="1" x14ac:dyDescent="0.25">
      <c r="B2" s="186"/>
      <c r="AC2" s="187"/>
      <c r="AZ2" s="126"/>
    </row>
    <row r="3" spans="2:61" s="185" customFormat="1" ht="6.75" customHeight="1" x14ac:dyDescent="0.25">
      <c r="B3" s="186"/>
      <c r="AZ3" s="126"/>
    </row>
    <row r="4" spans="2:61" s="175" customFormat="1" ht="23.25" customHeight="1" x14ac:dyDescent="0.4">
      <c r="J4" s="184"/>
      <c r="S4" s="183"/>
      <c r="T4" s="183"/>
      <c r="U4" s="182"/>
      <c r="AJ4" s="179"/>
      <c r="AK4" s="179"/>
      <c r="AQ4" s="179"/>
      <c r="AR4" s="179"/>
      <c r="AX4" s="179"/>
      <c r="AY4" s="179"/>
      <c r="AZ4" s="180"/>
      <c r="BA4" s="179"/>
      <c r="BB4" s="178"/>
      <c r="BC4" s="178" t="s">
        <v>118</v>
      </c>
      <c r="BD4" s="177"/>
      <c r="BE4" s="176"/>
    </row>
    <row r="5" spans="2:61" s="126" customFormat="1" ht="13.5" customHeight="1" x14ac:dyDescent="0.25">
      <c r="B5" s="174" t="s">
        <v>119</v>
      </c>
      <c r="C5" s="239" t="s">
        <v>120</v>
      </c>
      <c r="D5" s="240"/>
      <c r="E5" s="240"/>
      <c r="F5" s="240"/>
      <c r="G5" s="240"/>
      <c r="H5" s="240"/>
      <c r="I5" s="241"/>
      <c r="J5" s="239" t="s">
        <v>121</v>
      </c>
      <c r="K5" s="240"/>
      <c r="L5" s="240"/>
      <c r="M5" s="240"/>
      <c r="N5" s="240"/>
      <c r="O5" s="240"/>
      <c r="P5" s="241"/>
      <c r="Q5" s="239" t="s">
        <v>122</v>
      </c>
      <c r="R5" s="240"/>
      <c r="S5" s="240"/>
      <c r="T5" s="240"/>
      <c r="U5" s="240"/>
      <c r="V5" s="240"/>
      <c r="W5" s="241"/>
      <c r="X5" s="239" t="s">
        <v>123</v>
      </c>
      <c r="Y5" s="240"/>
      <c r="Z5" s="240"/>
      <c r="AA5" s="240"/>
      <c r="AB5" s="240"/>
      <c r="AC5" s="240"/>
      <c r="AD5" s="241"/>
      <c r="AE5" s="239" t="s">
        <v>124</v>
      </c>
      <c r="AF5" s="240"/>
      <c r="AG5" s="240"/>
      <c r="AH5" s="240"/>
      <c r="AI5" s="240"/>
      <c r="AJ5" s="240"/>
      <c r="AK5" s="241"/>
      <c r="AL5" s="239" t="s">
        <v>125</v>
      </c>
      <c r="AM5" s="240"/>
      <c r="AN5" s="240"/>
      <c r="AO5" s="240"/>
      <c r="AP5" s="240"/>
      <c r="AQ5" s="240"/>
      <c r="AR5" s="241"/>
      <c r="AS5" s="239" t="s">
        <v>126</v>
      </c>
      <c r="AT5" s="240"/>
      <c r="AU5" s="240"/>
      <c r="AV5" s="240"/>
      <c r="AW5" s="240"/>
      <c r="AX5" s="240"/>
      <c r="AY5" s="241"/>
      <c r="AZ5" s="174" t="s">
        <v>119</v>
      </c>
      <c r="BA5" s="224" t="s">
        <v>127</v>
      </c>
      <c r="BB5" s="225"/>
      <c r="BC5" s="225"/>
      <c r="BD5" s="226"/>
    </row>
    <row r="6" spans="2:61" ht="13.5" customHeight="1" x14ac:dyDescent="0.25">
      <c r="B6" s="173" t="s">
        <v>128</v>
      </c>
      <c r="C6" s="230">
        <f>'WAP - Wo 2'!$AS$6+1</f>
        <v>46307</v>
      </c>
      <c r="D6" s="231"/>
      <c r="E6" s="231"/>
      <c r="F6" s="231"/>
      <c r="G6" s="231"/>
      <c r="H6" s="231"/>
      <c r="I6" s="232"/>
      <c r="J6" s="230">
        <f>C6+1</f>
        <v>46308</v>
      </c>
      <c r="K6" s="231"/>
      <c r="L6" s="231"/>
      <c r="M6" s="231"/>
      <c r="N6" s="231"/>
      <c r="O6" s="231"/>
      <c r="P6" s="232"/>
      <c r="Q6" s="230">
        <f>J6+1</f>
        <v>46309</v>
      </c>
      <c r="R6" s="231"/>
      <c r="S6" s="231"/>
      <c r="T6" s="231"/>
      <c r="U6" s="231"/>
      <c r="V6" s="231"/>
      <c r="W6" s="232"/>
      <c r="X6" s="230">
        <f>Q6+1</f>
        <v>46310</v>
      </c>
      <c r="Y6" s="231"/>
      <c r="Z6" s="231"/>
      <c r="AA6" s="231"/>
      <c r="AB6" s="231"/>
      <c r="AC6" s="231"/>
      <c r="AD6" s="232"/>
      <c r="AE6" s="230">
        <f>X6+1</f>
        <v>46311</v>
      </c>
      <c r="AF6" s="231"/>
      <c r="AG6" s="231"/>
      <c r="AH6" s="231"/>
      <c r="AI6" s="231"/>
      <c r="AJ6" s="231"/>
      <c r="AK6" s="232"/>
      <c r="AL6" s="230">
        <f>AE6+1</f>
        <v>46312</v>
      </c>
      <c r="AM6" s="231"/>
      <c r="AN6" s="231"/>
      <c r="AO6" s="231"/>
      <c r="AP6" s="231"/>
      <c r="AQ6" s="231"/>
      <c r="AR6" s="232"/>
      <c r="AS6" s="230">
        <f>AL6+1</f>
        <v>46313</v>
      </c>
      <c r="AT6" s="231"/>
      <c r="AU6" s="231"/>
      <c r="AV6" s="231"/>
      <c r="AW6" s="231"/>
      <c r="AX6" s="231"/>
      <c r="AY6" s="232"/>
      <c r="AZ6" s="172" t="s">
        <v>128</v>
      </c>
      <c r="BA6" s="227"/>
      <c r="BB6" s="228"/>
      <c r="BC6" s="228"/>
      <c r="BD6" s="229"/>
    </row>
    <row r="7" spans="2:61" s="162" customFormat="1" ht="67.5" customHeight="1" x14ac:dyDescent="0.25">
      <c r="B7" s="171"/>
      <c r="C7" s="169" t="s">
        <v>191</v>
      </c>
      <c r="D7" s="169" t="s">
        <v>192</v>
      </c>
      <c r="E7" s="169" t="s">
        <v>63</v>
      </c>
      <c r="F7" s="169" t="s">
        <v>64</v>
      </c>
      <c r="G7" s="169" t="s">
        <v>66</v>
      </c>
      <c r="H7" s="168" t="s">
        <v>134</v>
      </c>
      <c r="I7" s="170" t="s">
        <v>135</v>
      </c>
      <c r="J7" s="169" t="s">
        <v>191</v>
      </c>
      <c r="K7" s="169" t="s">
        <v>192</v>
      </c>
      <c r="L7" s="169" t="s">
        <v>63</v>
      </c>
      <c r="M7" s="169" t="s">
        <v>64</v>
      </c>
      <c r="N7" s="169" t="s">
        <v>66</v>
      </c>
      <c r="O7" s="168" t="s">
        <v>134</v>
      </c>
      <c r="P7" s="170" t="s">
        <v>135</v>
      </c>
      <c r="Q7" s="169" t="s">
        <v>191</v>
      </c>
      <c r="R7" s="169" t="s">
        <v>192</v>
      </c>
      <c r="S7" s="169" t="s">
        <v>63</v>
      </c>
      <c r="T7" s="169" t="s">
        <v>64</v>
      </c>
      <c r="U7" s="169" t="s">
        <v>66</v>
      </c>
      <c r="V7" s="168" t="s">
        <v>134</v>
      </c>
      <c r="W7" s="170" t="s">
        <v>135</v>
      </c>
      <c r="X7" s="169" t="s">
        <v>191</v>
      </c>
      <c r="Y7" s="169" t="s">
        <v>192</v>
      </c>
      <c r="Z7" s="169" t="s">
        <v>63</v>
      </c>
      <c r="AA7" s="169" t="s">
        <v>64</v>
      </c>
      <c r="AB7" s="169" t="s">
        <v>66</v>
      </c>
      <c r="AC7" s="168" t="s">
        <v>134</v>
      </c>
      <c r="AD7" s="170" t="s">
        <v>135</v>
      </c>
      <c r="AE7" s="169" t="s">
        <v>191</v>
      </c>
      <c r="AF7" s="169" t="s">
        <v>192</v>
      </c>
      <c r="AG7" s="169" t="s">
        <v>63</v>
      </c>
      <c r="AH7" s="169" t="s">
        <v>64</v>
      </c>
      <c r="AI7" s="169" t="s">
        <v>66</v>
      </c>
      <c r="AJ7" s="168" t="s">
        <v>134</v>
      </c>
      <c r="AK7" s="167" t="s">
        <v>135</v>
      </c>
      <c r="AL7" s="242" t="s">
        <v>136</v>
      </c>
      <c r="AM7" s="243"/>
      <c r="AN7" s="243"/>
      <c r="AO7" s="243"/>
      <c r="AP7" s="244"/>
      <c r="AQ7" s="168" t="s">
        <v>134</v>
      </c>
      <c r="AR7" s="167" t="s">
        <v>135</v>
      </c>
      <c r="AS7" s="242" t="s">
        <v>136</v>
      </c>
      <c r="AT7" s="243"/>
      <c r="AU7" s="243"/>
      <c r="AV7" s="243"/>
      <c r="AW7" s="244"/>
      <c r="AX7" s="168" t="s">
        <v>134</v>
      </c>
      <c r="AY7" s="167" t="s">
        <v>135</v>
      </c>
      <c r="AZ7" s="166"/>
      <c r="BB7" s="165" t="s">
        <v>137</v>
      </c>
      <c r="BC7" s="164">
        <f ca="1">TODAY()</f>
        <v>46267</v>
      </c>
      <c r="BD7" s="163"/>
    </row>
    <row r="8" spans="2:61" ht="8.1" customHeight="1" x14ac:dyDescent="0.25">
      <c r="B8" s="161"/>
      <c r="C8" s="154"/>
      <c r="D8" s="153"/>
      <c r="E8" s="153"/>
      <c r="F8" s="153"/>
      <c r="G8" s="153"/>
      <c r="H8" s="152"/>
      <c r="I8" s="151"/>
      <c r="K8" s="153"/>
      <c r="L8" s="153"/>
      <c r="M8" s="153"/>
      <c r="N8" s="153"/>
      <c r="O8" s="152"/>
      <c r="P8" s="151"/>
      <c r="R8" s="153"/>
      <c r="S8" s="153"/>
      <c r="T8" s="153"/>
      <c r="U8" s="153"/>
      <c r="V8" s="152"/>
      <c r="W8" s="151"/>
      <c r="Y8" s="153"/>
      <c r="Z8" s="153"/>
      <c r="AA8" s="153"/>
      <c r="AB8" s="153"/>
      <c r="AC8" s="152"/>
      <c r="AD8" s="151"/>
      <c r="AF8" s="153"/>
      <c r="AG8" s="153"/>
      <c r="AH8" s="153"/>
      <c r="AI8" s="153"/>
      <c r="AJ8" s="152"/>
      <c r="AK8" s="151"/>
      <c r="AL8" s="148"/>
      <c r="AM8" s="148"/>
      <c r="AN8" s="148"/>
      <c r="AO8" s="153"/>
      <c r="AP8" s="153"/>
      <c r="AQ8" s="152"/>
      <c r="AR8" s="151"/>
      <c r="AS8" s="148"/>
      <c r="AT8" s="148"/>
      <c r="AU8" s="148"/>
      <c r="AV8" s="148"/>
      <c r="AW8" s="153"/>
      <c r="AX8" s="152"/>
      <c r="AY8" s="151"/>
      <c r="AZ8" s="160"/>
      <c r="BA8" s="198"/>
      <c r="BB8" s="155"/>
      <c r="BC8" s="155"/>
      <c r="BD8" s="199"/>
    </row>
    <row r="9" spans="2:61" ht="8.1" customHeight="1" x14ac:dyDescent="0.25">
      <c r="B9" s="234" t="s">
        <v>138</v>
      </c>
      <c r="C9" s="154"/>
      <c r="D9" s="153"/>
      <c r="E9" s="153"/>
      <c r="F9" s="153"/>
      <c r="G9" s="153"/>
      <c r="H9" s="152"/>
      <c r="I9" s="151"/>
      <c r="K9" s="153"/>
      <c r="L9" s="153"/>
      <c r="M9" s="153"/>
      <c r="N9" s="153"/>
      <c r="O9" s="152"/>
      <c r="P9" s="151"/>
      <c r="R9" s="153"/>
      <c r="S9" s="153"/>
      <c r="T9" s="153"/>
      <c r="U9" s="153"/>
      <c r="V9" s="152"/>
      <c r="W9" s="151"/>
      <c r="Y9" s="153"/>
      <c r="Z9" s="153"/>
      <c r="AA9" s="153"/>
      <c r="AB9" s="153"/>
      <c r="AC9" s="152"/>
      <c r="AD9" s="151"/>
      <c r="AF9" s="153"/>
      <c r="AG9" s="153"/>
      <c r="AH9" s="153"/>
      <c r="AI9" s="153"/>
      <c r="AJ9" s="152"/>
      <c r="AK9" s="158"/>
      <c r="AL9" s="153"/>
      <c r="AM9" s="153"/>
      <c r="AN9" s="153"/>
      <c r="AQ9" s="152"/>
      <c r="AR9" s="158"/>
      <c r="AS9" s="153"/>
      <c r="AT9" s="153"/>
      <c r="AU9" s="153"/>
      <c r="AV9" s="153"/>
      <c r="AX9" s="152"/>
      <c r="AY9" s="158"/>
      <c r="AZ9" s="234" t="s">
        <v>138</v>
      </c>
      <c r="BA9" s="198"/>
      <c r="BB9" s="203" t="s">
        <v>72</v>
      </c>
      <c r="BC9" s="155"/>
      <c r="BD9" s="199"/>
      <c r="BG9" s="155"/>
      <c r="BH9" s="155"/>
      <c r="BI9" s="155"/>
    </row>
    <row r="10" spans="2:61" ht="8.1" customHeight="1" x14ac:dyDescent="0.25">
      <c r="B10" s="235"/>
      <c r="C10" s="150"/>
      <c r="D10" s="148"/>
      <c r="E10" s="148"/>
      <c r="F10" s="148"/>
      <c r="G10" s="148"/>
      <c r="H10" s="147"/>
      <c r="I10" s="146"/>
      <c r="J10" s="149"/>
      <c r="K10" s="148"/>
      <c r="L10" s="148"/>
      <c r="M10" s="148"/>
      <c r="N10" s="148"/>
      <c r="O10" s="147"/>
      <c r="P10" s="146"/>
      <c r="Q10" s="149"/>
      <c r="R10" s="148"/>
      <c r="S10" s="148"/>
      <c r="T10" s="148"/>
      <c r="U10" s="148"/>
      <c r="V10" s="147"/>
      <c r="W10" s="146"/>
      <c r="X10" s="149"/>
      <c r="Y10" s="148"/>
      <c r="Z10" s="148"/>
      <c r="AA10" s="148"/>
      <c r="AB10" s="148"/>
      <c r="AC10" s="147"/>
      <c r="AD10" s="146"/>
      <c r="AE10" s="149"/>
      <c r="AF10" s="148"/>
      <c r="AG10" s="148"/>
      <c r="AH10" s="148"/>
      <c r="AI10" s="148"/>
      <c r="AJ10" s="147"/>
      <c r="AK10" s="146"/>
      <c r="AL10" s="148"/>
      <c r="AM10" s="148"/>
      <c r="AN10" s="148"/>
      <c r="AO10" s="148"/>
      <c r="AP10" s="148"/>
      <c r="AQ10" s="147"/>
      <c r="AR10" s="146"/>
      <c r="AS10" s="148"/>
      <c r="AT10" s="148"/>
      <c r="AU10" s="148"/>
      <c r="AV10" s="148"/>
      <c r="AW10" s="148"/>
      <c r="AX10" s="147"/>
      <c r="AY10" s="146"/>
      <c r="AZ10" s="235"/>
      <c r="BA10" s="198"/>
      <c r="BB10" s="204" t="s">
        <v>139</v>
      </c>
      <c r="BC10" s="155"/>
      <c r="BD10" s="199"/>
      <c r="BF10" s="155"/>
      <c r="BG10" s="155"/>
      <c r="BH10" s="155"/>
      <c r="BI10" s="155"/>
    </row>
    <row r="11" spans="2:61" ht="8.1" customHeight="1" x14ac:dyDescent="0.25">
      <c r="B11" s="234"/>
      <c r="C11" s="154"/>
      <c r="D11" s="153"/>
      <c r="E11" s="153"/>
      <c r="F11" s="153"/>
      <c r="G11" s="153"/>
      <c r="H11" s="152"/>
      <c r="I11" s="151"/>
      <c r="K11" s="153"/>
      <c r="L11" s="153"/>
      <c r="M11" s="153"/>
      <c r="N11" s="153"/>
      <c r="O11" s="152"/>
      <c r="P11" s="151"/>
      <c r="R11" s="153"/>
      <c r="S11" s="153"/>
      <c r="T11" s="153"/>
      <c r="U11" s="153"/>
      <c r="V11" s="152"/>
      <c r="W11" s="151"/>
      <c r="Y11" s="153"/>
      <c r="Z11" s="153"/>
      <c r="AA11" s="153"/>
      <c r="AB11" s="153"/>
      <c r="AC11" s="152"/>
      <c r="AD11" s="151"/>
      <c r="AF11" s="153"/>
      <c r="AG11" s="153"/>
      <c r="AH11" s="153"/>
      <c r="AI11" s="153"/>
      <c r="AJ11" s="152"/>
      <c r="AK11" s="151"/>
      <c r="AL11" s="153"/>
      <c r="AM11" s="153"/>
      <c r="AN11" s="153"/>
      <c r="AO11" s="153"/>
      <c r="AP11" s="153"/>
      <c r="AQ11" s="152"/>
      <c r="AR11" s="151"/>
      <c r="AS11" s="153"/>
      <c r="AT11" s="153"/>
      <c r="AU11" s="153"/>
      <c r="AV11" s="153"/>
      <c r="AW11" s="153"/>
      <c r="AX11" s="152"/>
      <c r="AY11" s="151"/>
      <c r="AZ11" s="234"/>
      <c r="BA11" s="198"/>
      <c r="BB11" s="204" t="s">
        <v>140</v>
      </c>
      <c r="BC11" s="155"/>
      <c r="BD11" s="199"/>
      <c r="BF11" s="155"/>
      <c r="BG11" s="155"/>
      <c r="BH11" s="155"/>
      <c r="BI11" s="155"/>
    </row>
    <row r="12" spans="2:61" ht="8.1" customHeight="1" x14ac:dyDescent="0.25">
      <c r="B12" s="235"/>
      <c r="C12" s="150"/>
      <c r="D12" s="148"/>
      <c r="E12" s="148"/>
      <c r="F12" s="148"/>
      <c r="G12" s="148"/>
      <c r="H12" s="147"/>
      <c r="I12" s="146"/>
      <c r="J12" s="149"/>
      <c r="K12" s="148"/>
      <c r="L12" s="148"/>
      <c r="M12" s="148"/>
      <c r="N12" s="148"/>
      <c r="O12" s="147"/>
      <c r="P12" s="146"/>
      <c r="Q12" s="149"/>
      <c r="R12" s="148"/>
      <c r="S12" s="148"/>
      <c r="T12" s="148"/>
      <c r="U12" s="148"/>
      <c r="V12" s="147"/>
      <c r="W12" s="146"/>
      <c r="X12" s="149"/>
      <c r="Y12" s="148"/>
      <c r="Z12" s="148"/>
      <c r="AA12" s="148"/>
      <c r="AB12" s="148"/>
      <c r="AC12" s="147"/>
      <c r="AD12" s="146"/>
      <c r="AE12" s="149"/>
      <c r="AF12" s="148"/>
      <c r="AG12" s="148"/>
      <c r="AH12" s="148"/>
      <c r="AI12" s="148"/>
      <c r="AJ12" s="147"/>
      <c r="AK12" s="146"/>
      <c r="AL12" s="148"/>
      <c r="AM12" s="148"/>
      <c r="AN12" s="148"/>
      <c r="AO12" s="148"/>
      <c r="AP12" s="148"/>
      <c r="AQ12" s="147"/>
      <c r="AR12" s="146"/>
      <c r="AS12" s="148"/>
      <c r="AT12" s="148"/>
      <c r="AU12" s="148"/>
      <c r="AV12" s="148"/>
      <c r="AW12" s="148"/>
      <c r="AX12" s="147"/>
      <c r="AY12" s="146"/>
      <c r="AZ12" s="235"/>
      <c r="BA12" s="198"/>
      <c r="BB12" s="204" t="s">
        <v>141</v>
      </c>
      <c r="BC12" s="155"/>
      <c r="BD12" s="199"/>
      <c r="BF12" s="155"/>
      <c r="BG12" s="155"/>
      <c r="BH12" s="155"/>
      <c r="BI12" s="155"/>
    </row>
    <row r="13" spans="2:61" ht="8.1" customHeight="1" x14ac:dyDescent="0.25">
      <c r="B13" s="234" t="s">
        <v>142</v>
      </c>
      <c r="C13" s="154"/>
      <c r="D13" s="153"/>
      <c r="E13" s="153"/>
      <c r="F13" s="153"/>
      <c r="G13" s="153"/>
      <c r="H13" s="152"/>
      <c r="I13" s="151"/>
      <c r="K13" s="153"/>
      <c r="L13" s="153"/>
      <c r="M13" s="153"/>
      <c r="N13" s="153"/>
      <c r="O13" s="152"/>
      <c r="P13" s="151"/>
      <c r="R13" s="153"/>
      <c r="S13" s="153"/>
      <c r="T13" s="153"/>
      <c r="U13" s="153"/>
      <c r="V13" s="152"/>
      <c r="W13" s="151"/>
      <c r="Y13" s="153"/>
      <c r="Z13" s="153"/>
      <c r="AA13" s="153"/>
      <c r="AB13" s="153"/>
      <c r="AC13" s="152"/>
      <c r="AD13" s="151"/>
      <c r="AF13" s="153"/>
      <c r="AG13" s="153"/>
      <c r="AH13" s="153"/>
      <c r="AI13" s="153"/>
      <c r="AJ13" s="152"/>
      <c r="AK13" s="151"/>
      <c r="AL13" s="153"/>
      <c r="AM13" s="153"/>
      <c r="AN13" s="153"/>
      <c r="AO13" s="153"/>
      <c r="AP13" s="153"/>
      <c r="AQ13" s="152"/>
      <c r="AR13" s="151"/>
      <c r="AS13" s="153"/>
      <c r="AT13" s="153"/>
      <c r="AU13" s="153"/>
      <c r="AV13" s="153"/>
      <c r="AW13" s="153"/>
      <c r="AX13" s="152"/>
      <c r="AY13" s="151"/>
      <c r="AZ13" s="234" t="s">
        <v>142</v>
      </c>
      <c r="BA13" s="198"/>
      <c r="BB13" s="204" t="s">
        <v>143</v>
      </c>
      <c r="BC13" s="155"/>
      <c r="BD13" s="199"/>
      <c r="BF13" s="155"/>
      <c r="BG13" s="155"/>
      <c r="BH13" s="155"/>
      <c r="BI13" s="155"/>
    </row>
    <row r="14" spans="2:61" ht="8.1" customHeight="1" x14ac:dyDescent="0.25">
      <c r="B14" s="235"/>
      <c r="C14" s="150"/>
      <c r="D14" s="148"/>
      <c r="E14" s="148"/>
      <c r="F14" s="148"/>
      <c r="G14" s="148"/>
      <c r="H14" s="147"/>
      <c r="I14" s="146"/>
      <c r="J14" s="149"/>
      <c r="K14" s="148"/>
      <c r="L14" s="148"/>
      <c r="M14" s="148"/>
      <c r="N14" s="148"/>
      <c r="O14" s="147"/>
      <c r="P14" s="146"/>
      <c r="Q14" s="149"/>
      <c r="R14" s="148"/>
      <c r="S14" s="148"/>
      <c r="T14" s="148"/>
      <c r="U14" s="148"/>
      <c r="V14" s="147"/>
      <c r="W14" s="146"/>
      <c r="X14" s="149"/>
      <c r="Y14" s="148"/>
      <c r="Z14" s="148"/>
      <c r="AA14" s="148"/>
      <c r="AB14" s="148"/>
      <c r="AC14" s="147"/>
      <c r="AD14" s="146"/>
      <c r="AE14" s="149"/>
      <c r="AF14" s="148"/>
      <c r="AG14" s="148"/>
      <c r="AH14" s="148"/>
      <c r="AI14" s="148"/>
      <c r="AJ14" s="147"/>
      <c r="AK14" s="146"/>
      <c r="AL14" s="148"/>
      <c r="AM14" s="148"/>
      <c r="AN14" s="148"/>
      <c r="AO14" s="148"/>
      <c r="AP14" s="148"/>
      <c r="AQ14" s="147"/>
      <c r="AR14" s="146"/>
      <c r="AS14" s="148"/>
      <c r="AT14" s="148"/>
      <c r="AU14" s="148"/>
      <c r="AV14" s="148"/>
      <c r="AW14" s="148"/>
      <c r="AX14" s="147"/>
      <c r="AY14" s="146"/>
      <c r="AZ14" s="235"/>
      <c r="BA14" s="198"/>
      <c r="BB14" s="203"/>
      <c r="BC14" s="155"/>
      <c r="BD14" s="199"/>
      <c r="BF14" s="155"/>
      <c r="BG14" s="155"/>
      <c r="BH14" s="155"/>
      <c r="BI14" s="155"/>
    </row>
    <row r="15" spans="2:61" ht="8.1" customHeight="1" x14ac:dyDescent="0.25">
      <c r="B15" s="234"/>
      <c r="C15" s="154"/>
      <c r="D15" s="153"/>
      <c r="E15" s="153"/>
      <c r="F15" s="153"/>
      <c r="G15" s="153"/>
      <c r="H15" s="152"/>
      <c r="I15" s="151"/>
      <c r="K15" s="153"/>
      <c r="L15" s="153"/>
      <c r="M15" s="153"/>
      <c r="N15" s="153"/>
      <c r="O15" s="152"/>
      <c r="P15" s="151"/>
      <c r="R15" s="153"/>
      <c r="S15" s="153"/>
      <c r="T15" s="153"/>
      <c r="U15" s="153"/>
      <c r="V15" s="152"/>
      <c r="W15" s="151"/>
      <c r="Y15" s="153"/>
      <c r="Z15" s="153"/>
      <c r="AA15" s="153"/>
      <c r="AB15" s="153"/>
      <c r="AC15" s="152"/>
      <c r="AD15" s="151"/>
      <c r="AF15" s="153"/>
      <c r="AG15" s="153"/>
      <c r="AH15" s="153"/>
      <c r="AI15" s="153"/>
      <c r="AJ15" s="152"/>
      <c r="AK15" s="151"/>
      <c r="AL15" s="153"/>
      <c r="AM15" s="153"/>
      <c r="AN15" s="153"/>
      <c r="AO15" s="153"/>
      <c r="AP15" s="153"/>
      <c r="AQ15" s="152"/>
      <c r="AR15" s="151"/>
      <c r="AS15" s="153"/>
      <c r="AT15" s="153"/>
      <c r="AU15" s="153"/>
      <c r="AV15" s="153"/>
      <c r="AW15" s="153"/>
      <c r="AX15" s="152"/>
      <c r="AY15" s="151"/>
      <c r="AZ15" s="234"/>
      <c r="BA15" s="198"/>
      <c r="BB15" s="203"/>
      <c r="BC15" s="155"/>
      <c r="BD15" s="199"/>
      <c r="BF15" s="155"/>
      <c r="BG15" s="155"/>
      <c r="BH15" s="155"/>
      <c r="BI15" s="155"/>
    </row>
    <row r="16" spans="2:61" ht="8.1" customHeight="1" x14ac:dyDescent="0.25">
      <c r="B16" s="235"/>
      <c r="C16" s="150"/>
      <c r="D16" s="148"/>
      <c r="E16" s="148"/>
      <c r="F16" s="148"/>
      <c r="G16" s="148"/>
      <c r="H16" s="147"/>
      <c r="I16" s="146"/>
      <c r="J16" s="149"/>
      <c r="K16" s="148"/>
      <c r="L16" s="148"/>
      <c r="M16" s="148"/>
      <c r="N16" s="148"/>
      <c r="O16" s="147"/>
      <c r="P16" s="146"/>
      <c r="Q16" s="149"/>
      <c r="R16" s="148"/>
      <c r="S16" s="148"/>
      <c r="T16" s="148"/>
      <c r="U16" s="148"/>
      <c r="V16" s="147"/>
      <c r="W16" s="146"/>
      <c r="X16" s="149"/>
      <c r="Y16" s="148"/>
      <c r="Z16" s="148"/>
      <c r="AA16" s="148"/>
      <c r="AB16" s="148"/>
      <c r="AC16" s="147"/>
      <c r="AD16" s="146"/>
      <c r="AE16" s="149"/>
      <c r="AF16" s="148"/>
      <c r="AG16" s="148"/>
      <c r="AH16" s="148"/>
      <c r="AI16" s="148"/>
      <c r="AJ16" s="147"/>
      <c r="AK16" s="146"/>
      <c r="AL16" s="148"/>
      <c r="AM16" s="148"/>
      <c r="AN16" s="148"/>
      <c r="AO16" s="148"/>
      <c r="AP16" s="148"/>
      <c r="AQ16" s="147"/>
      <c r="AR16" s="146"/>
      <c r="AS16" s="148"/>
      <c r="AT16" s="148"/>
      <c r="AU16" s="148"/>
      <c r="AV16" s="148"/>
      <c r="AW16" s="148"/>
      <c r="AX16" s="147"/>
      <c r="AY16" s="146"/>
      <c r="AZ16" s="235"/>
      <c r="BA16" s="198"/>
      <c r="BB16" s="203" t="s">
        <v>144</v>
      </c>
      <c r="BC16" s="155"/>
      <c r="BD16" s="199"/>
      <c r="BF16" s="155"/>
      <c r="BG16" s="155"/>
      <c r="BH16" s="155"/>
      <c r="BI16" s="155"/>
    </row>
    <row r="17" spans="2:61" ht="8.1" customHeight="1" x14ac:dyDescent="0.25">
      <c r="B17" s="234" t="s">
        <v>145</v>
      </c>
      <c r="C17" s="154"/>
      <c r="D17" s="153"/>
      <c r="E17" s="153"/>
      <c r="F17" s="153"/>
      <c r="G17" s="153"/>
      <c r="H17" s="152"/>
      <c r="I17" s="151"/>
      <c r="K17" s="153"/>
      <c r="L17" s="153"/>
      <c r="M17" s="153"/>
      <c r="N17" s="153"/>
      <c r="O17" s="152"/>
      <c r="P17" s="151"/>
      <c r="R17" s="153"/>
      <c r="S17" s="153"/>
      <c r="T17" s="153"/>
      <c r="U17" s="153"/>
      <c r="V17" s="152"/>
      <c r="W17" s="151"/>
      <c r="Y17" s="153"/>
      <c r="Z17" s="153"/>
      <c r="AA17" s="153"/>
      <c r="AB17" s="153"/>
      <c r="AC17" s="152"/>
      <c r="AD17" s="151"/>
      <c r="AF17" s="153"/>
      <c r="AG17" s="153"/>
      <c r="AH17" s="153"/>
      <c r="AI17" s="153"/>
      <c r="AJ17" s="152"/>
      <c r="AK17" s="151"/>
      <c r="AL17" s="153"/>
      <c r="AM17" s="153"/>
      <c r="AN17" s="153"/>
      <c r="AO17" s="153"/>
      <c r="AP17" s="153"/>
      <c r="AQ17" s="152"/>
      <c r="AR17" s="151"/>
      <c r="AS17" s="153"/>
      <c r="AT17" s="153"/>
      <c r="AU17" s="153"/>
      <c r="AV17" s="153"/>
      <c r="AW17" s="153"/>
      <c r="AX17" s="152"/>
      <c r="AY17" s="151"/>
      <c r="AZ17" s="234" t="s">
        <v>145</v>
      </c>
      <c r="BA17" s="198"/>
      <c r="BB17" s="204" t="str">
        <f>_xlfn.CONCAT("KP: ",Einstellungen!$P$34)</f>
        <v>KP: (noch nicht bekannt)</v>
      </c>
      <c r="BC17" s="155"/>
      <c r="BD17" s="199"/>
      <c r="BF17" s="155"/>
      <c r="BG17" s="155"/>
      <c r="BH17" s="155"/>
      <c r="BI17" s="155"/>
    </row>
    <row r="18" spans="2:61" ht="8.1" customHeight="1" x14ac:dyDescent="0.25">
      <c r="B18" s="235"/>
      <c r="C18" s="150"/>
      <c r="D18" s="148"/>
      <c r="E18" s="148"/>
      <c r="F18" s="148"/>
      <c r="G18" s="148"/>
      <c r="H18" s="147"/>
      <c r="I18" s="146"/>
      <c r="J18" s="149"/>
      <c r="K18" s="148"/>
      <c r="L18" s="148"/>
      <c r="M18" s="148"/>
      <c r="N18" s="148"/>
      <c r="O18" s="147"/>
      <c r="P18" s="146"/>
      <c r="Q18" s="149"/>
      <c r="R18" s="148"/>
      <c r="S18" s="148"/>
      <c r="T18" s="148"/>
      <c r="U18" s="148"/>
      <c r="V18" s="147"/>
      <c r="W18" s="146"/>
      <c r="X18" s="149"/>
      <c r="Y18" s="148"/>
      <c r="Z18" s="148"/>
      <c r="AA18" s="148"/>
      <c r="AB18" s="148"/>
      <c r="AC18" s="147"/>
      <c r="AD18" s="146"/>
      <c r="AE18" s="149"/>
      <c r="AF18" s="148"/>
      <c r="AG18" s="148"/>
      <c r="AH18" s="148"/>
      <c r="AI18" s="148"/>
      <c r="AJ18" s="147"/>
      <c r="AK18" s="146"/>
      <c r="AL18" s="148"/>
      <c r="AM18" s="148"/>
      <c r="AN18" s="148"/>
      <c r="AO18" s="148"/>
      <c r="AP18" s="148"/>
      <c r="AQ18" s="147"/>
      <c r="AR18" s="146"/>
      <c r="AS18" s="148"/>
      <c r="AT18" s="148"/>
      <c r="AU18" s="148"/>
      <c r="AV18" s="148"/>
      <c r="AW18" s="148"/>
      <c r="AX18" s="147"/>
      <c r="AY18" s="146"/>
      <c r="AZ18" s="235"/>
      <c r="BA18" s="198"/>
      <c r="BB18" s="204" t="str">
        <f>_xlfn.CONCAT("LVZ/MCC: ",Einstellungen!$R$34)</f>
        <v>LVZ/MCC: (noch nicht bekannt)</v>
      </c>
      <c r="BC18" s="155"/>
      <c r="BD18" s="199"/>
      <c r="BF18" s="155"/>
      <c r="BG18" s="155"/>
      <c r="BH18" s="155"/>
      <c r="BI18" s="155"/>
    </row>
    <row r="19" spans="2:61" ht="8.1" customHeight="1" x14ac:dyDescent="0.25">
      <c r="B19" s="234"/>
      <c r="C19" s="154"/>
      <c r="D19" s="153"/>
      <c r="E19" s="153"/>
      <c r="F19" s="153"/>
      <c r="G19" s="153"/>
      <c r="H19" s="152"/>
      <c r="I19" s="151"/>
      <c r="K19" s="153"/>
      <c r="L19" s="153"/>
      <c r="M19" s="153"/>
      <c r="N19" s="153"/>
      <c r="O19" s="152"/>
      <c r="P19" s="151"/>
      <c r="R19" s="153"/>
      <c r="S19" s="153"/>
      <c r="T19" s="153"/>
      <c r="U19" s="153"/>
      <c r="V19" s="152"/>
      <c r="W19" s="151"/>
      <c r="Y19" s="153"/>
      <c r="Z19" s="153"/>
      <c r="AA19" s="153"/>
      <c r="AB19" s="153"/>
      <c r="AC19" s="152"/>
      <c r="AD19" s="151"/>
      <c r="AF19" s="153"/>
      <c r="AG19" s="153"/>
      <c r="AH19" s="153"/>
      <c r="AI19" s="153"/>
      <c r="AJ19" s="152"/>
      <c r="AK19" s="151"/>
      <c r="AL19" s="153"/>
      <c r="AM19" s="153"/>
      <c r="AN19" s="153"/>
      <c r="AO19" s="153"/>
      <c r="AP19" s="153"/>
      <c r="AQ19" s="152"/>
      <c r="AR19" s="151"/>
      <c r="AS19" s="153"/>
      <c r="AT19" s="153"/>
      <c r="AU19" s="153"/>
      <c r="AV19" s="153"/>
      <c r="AW19" s="153"/>
      <c r="AX19" s="152"/>
      <c r="AY19" s="151"/>
      <c r="AZ19" s="234"/>
      <c r="BA19" s="198"/>
      <c r="BB19" s="204" t="str">
        <f>_xlfn.CONCAT("Tagesof: ",Einstellungen!$P$37)</f>
        <v>Tagesof: (noch nicht bekannt)</v>
      </c>
      <c r="BC19" s="155"/>
      <c r="BD19" s="199"/>
      <c r="BF19" s="155"/>
      <c r="BG19" s="155"/>
      <c r="BH19" s="155"/>
      <c r="BI19" s="155"/>
    </row>
    <row r="20" spans="2:61" ht="8.1" customHeight="1" x14ac:dyDescent="0.25">
      <c r="B20" s="235"/>
      <c r="C20" s="150"/>
      <c r="D20" s="148"/>
      <c r="E20" s="148"/>
      <c r="F20" s="148"/>
      <c r="G20" s="148"/>
      <c r="H20" s="147"/>
      <c r="I20" s="146"/>
      <c r="J20" s="149"/>
      <c r="K20" s="148"/>
      <c r="L20" s="148"/>
      <c r="M20" s="148"/>
      <c r="N20" s="148"/>
      <c r="O20" s="147"/>
      <c r="P20" s="146"/>
      <c r="Q20" s="149"/>
      <c r="R20" s="148"/>
      <c r="S20" s="148"/>
      <c r="T20" s="148"/>
      <c r="U20" s="148"/>
      <c r="V20" s="147"/>
      <c r="W20" s="146"/>
      <c r="X20" s="149"/>
      <c r="Y20" s="148"/>
      <c r="Z20" s="148"/>
      <c r="AA20" s="148"/>
      <c r="AB20" s="148"/>
      <c r="AC20" s="147"/>
      <c r="AD20" s="146"/>
      <c r="AE20" s="149"/>
      <c r="AF20" s="148"/>
      <c r="AG20" s="148"/>
      <c r="AH20" s="148"/>
      <c r="AI20" s="148"/>
      <c r="AJ20" s="147"/>
      <c r="AK20" s="146"/>
      <c r="AL20" s="148"/>
      <c r="AM20" s="148"/>
      <c r="AN20" s="148"/>
      <c r="AO20" s="148"/>
      <c r="AP20" s="148"/>
      <c r="AQ20" s="147"/>
      <c r="AR20" s="146"/>
      <c r="AS20" s="148"/>
      <c r="AT20" s="148"/>
      <c r="AU20" s="148"/>
      <c r="AV20" s="148"/>
      <c r="AW20" s="148"/>
      <c r="AX20" s="147"/>
      <c r="AY20" s="146"/>
      <c r="AZ20" s="235"/>
      <c r="BA20" s="198"/>
      <c r="BB20" s="204" t="str">
        <f>_xlfn.CONCAT("Wachtof: ",Einstellungen!$R$37)</f>
        <v>Wachtof: (noch nicht bekannt)</v>
      </c>
      <c r="BC20" s="155"/>
      <c r="BD20" s="199"/>
      <c r="BF20" s="155"/>
      <c r="BG20" s="155"/>
      <c r="BH20" s="155"/>
      <c r="BI20" s="155"/>
    </row>
    <row r="21" spans="2:61" ht="8.1" customHeight="1" x14ac:dyDescent="0.25">
      <c r="B21" s="234" t="s">
        <v>146</v>
      </c>
      <c r="C21" s="154"/>
      <c r="D21" s="153"/>
      <c r="E21" s="153"/>
      <c r="F21" s="153"/>
      <c r="G21" s="153"/>
      <c r="H21" s="152"/>
      <c r="I21" s="151"/>
      <c r="K21" s="153"/>
      <c r="L21" s="153"/>
      <c r="M21" s="153"/>
      <c r="N21" s="153"/>
      <c r="O21" s="152"/>
      <c r="P21" s="151"/>
      <c r="R21" s="153"/>
      <c r="S21" s="153"/>
      <c r="T21" s="153"/>
      <c r="U21" s="153"/>
      <c r="V21" s="152"/>
      <c r="W21" s="151"/>
      <c r="Y21" s="153"/>
      <c r="Z21" s="153"/>
      <c r="AA21" s="153"/>
      <c r="AB21" s="153"/>
      <c r="AC21" s="152"/>
      <c r="AD21" s="151"/>
      <c r="AF21" s="153"/>
      <c r="AG21" s="153"/>
      <c r="AH21" s="153"/>
      <c r="AI21" s="153"/>
      <c r="AJ21" s="152"/>
      <c r="AK21" s="151"/>
      <c r="AL21" s="153"/>
      <c r="AM21" s="153"/>
      <c r="AN21" s="153"/>
      <c r="AO21" s="153"/>
      <c r="AP21" s="153"/>
      <c r="AQ21" s="152"/>
      <c r="AR21" s="151"/>
      <c r="AS21" s="153"/>
      <c r="AT21" s="153"/>
      <c r="AU21" s="153"/>
      <c r="AV21" s="153"/>
      <c r="AW21" s="153"/>
      <c r="AX21" s="152"/>
      <c r="AY21" s="151"/>
      <c r="AZ21" s="234" t="s">
        <v>146</v>
      </c>
      <c r="BA21" s="198"/>
      <c r="BB21" s="203"/>
      <c r="BC21" s="155"/>
      <c r="BD21" s="199"/>
      <c r="BF21" s="155"/>
      <c r="BG21" s="155"/>
      <c r="BH21" s="155"/>
      <c r="BI21" s="155"/>
    </row>
    <row r="22" spans="2:61" ht="8.1" customHeight="1" x14ac:dyDescent="0.25">
      <c r="B22" s="235"/>
      <c r="C22" s="150"/>
      <c r="D22" s="148"/>
      <c r="E22" s="148"/>
      <c r="F22" s="148"/>
      <c r="G22" s="148"/>
      <c r="H22" s="147"/>
      <c r="I22" s="146"/>
      <c r="J22" s="149"/>
      <c r="K22" s="148"/>
      <c r="L22" s="148"/>
      <c r="M22" s="148"/>
      <c r="N22" s="148"/>
      <c r="O22" s="147"/>
      <c r="P22" s="146"/>
      <c r="Q22" s="149"/>
      <c r="R22" s="148"/>
      <c r="S22" s="148"/>
      <c r="T22" s="148"/>
      <c r="U22" s="148"/>
      <c r="V22" s="147"/>
      <c r="W22" s="146"/>
      <c r="X22" s="149"/>
      <c r="Y22" s="148"/>
      <c r="Z22" s="148"/>
      <c r="AA22" s="148"/>
      <c r="AB22" s="148"/>
      <c r="AC22" s="147"/>
      <c r="AD22" s="146"/>
      <c r="AE22" s="149"/>
      <c r="AF22" s="148"/>
      <c r="AG22" s="148"/>
      <c r="AH22" s="148"/>
      <c r="AI22" s="148"/>
      <c r="AJ22" s="147"/>
      <c r="AK22" s="146"/>
      <c r="AL22" s="148"/>
      <c r="AM22" s="148"/>
      <c r="AN22" s="148"/>
      <c r="AO22" s="148"/>
      <c r="AP22" s="148"/>
      <c r="AQ22" s="147"/>
      <c r="AR22" s="146"/>
      <c r="AS22" s="148"/>
      <c r="AT22" s="148"/>
      <c r="AU22" s="148"/>
      <c r="AV22" s="148"/>
      <c r="AW22" s="148"/>
      <c r="AX22" s="147"/>
      <c r="AY22" s="146"/>
      <c r="AZ22" s="235"/>
      <c r="BA22" s="198"/>
      <c r="BB22" s="203"/>
      <c r="BC22" s="155"/>
      <c r="BD22" s="199"/>
      <c r="BF22" s="155"/>
      <c r="BG22" s="155"/>
      <c r="BH22" s="155"/>
      <c r="BI22" s="155"/>
    </row>
    <row r="23" spans="2:61" ht="8.1" customHeight="1" x14ac:dyDescent="0.25">
      <c r="B23" s="234"/>
      <c r="C23" s="154"/>
      <c r="D23" s="153"/>
      <c r="E23" s="153"/>
      <c r="F23" s="153"/>
      <c r="G23" s="153"/>
      <c r="H23" s="152"/>
      <c r="I23" s="151"/>
      <c r="K23" s="153"/>
      <c r="L23" s="153"/>
      <c r="M23" s="153"/>
      <c r="N23" s="153"/>
      <c r="O23" s="152"/>
      <c r="P23" s="151"/>
      <c r="R23" s="153"/>
      <c r="S23" s="153"/>
      <c r="T23" s="153"/>
      <c r="U23" s="153"/>
      <c r="V23" s="152"/>
      <c r="W23" s="151"/>
      <c r="Y23" s="153"/>
      <c r="Z23" s="153"/>
      <c r="AA23" s="153"/>
      <c r="AB23" s="153"/>
      <c r="AC23" s="152"/>
      <c r="AD23" s="151"/>
      <c r="AF23" s="153"/>
      <c r="AG23" s="153"/>
      <c r="AH23" s="153"/>
      <c r="AI23" s="153"/>
      <c r="AJ23" s="152"/>
      <c r="AK23" s="151"/>
      <c r="AL23" s="153"/>
      <c r="AM23" s="153"/>
      <c r="AN23" s="153"/>
      <c r="AO23" s="153"/>
      <c r="AP23" s="153"/>
      <c r="AQ23" s="152"/>
      <c r="AR23" s="151"/>
      <c r="AS23" s="153"/>
      <c r="AT23" s="153"/>
      <c r="AU23" s="153"/>
      <c r="AV23" s="153"/>
      <c r="AW23" s="153"/>
      <c r="AX23" s="152"/>
      <c r="AY23" s="151"/>
      <c r="AZ23" s="234"/>
      <c r="BA23" s="198"/>
      <c r="BB23" s="203"/>
      <c r="BC23" s="155"/>
      <c r="BD23" s="199"/>
      <c r="BF23" s="155"/>
      <c r="BG23" s="155"/>
      <c r="BH23" s="155"/>
      <c r="BI23" s="155"/>
    </row>
    <row r="24" spans="2:61" ht="8.1" customHeight="1" x14ac:dyDescent="0.25">
      <c r="B24" s="235"/>
      <c r="C24" s="150"/>
      <c r="D24" s="148"/>
      <c r="E24" s="148"/>
      <c r="F24" s="148"/>
      <c r="G24" s="148"/>
      <c r="H24" s="147"/>
      <c r="I24" s="146"/>
      <c r="J24" s="149"/>
      <c r="K24" s="148"/>
      <c r="L24" s="148"/>
      <c r="M24" s="148"/>
      <c r="N24" s="148"/>
      <c r="O24" s="147"/>
      <c r="P24" s="146"/>
      <c r="Q24" s="149"/>
      <c r="R24" s="148"/>
      <c r="S24" s="148"/>
      <c r="T24" s="148"/>
      <c r="U24" s="148"/>
      <c r="V24" s="147"/>
      <c r="W24" s="146"/>
      <c r="X24" s="149"/>
      <c r="Y24" s="148"/>
      <c r="Z24" s="148"/>
      <c r="AA24" s="148"/>
      <c r="AB24" s="148"/>
      <c r="AC24" s="147"/>
      <c r="AD24" s="146"/>
      <c r="AE24" s="149"/>
      <c r="AF24" s="148"/>
      <c r="AG24" s="148"/>
      <c r="AH24" s="148"/>
      <c r="AI24" s="148"/>
      <c r="AJ24" s="147"/>
      <c r="AK24" s="146"/>
      <c r="AL24" s="148"/>
      <c r="AM24" s="148"/>
      <c r="AN24" s="148"/>
      <c r="AO24" s="148"/>
      <c r="AP24" s="148"/>
      <c r="AQ24" s="147"/>
      <c r="AR24" s="146"/>
      <c r="AS24" s="148"/>
      <c r="AT24" s="148"/>
      <c r="AU24" s="148"/>
      <c r="AV24" s="148"/>
      <c r="AW24" s="148"/>
      <c r="AX24" s="147"/>
      <c r="AY24" s="146"/>
      <c r="AZ24" s="235"/>
      <c r="BA24" s="198"/>
      <c r="BB24" s="204"/>
      <c r="BC24" s="155"/>
      <c r="BD24" s="199"/>
      <c r="BF24" s="155"/>
      <c r="BG24" s="155"/>
      <c r="BH24" s="155"/>
      <c r="BI24" s="155"/>
    </row>
    <row r="25" spans="2:61" ht="8.1" customHeight="1" x14ac:dyDescent="0.25">
      <c r="B25" s="234" t="s">
        <v>149</v>
      </c>
      <c r="C25" s="154"/>
      <c r="D25" s="153"/>
      <c r="E25" s="153"/>
      <c r="F25" s="153"/>
      <c r="G25" s="153"/>
      <c r="H25" s="152"/>
      <c r="I25" s="151"/>
      <c r="K25" s="153"/>
      <c r="L25" s="153"/>
      <c r="M25" s="153"/>
      <c r="N25" s="153"/>
      <c r="O25" s="152"/>
      <c r="P25" s="151"/>
      <c r="R25" s="153"/>
      <c r="S25" s="153"/>
      <c r="T25" s="153"/>
      <c r="U25" s="153"/>
      <c r="V25" s="152"/>
      <c r="W25" s="151"/>
      <c r="Y25" s="153"/>
      <c r="Z25" s="153"/>
      <c r="AA25" s="153"/>
      <c r="AB25" s="153"/>
      <c r="AC25" s="152"/>
      <c r="AD25" s="151"/>
      <c r="AF25" s="153"/>
      <c r="AG25" s="153"/>
      <c r="AH25" s="153"/>
      <c r="AI25" s="153"/>
      <c r="AJ25" s="152"/>
      <c r="AK25" s="151"/>
      <c r="AL25" s="153"/>
      <c r="AM25" s="153"/>
      <c r="AN25" s="153"/>
      <c r="AO25" s="153"/>
      <c r="AP25" s="153"/>
      <c r="AQ25" s="152"/>
      <c r="AR25" s="151"/>
      <c r="AS25" s="153"/>
      <c r="AT25" s="153"/>
      <c r="AU25" s="153"/>
      <c r="AV25" s="153"/>
      <c r="AW25" s="153"/>
      <c r="AX25" s="152"/>
      <c r="AY25" s="151"/>
      <c r="AZ25" s="234" t="s">
        <v>149</v>
      </c>
      <c r="BA25" s="198"/>
      <c r="BB25" s="203"/>
      <c r="BC25" s="155"/>
      <c r="BD25" s="199"/>
      <c r="BF25" s="155"/>
      <c r="BG25" s="155"/>
      <c r="BH25" s="155"/>
      <c r="BI25" s="155"/>
    </row>
    <row r="26" spans="2:61" ht="8.1" customHeight="1" x14ac:dyDescent="0.25">
      <c r="B26" s="235"/>
      <c r="C26" s="150"/>
      <c r="D26" s="148"/>
      <c r="E26" s="148"/>
      <c r="F26" s="148"/>
      <c r="G26" s="148"/>
      <c r="H26" s="147"/>
      <c r="I26" s="146"/>
      <c r="J26" s="149"/>
      <c r="K26" s="148"/>
      <c r="L26" s="148"/>
      <c r="M26" s="148"/>
      <c r="N26" s="148"/>
      <c r="O26" s="147"/>
      <c r="P26" s="146"/>
      <c r="Q26" s="149"/>
      <c r="R26" s="148"/>
      <c r="S26" s="148"/>
      <c r="T26" s="148"/>
      <c r="U26" s="148"/>
      <c r="V26" s="147"/>
      <c r="W26" s="146"/>
      <c r="X26" s="149"/>
      <c r="Y26" s="148"/>
      <c r="Z26" s="148"/>
      <c r="AA26" s="148"/>
      <c r="AB26" s="148"/>
      <c r="AC26" s="147"/>
      <c r="AD26" s="146"/>
      <c r="AE26" s="149"/>
      <c r="AF26" s="148"/>
      <c r="AG26" s="148"/>
      <c r="AH26" s="148"/>
      <c r="AI26" s="148"/>
      <c r="AJ26" s="147"/>
      <c r="AK26" s="146"/>
      <c r="AL26" s="148"/>
      <c r="AM26" s="148"/>
      <c r="AN26" s="148"/>
      <c r="AO26" s="148"/>
      <c r="AP26" s="148"/>
      <c r="AQ26" s="147"/>
      <c r="AR26" s="146"/>
      <c r="AS26" s="148"/>
      <c r="AT26" s="148"/>
      <c r="AU26" s="148"/>
      <c r="AV26" s="148"/>
      <c r="AW26" s="148"/>
      <c r="AX26" s="147"/>
      <c r="AY26" s="146"/>
      <c r="AZ26" s="235"/>
      <c r="BA26" s="198"/>
      <c r="BB26" s="203"/>
      <c r="BC26" s="155"/>
      <c r="BD26" s="199"/>
      <c r="BF26" s="155"/>
      <c r="BG26" s="155"/>
      <c r="BH26" s="155"/>
      <c r="BI26" s="155"/>
    </row>
    <row r="27" spans="2:61" ht="8.1" customHeight="1" x14ac:dyDescent="0.25">
      <c r="B27" s="234"/>
      <c r="C27" s="154"/>
      <c r="D27" s="153"/>
      <c r="E27" s="153"/>
      <c r="F27" s="153"/>
      <c r="G27" s="153"/>
      <c r="H27" s="152"/>
      <c r="I27" s="151"/>
      <c r="K27" s="153"/>
      <c r="L27" s="153"/>
      <c r="M27" s="153"/>
      <c r="N27" s="153"/>
      <c r="O27" s="152"/>
      <c r="P27" s="151"/>
      <c r="R27" s="153"/>
      <c r="S27" s="153"/>
      <c r="T27" s="153"/>
      <c r="U27" s="153"/>
      <c r="V27" s="152"/>
      <c r="W27" s="151"/>
      <c r="Y27" s="153"/>
      <c r="Z27" s="153"/>
      <c r="AA27" s="153"/>
      <c r="AB27" s="153"/>
      <c r="AC27" s="152"/>
      <c r="AD27" s="151"/>
      <c r="AF27" s="153"/>
      <c r="AG27" s="153"/>
      <c r="AH27" s="153"/>
      <c r="AI27" s="153"/>
      <c r="AJ27" s="152"/>
      <c r="AK27" s="151"/>
      <c r="AL27" s="153"/>
      <c r="AM27" s="153"/>
      <c r="AN27" s="153"/>
      <c r="AO27" s="153"/>
      <c r="AP27" s="153"/>
      <c r="AQ27" s="152"/>
      <c r="AR27" s="151"/>
      <c r="AS27" s="153"/>
      <c r="AT27" s="153"/>
      <c r="AU27" s="153"/>
      <c r="AV27" s="153"/>
      <c r="AW27" s="153"/>
      <c r="AX27" s="152"/>
      <c r="AY27" s="151"/>
      <c r="AZ27" s="234"/>
      <c r="BA27" s="198"/>
      <c r="BB27" s="203"/>
      <c r="BC27" s="155"/>
      <c r="BD27" s="199"/>
      <c r="BF27" s="155"/>
      <c r="BG27" s="155"/>
      <c r="BH27" s="155"/>
      <c r="BI27" s="155"/>
    </row>
    <row r="28" spans="2:61" ht="8.1" customHeight="1" x14ac:dyDescent="0.25">
      <c r="B28" s="235"/>
      <c r="C28" s="150"/>
      <c r="D28" s="148"/>
      <c r="E28" s="148"/>
      <c r="F28" s="148"/>
      <c r="G28" s="148"/>
      <c r="H28" s="147"/>
      <c r="I28" s="146"/>
      <c r="J28" s="149"/>
      <c r="K28" s="148"/>
      <c r="L28" s="148"/>
      <c r="M28" s="148"/>
      <c r="N28" s="148"/>
      <c r="O28" s="147"/>
      <c r="P28" s="146"/>
      <c r="Q28" s="149"/>
      <c r="R28" s="148"/>
      <c r="S28" s="148"/>
      <c r="T28" s="148"/>
      <c r="U28" s="148"/>
      <c r="V28" s="147"/>
      <c r="W28" s="146"/>
      <c r="X28" s="149"/>
      <c r="Y28" s="148"/>
      <c r="Z28" s="148"/>
      <c r="AA28" s="148"/>
      <c r="AB28" s="148"/>
      <c r="AC28" s="147"/>
      <c r="AD28" s="146"/>
      <c r="AE28" s="149"/>
      <c r="AF28" s="148"/>
      <c r="AG28" s="148"/>
      <c r="AH28" s="148"/>
      <c r="AI28" s="148"/>
      <c r="AJ28" s="147"/>
      <c r="AK28" s="146"/>
      <c r="AL28" s="148"/>
      <c r="AM28" s="148"/>
      <c r="AN28" s="148"/>
      <c r="AO28" s="148"/>
      <c r="AP28" s="148"/>
      <c r="AQ28" s="147"/>
      <c r="AR28" s="146"/>
      <c r="AS28" s="148"/>
      <c r="AT28" s="148"/>
      <c r="AU28" s="148"/>
      <c r="AV28" s="148"/>
      <c r="AW28" s="148"/>
      <c r="AX28" s="147"/>
      <c r="AY28" s="146"/>
      <c r="AZ28" s="235"/>
      <c r="BA28" s="198"/>
      <c r="BB28" s="203"/>
      <c r="BC28" s="155"/>
      <c r="BD28" s="199"/>
      <c r="BF28" s="155"/>
      <c r="BG28" s="155"/>
      <c r="BH28" s="155"/>
      <c r="BI28" s="155"/>
    </row>
    <row r="29" spans="2:61" ht="8.1" customHeight="1" x14ac:dyDescent="0.25">
      <c r="B29" s="234" t="s">
        <v>150</v>
      </c>
      <c r="C29" s="154"/>
      <c r="D29" s="153"/>
      <c r="E29" s="153"/>
      <c r="F29" s="153"/>
      <c r="G29" s="153"/>
      <c r="H29" s="152"/>
      <c r="I29" s="151"/>
      <c r="K29" s="153"/>
      <c r="L29" s="153"/>
      <c r="M29" s="153"/>
      <c r="N29" s="153"/>
      <c r="O29" s="152"/>
      <c r="P29" s="151"/>
      <c r="R29" s="153"/>
      <c r="S29" s="153"/>
      <c r="T29" s="153"/>
      <c r="U29" s="153"/>
      <c r="V29" s="152"/>
      <c r="W29" s="151"/>
      <c r="Y29" s="153"/>
      <c r="Z29" s="153"/>
      <c r="AA29" s="153"/>
      <c r="AB29" s="153"/>
      <c r="AC29" s="152"/>
      <c r="AD29" s="151"/>
      <c r="AF29" s="153"/>
      <c r="AG29" s="153"/>
      <c r="AH29" s="153"/>
      <c r="AI29" s="153"/>
      <c r="AJ29" s="152"/>
      <c r="AK29" s="151"/>
      <c r="AL29" s="153"/>
      <c r="AM29" s="153"/>
      <c r="AN29" s="153"/>
      <c r="AO29" s="153"/>
      <c r="AP29" s="153"/>
      <c r="AQ29" s="152"/>
      <c r="AR29" s="151"/>
      <c r="AS29" s="153"/>
      <c r="AT29" s="153"/>
      <c r="AU29" s="153"/>
      <c r="AV29" s="153"/>
      <c r="AW29" s="153"/>
      <c r="AX29" s="152"/>
      <c r="AY29" s="151"/>
      <c r="AZ29" s="234" t="s">
        <v>150</v>
      </c>
      <c r="BA29" s="198"/>
      <c r="BB29" s="203"/>
      <c r="BC29" s="155"/>
      <c r="BD29" s="199"/>
      <c r="BF29" s="155"/>
      <c r="BG29" s="155"/>
      <c r="BH29" s="155"/>
      <c r="BI29" s="155"/>
    </row>
    <row r="30" spans="2:61" ht="8.1" customHeight="1" x14ac:dyDescent="0.25">
      <c r="B30" s="235"/>
      <c r="C30" s="150"/>
      <c r="D30" s="148"/>
      <c r="E30" s="148"/>
      <c r="F30" s="148"/>
      <c r="G30" s="148"/>
      <c r="H30" s="147"/>
      <c r="I30" s="146"/>
      <c r="J30" s="149"/>
      <c r="K30" s="148"/>
      <c r="L30" s="148"/>
      <c r="M30" s="148"/>
      <c r="N30" s="148"/>
      <c r="O30" s="147"/>
      <c r="P30" s="146"/>
      <c r="Q30" s="149"/>
      <c r="R30" s="148"/>
      <c r="S30" s="148"/>
      <c r="T30" s="148"/>
      <c r="U30" s="148"/>
      <c r="V30" s="147"/>
      <c r="W30" s="146"/>
      <c r="X30" s="149"/>
      <c r="Y30" s="148"/>
      <c r="Z30" s="148"/>
      <c r="AA30" s="148"/>
      <c r="AB30" s="148"/>
      <c r="AC30" s="147"/>
      <c r="AD30" s="146"/>
      <c r="AE30" s="149"/>
      <c r="AF30" s="148"/>
      <c r="AG30" s="148"/>
      <c r="AH30" s="148"/>
      <c r="AI30" s="148"/>
      <c r="AJ30" s="147"/>
      <c r="AK30" s="146"/>
      <c r="AL30" s="148"/>
      <c r="AM30" s="148"/>
      <c r="AN30" s="148"/>
      <c r="AO30" s="148"/>
      <c r="AP30" s="148"/>
      <c r="AQ30" s="147"/>
      <c r="AR30" s="146"/>
      <c r="AS30" s="148"/>
      <c r="AT30" s="148"/>
      <c r="AU30" s="148"/>
      <c r="AV30" s="148"/>
      <c r="AW30" s="148"/>
      <c r="AX30" s="147"/>
      <c r="AY30" s="146"/>
      <c r="AZ30" s="235"/>
      <c r="BA30" s="198"/>
      <c r="BB30" s="203"/>
      <c r="BC30" s="155"/>
      <c r="BD30" s="199"/>
      <c r="BF30" s="155"/>
      <c r="BG30" s="155"/>
      <c r="BH30" s="155"/>
      <c r="BI30" s="155"/>
    </row>
    <row r="31" spans="2:61" ht="8.1" customHeight="1" x14ac:dyDescent="0.25">
      <c r="B31" s="234"/>
      <c r="C31" s="154"/>
      <c r="D31" s="153"/>
      <c r="E31" s="153"/>
      <c r="F31" s="153"/>
      <c r="G31" s="153"/>
      <c r="H31" s="152"/>
      <c r="I31" s="151"/>
      <c r="K31" s="153"/>
      <c r="L31" s="153"/>
      <c r="M31" s="153"/>
      <c r="N31" s="153"/>
      <c r="O31" s="152"/>
      <c r="P31" s="151"/>
      <c r="R31" s="153"/>
      <c r="S31" s="153"/>
      <c r="T31" s="153"/>
      <c r="U31" s="153"/>
      <c r="V31" s="152"/>
      <c r="W31" s="151"/>
      <c r="Y31" s="153"/>
      <c r="Z31" s="153"/>
      <c r="AA31" s="153"/>
      <c r="AB31" s="153"/>
      <c r="AC31" s="152"/>
      <c r="AD31" s="151"/>
      <c r="AF31" s="153"/>
      <c r="AG31" s="153"/>
      <c r="AH31" s="153"/>
      <c r="AI31" s="153"/>
      <c r="AJ31" s="152"/>
      <c r="AK31" s="151"/>
      <c r="AL31" s="153"/>
      <c r="AM31" s="153"/>
      <c r="AN31" s="153"/>
      <c r="AO31" s="153"/>
      <c r="AP31" s="153"/>
      <c r="AQ31" s="152"/>
      <c r="AR31" s="151"/>
      <c r="AS31" s="153"/>
      <c r="AT31" s="153"/>
      <c r="AU31" s="153"/>
      <c r="AV31" s="153"/>
      <c r="AW31" s="153"/>
      <c r="AX31" s="152"/>
      <c r="AY31" s="151"/>
      <c r="AZ31" s="234"/>
      <c r="BA31" s="198"/>
      <c r="BB31" s="155"/>
      <c r="BC31" s="155"/>
      <c r="BD31" s="199"/>
      <c r="BF31" s="155"/>
      <c r="BG31" s="155"/>
      <c r="BH31" s="155"/>
      <c r="BI31" s="155"/>
    </row>
    <row r="32" spans="2:61" ht="8.1" customHeight="1" x14ac:dyDescent="0.25">
      <c r="B32" s="235"/>
      <c r="C32" s="150"/>
      <c r="D32" s="148"/>
      <c r="E32" s="148"/>
      <c r="F32" s="148"/>
      <c r="G32" s="148"/>
      <c r="H32" s="147"/>
      <c r="I32" s="146"/>
      <c r="J32" s="149"/>
      <c r="K32" s="148"/>
      <c r="L32" s="148"/>
      <c r="M32" s="148"/>
      <c r="N32" s="148"/>
      <c r="O32" s="147"/>
      <c r="P32" s="146"/>
      <c r="Q32" s="149"/>
      <c r="R32" s="148"/>
      <c r="S32" s="148"/>
      <c r="T32" s="148"/>
      <c r="U32" s="148"/>
      <c r="V32" s="147"/>
      <c r="W32" s="146"/>
      <c r="X32" s="149"/>
      <c r="Y32" s="148"/>
      <c r="Z32" s="148"/>
      <c r="AA32" s="148"/>
      <c r="AB32" s="148"/>
      <c r="AC32" s="147"/>
      <c r="AD32" s="146"/>
      <c r="AE32" s="149"/>
      <c r="AF32" s="148"/>
      <c r="AG32" s="148"/>
      <c r="AH32" s="148"/>
      <c r="AI32" s="148"/>
      <c r="AJ32" s="147"/>
      <c r="AK32" s="146"/>
      <c r="AL32" s="148"/>
      <c r="AM32" s="148"/>
      <c r="AN32" s="148"/>
      <c r="AO32" s="148"/>
      <c r="AP32" s="148"/>
      <c r="AQ32" s="147"/>
      <c r="AR32" s="146"/>
      <c r="AS32" s="148"/>
      <c r="AT32" s="148"/>
      <c r="AU32" s="148"/>
      <c r="AV32" s="148"/>
      <c r="AW32" s="148"/>
      <c r="AX32" s="147"/>
      <c r="AY32" s="146"/>
      <c r="AZ32" s="235"/>
      <c r="BA32" s="198"/>
      <c r="BB32" s="155"/>
      <c r="BC32" s="155"/>
      <c r="BD32" s="199"/>
      <c r="BF32" s="155"/>
      <c r="BG32" s="155"/>
      <c r="BH32" s="155"/>
      <c r="BI32" s="155"/>
    </row>
    <row r="33" spans="2:61" ht="8.1" customHeight="1" x14ac:dyDescent="0.25">
      <c r="B33" s="234" t="s">
        <v>151</v>
      </c>
      <c r="C33" s="154"/>
      <c r="D33" s="153"/>
      <c r="E33" s="153"/>
      <c r="F33" s="153"/>
      <c r="G33" s="153"/>
      <c r="H33" s="152"/>
      <c r="I33" s="151"/>
      <c r="K33" s="153"/>
      <c r="L33" s="153"/>
      <c r="M33" s="153"/>
      <c r="N33" s="153"/>
      <c r="O33" s="152"/>
      <c r="P33" s="151"/>
      <c r="R33" s="153"/>
      <c r="S33" s="153"/>
      <c r="T33" s="153"/>
      <c r="U33" s="153"/>
      <c r="V33" s="152"/>
      <c r="W33" s="151"/>
      <c r="Y33" s="153"/>
      <c r="Z33" s="153"/>
      <c r="AA33" s="153"/>
      <c r="AB33" s="153"/>
      <c r="AC33" s="152"/>
      <c r="AD33" s="151"/>
      <c r="AF33" s="153"/>
      <c r="AG33" s="153"/>
      <c r="AH33" s="153"/>
      <c r="AI33" s="153"/>
      <c r="AJ33" s="152"/>
      <c r="AK33" s="151"/>
      <c r="AL33" s="153"/>
      <c r="AM33" s="153"/>
      <c r="AN33" s="153"/>
      <c r="AO33" s="153"/>
      <c r="AP33" s="153"/>
      <c r="AQ33" s="152"/>
      <c r="AR33" s="151"/>
      <c r="AS33" s="153"/>
      <c r="AT33" s="153"/>
      <c r="AU33" s="153"/>
      <c r="AV33" s="153"/>
      <c r="AW33" s="153"/>
      <c r="AX33" s="152"/>
      <c r="AY33" s="151"/>
      <c r="AZ33" s="234" t="s">
        <v>151</v>
      </c>
      <c r="BA33" s="198"/>
      <c r="BB33" s="155"/>
      <c r="BC33" s="155"/>
      <c r="BD33" s="199"/>
      <c r="BF33" s="155"/>
      <c r="BG33" s="155"/>
      <c r="BH33" s="155"/>
      <c r="BI33" s="155"/>
    </row>
    <row r="34" spans="2:61" ht="8.1" customHeight="1" x14ac:dyDescent="0.25">
      <c r="B34" s="235"/>
      <c r="C34" s="150"/>
      <c r="D34" s="148"/>
      <c r="E34" s="148"/>
      <c r="F34" s="148"/>
      <c r="G34" s="148"/>
      <c r="H34" s="147"/>
      <c r="I34" s="146"/>
      <c r="J34" s="149"/>
      <c r="K34" s="148"/>
      <c r="L34" s="148"/>
      <c r="M34" s="148"/>
      <c r="N34" s="148"/>
      <c r="O34" s="147"/>
      <c r="P34" s="146"/>
      <c r="Q34" s="149"/>
      <c r="R34" s="148"/>
      <c r="S34" s="148"/>
      <c r="T34" s="148"/>
      <c r="U34" s="148"/>
      <c r="V34" s="147"/>
      <c r="W34" s="146"/>
      <c r="X34" s="149"/>
      <c r="Y34" s="148"/>
      <c r="Z34" s="148"/>
      <c r="AA34" s="148"/>
      <c r="AB34" s="148"/>
      <c r="AC34" s="147"/>
      <c r="AD34" s="146"/>
      <c r="AE34" s="149"/>
      <c r="AF34" s="148"/>
      <c r="AG34" s="148"/>
      <c r="AH34" s="148"/>
      <c r="AI34" s="148"/>
      <c r="AJ34" s="147"/>
      <c r="AK34" s="146"/>
      <c r="AL34" s="148"/>
      <c r="AM34" s="148"/>
      <c r="AN34" s="148"/>
      <c r="AO34" s="148"/>
      <c r="AP34" s="148"/>
      <c r="AQ34" s="147"/>
      <c r="AR34" s="146"/>
      <c r="AS34" s="148"/>
      <c r="AT34" s="148"/>
      <c r="AU34" s="148"/>
      <c r="AV34" s="148"/>
      <c r="AW34" s="148"/>
      <c r="AX34" s="147"/>
      <c r="AY34" s="146"/>
      <c r="AZ34" s="235"/>
      <c r="BA34" s="198"/>
      <c r="BB34" s="155"/>
      <c r="BC34" s="155"/>
      <c r="BD34" s="199"/>
      <c r="BF34" s="155"/>
      <c r="BG34" s="155"/>
      <c r="BH34" s="155"/>
      <c r="BI34" s="155"/>
    </row>
    <row r="35" spans="2:61" ht="8.1" customHeight="1" x14ac:dyDescent="0.25">
      <c r="B35" s="234"/>
      <c r="C35" s="154"/>
      <c r="D35" s="153"/>
      <c r="E35" s="153"/>
      <c r="F35" s="153"/>
      <c r="G35" s="153"/>
      <c r="H35" s="152"/>
      <c r="I35" s="151"/>
      <c r="K35" s="153"/>
      <c r="L35" s="153"/>
      <c r="M35" s="153"/>
      <c r="N35" s="153"/>
      <c r="O35" s="152"/>
      <c r="P35" s="151"/>
      <c r="R35" s="153"/>
      <c r="S35" s="153"/>
      <c r="T35" s="153"/>
      <c r="U35" s="153"/>
      <c r="V35" s="152"/>
      <c r="W35" s="151"/>
      <c r="Y35" s="153"/>
      <c r="Z35" s="153"/>
      <c r="AA35" s="153"/>
      <c r="AB35" s="153"/>
      <c r="AC35" s="152"/>
      <c r="AD35" s="151"/>
      <c r="AF35" s="153"/>
      <c r="AG35" s="153"/>
      <c r="AH35" s="153"/>
      <c r="AI35" s="153"/>
      <c r="AJ35" s="152"/>
      <c r="AK35" s="151"/>
      <c r="AL35" s="153"/>
      <c r="AM35" s="153"/>
      <c r="AN35" s="153"/>
      <c r="AO35" s="153"/>
      <c r="AP35" s="153"/>
      <c r="AQ35" s="152"/>
      <c r="AR35" s="151"/>
      <c r="AS35" s="153"/>
      <c r="AT35" s="153"/>
      <c r="AU35" s="153"/>
      <c r="AV35" s="153"/>
      <c r="AW35" s="153"/>
      <c r="AX35" s="152"/>
      <c r="AY35" s="151"/>
      <c r="AZ35" s="234"/>
      <c r="BA35" s="198"/>
      <c r="BB35" s="155"/>
      <c r="BC35" s="155"/>
      <c r="BD35" s="199"/>
      <c r="BF35" s="155"/>
      <c r="BG35" s="155"/>
      <c r="BH35" s="155"/>
      <c r="BI35" s="155"/>
    </row>
    <row r="36" spans="2:61" ht="8.1" customHeight="1" x14ac:dyDescent="0.25">
      <c r="B36" s="235"/>
      <c r="C36" s="150"/>
      <c r="D36" s="148"/>
      <c r="E36" s="148"/>
      <c r="F36" s="148"/>
      <c r="G36" s="148"/>
      <c r="H36" s="147"/>
      <c r="I36" s="146"/>
      <c r="J36" s="149"/>
      <c r="K36" s="148"/>
      <c r="L36" s="148"/>
      <c r="M36" s="148"/>
      <c r="N36" s="148"/>
      <c r="O36" s="147"/>
      <c r="P36" s="146"/>
      <c r="Q36" s="149"/>
      <c r="R36" s="148"/>
      <c r="S36" s="148"/>
      <c r="T36" s="148"/>
      <c r="U36" s="148"/>
      <c r="V36" s="147"/>
      <c r="W36" s="146"/>
      <c r="X36" s="149"/>
      <c r="Y36" s="148"/>
      <c r="Z36" s="148"/>
      <c r="AA36" s="148"/>
      <c r="AB36" s="148"/>
      <c r="AC36" s="147"/>
      <c r="AD36" s="146"/>
      <c r="AE36" s="149"/>
      <c r="AF36" s="148"/>
      <c r="AG36" s="148"/>
      <c r="AH36" s="148"/>
      <c r="AI36" s="148"/>
      <c r="AJ36" s="147"/>
      <c r="AK36" s="146"/>
      <c r="AL36" s="148"/>
      <c r="AM36" s="148"/>
      <c r="AN36" s="148"/>
      <c r="AO36" s="148"/>
      <c r="AP36" s="148"/>
      <c r="AQ36" s="147"/>
      <c r="AR36" s="146"/>
      <c r="AS36" s="148"/>
      <c r="AT36" s="148"/>
      <c r="AU36" s="148"/>
      <c r="AV36" s="148"/>
      <c r="AW36" s="148"/>
      <c r="AX36" s="147"/>
      <c r="AY36" s="146"/>
      <c r="AZ36" s="235"/>
      <c r="BA36" s="198"/>
      <c r="BB36" s="155"/>
      <c r="BC36" s="155"/>
      <c r="BD36" s="199"/>
      <c r="BF36" s="155"/>
      <c r="BG36" s="155"/>
      <c r="BH36" s="155"/>
      <c r="BI36" s="155"/>
    </row>
    <row r="37" spans="2:61" ht="8.1" customHeight="1" x14ac:dyDescent="0.25">
      <c r="B37" s="234" t="s">
        <v>152</v>
      </c>
      <c r="C37" s="154"/>
      <c r="D37" s="153"/>
      <c r="E37" s="153"/>
      <c r="F37" s="153"/>
      <c r="G37" s="153"/>
      <c r="H37" s="152"/>
      <c r="I37" s="151"/>
      <c r="K37" s="153"/>
      <c r="L37" s="153"/>
      <c r="M37" s="153"/>
      <c r="N37" s="153"/>
      <c r="O37" s="152"/>
      <c r="P37" s="151"/>
      <c r="R37" s="153"/>
      <c r="S37" s="153"/>
      <c r="T37" s="153"/>
      <c r="U37" s="153"/>
      <c r="V37" s="152"/>
      <c r="W37" s="151"/>
      <c r="Y37" s="153"/>
      <c r="Z37" s="153"/>
      <c r="AA37" s="153"/>
      <c r="AB37" s="153"/>
      <c r="AC37" s="152"/>
      <c r="AD37" s="151"/>
      <c r="AF37" s="153"/>
      <c r="AG37" s="153"/>
      <c r="AH37" s="153"/>
      <c r="AI37" s="153"/>
      <c r="AJ37" s="152"/>
      <c r="AK37" s="151"/>
      <c r="AL37" s="153"/>
      <c r="AM37" s="153"/>
      <c r="AN37" s="153"/>
      <c r="AO37" s="153"/>
      <c r="AP37" s="153"/>
      <c r="AQ37" s="152"/>
      <c r="AR37" s="151"/>
      <c r="AS37" s="153"/>
      <c r="AT37" s="153"/>
      <c r="AU37" s="153"/>
      <c r="AV37" s="153"/>
      <c r="AW37" s="153"/>
      <c r="AX37" s="152"/>
      <c r="AY37" s="151"/>
      <c r="AZ37" s="234" t="s">
        <v>152</v>
      </c>
      <c r="BA37" s="198"/>
      <c r="BB37" s="155"/>
      <c r="BC37" s="155"/>
      <c r="BD37" s="199"/>
      <c r="BF37" s="155"/>
      <c r="BG37" s="155"/>
      <c r="BH37" s="155"/>
      <c r="BI37" s="155"/>
    </row>
    <row r="38" spans="2:61" ht="8.1" customHeight="1" x14ac:dyDescent="0.25">
      <c r="B38" s="235"/>
      <c r="C38" s="150"/>
      <c r="D38" s="148"/>
      <c r="E38" s="148"/>
      <c r="F38" s="148"/>
      <c r="G38" s="148"/>
      <c r="H38" s="147"/>
      <c r="I38" s="146"/>
      <c r="J38" s="149"/>
      <c r="K38" s="148"/>
      <c r="L38" s="148"/>
      <c r="M38" s="148"/>
      <c r="N38" s="148"/>
      <c r="O38" s="147"/>
      <c r="P38" s="146"/>
      <c r="Q38" s="149"/>
      <c r="R38" s="148"/>
      <c r="S38" s="148"/>
      <c r="T38" s="148"/>
      <c r="U38" s="148"/>
      <c r="V38" s="147"/>
      <c r="W38" s="146"/>
      <c r="X38" s="149"/>
      <c r="Y38" s="148"/>
      <c r="Z38" s="148"/>
      <c r="AA38" s="148"/>
      <c r="AB38" s="148"/>
      <c r="AC38" s="147"/>
      <c r="AD38" s="146"/>
      <c r="AE38" s="149"/>
      <c r="AF38" s="148"/>
      <c r="AG38" s="148"/>
      <c r="AH38" s="148"/>
      <c r="AI38" s="148"/>
      <c r="AJ38" s="147"/>
      <c r="AK38" s="146"/>
      <c r="AL38" s="148"/>
      <c r="AM38" s="148"/>
      <c r="AN38" s="148"/>
      <c r="AO38" s="148"/>
      <c r="AP38" s="148"/>
      <c r="AQ38" s="147"/>
      <c r="AR38" s="146"/>
      <c r="AS38" s="148"/>
      <c r="AT38" s="148"/>
      <c r="AU38" s="148"/>
      <c r="AV38" s="148"/>
      <c r="AW38" s="148"/>
      <c r="AX38" s="147"/>
      <c r="AY38" s="146"/>
      <c r="AZ38" s="235"/>
      <c r="BA38" s="198"/>
      <c r="BB38" s="155"/>
      <c r="BC38" s="155"/>
      <c r="BD38" s="199"/>
      <c r="BF38" s="155"/>
      <c r="BG38" s="155"/>
      <c r="BH38" s="155"/>
      <c r="BI38" s="155"/>
    </row>
    <row r="39" spans="2:61" ht="8.1" customHeight="1" x14ac:dyDescent="0.25">
      <c r="B39" s="234"/>
      <c r="C39" s="154"/>
      <c r="D39" s="153"/>
      <c r="E39" s="153"/>
      <c r="F39" s="153"/>
      <c r="G39" s="153"/>
      <c r="H39" s="152"/>
      <c r="I39" s="151"/>
      <c r="K39" s="153"/>
      <c r="L39" s="153"/>
      <c r="M39" s="153"/>
      <c r="N39" s="153"/>
      <c r="O39" s="152"/>
      <c r="P39" s="151"/>
      <c r="R39" s="153"/>
      <c r="S39" s="153"/>
      <c r="T39" s="153"/>
      <c r="U39" s="153"/>
      <c r="V39" s="152"/>
      <c r="W39" s="151"/>
      <c r="Y39" s="153"/>
      <c r="Z39" s="153"/>
      <c r="AA39" s="153"/>
      <c r="AB39" s="153"/>
      <c r="AC39" s="152"/>
      <c r="AD39" s="151"/>
      <c r="AF39" s="153"/>
      <c r="AG39" s="153"/>
      <c r="AH39" s="153"/>
      <c r="AI39" s="153"/>
      <c r="AJ39" s="152"/>
      <c r="AK39" s="151"/>
      <c r="AL39" s="153"/>
      <c r="AM39" s="153"/>
      <c r="AN39" s="153"/>
      <c r="AO39" s="153"/>
      <c r="AP39" s="153"/>
      <c r="AQ39" s="152"/>
      <c r="AR39" s="151"/>
      <c r="AS39" s="153"/>
      <c r="AT39" s="153"/>
      <c r="AU39" s="153"/>
      <c r="AV39" s="153"/>
      <c r="AW39" s="153"/>
      <c r="AX39" s="152"/>
      <c r="AY39" s="151"/>
      <c r="AZ39" s="234"/>
      <c r="BA39" s="198"/>
      <c r="BB39" s="155"/>
      <c r="BC39" s="155"/>
      <c r="BD39" s="199"/>
      <c r="BF39" s="155"/>
      <c r="BG39" s="155"/>
      <c r="BH39" s="155"/>
      <c r="BI39" s="155"/>
    </row>
    <row r="40" spans="2:61" ht="8.1" customHeight="1" x14ac:dyDescent="0.25">
      <c r="B40" s="235"/>
      <c r="C40" s="150"/>
      <c r="D40" s="148"/>
      <c r="E40" s="148"/>
      <c r="F40" s="148"/>
      <c r="G40" s="148"/>
      <c r="H40" s="147"/>
      <c r="I40" s="146"/>
      <c r="J40" s="149"/>
      <c r="K40" s="148"/>
      <c r="L40" s="148"/>
      <c r="M40" s="148"/>
      <c r="N40" s="148"/>
      <c r="O40" s="147"/>
      <c r="P40" s="146"/>
      <c r="Q40" s="149"/>
      <c r="R40" s="148"/>
      <c r="S40" s="148"/>
      <c r="T40" s="148"/>
      <c r="U40" s="148"/>
      <c r="V40" s="147"/>
      <c r="W40" s="146"/>
      <c r="X40" s="149"/>
      <c r="Y40" s="148"/>
      <c r="Z40" s="148"/>
      <c r="AA40" s="148"/>
      <c r="AB40" s="148"/>
      <c r="AC40" s="147"/>
      <c r="AD40" s="146"/>
      <c r="AE40" s="149"/>
      <c r="AF40" s="148"/>
      <c r="AG40" s="148"/>
      <c r="AH40" s="148"/>
      <c r="AI40" s="148"/>
      <c r="AJ40" s="147"/>
      <c r="AK40" s="146"/>
      <c r="AL40" s="148"/>
      <c r="AM40" s="148"/>
      <c r="AN40" s="148"/>
      <c r="AO40" s="148"/>
      <c r="AP40" s="148"/>
      <c r="AQ40" s="147"/>
      <c r="AR40" s="146"/>
      <c r="AS40" s="148"/>
      <c r="AT40" s="148"/>
      <c r="AU40" s="148"/>
      <c r="AV40" s="148"/>
      <c r="AW40" s="148"/>
      <c r="AX40" s="147"/>
      <c r="AY40" s="146"/>
      <c r="AZ40" s="235"/>
      <c r="BA40" s="198"/>
      <c r="BB40" s="155"/>
      <c r="BC40" s="155"/>
      <c r="BD40" s="199"/>
      <c r="BF40" s="155"/>
      <c r="BG40" s="155"/>
      <c r="BH40" s="155"/>
      <c r="BI40" s="155"/>
    </row>
    <row r="41" spans="2:61" ht="8.1" customHeight="1" x14ac:dyDescent="0.25">
      <c r="B41" s="234" t="s">
        <v>153</v>
      </c>
      <c r="C41" s="154"/>
      <c r="D41" s="153"/>
      <c r="E41" s="153"/>
      <c r="F41" s="153"/>
      <c r="G41" s="153"/>
      <c r="H41" s="152"/>
      <c r="I41" s="151"/>
      <c r="K41" s="153"/>
      <c r="L41" s="153"/>
      <c r="M41" s="153"/>
      <c r="N41" s="153"/>
      <c r="O41" s="152"/>
      <c r="P41" s="151"/>
      <c r="R41" s="153"/>
      <c r="S41" s="153"/>
      <c r="T41" s="153"/>
      <c r="U41" s="153"/>
      <c r="V41" s="152"/>
      <c r="W41" s="151"/>
      <c r="Y41" s="153"/>
      <c r="Z41" s="153"/>
      <c r="AA41" s="153"/>
      <c r="AB41" s="153"/>
      <c r="AC41" s="152"/>
      <c r="AD41" s="151"/>
      <c r="AF41" s="153"/>
      <c r="AG41" s="153"/>
      <c r="AH41" s="153"/>
      <c r="AI41" s="153"/>
      <c r="AJ41" s="152"/>
      <c r="AK41" s="151"/>
      <c r="AL41" s="153"/>
      <c r="AM41" s="153"/>
      <c r="AN41" s="153"/>
      <c r="AO41" s="153"/>
      <c r="AP41" s="153"/>
      <c r="AQ41" s="152"/>
      <c r="AR41" s="151"/>
      <c r="AS41" s="153"/>
      <c r="AT41" s="153"/>
      <c r="AU41" s="153"/>
      <c r="AV41" s="153"/>
      <c r="AW41" s="153"/>
      <c r="AX41" s="152"/>
      <c r="AY41" s="151"/>
      <c r="AZ41" s="234" t="s">
        <v>153</v>
      </c>
      <c r="BA41" s="198"/>
      <c r="BB41" s="155"/>
      <c r="BC41" s="155"/>
      <c r="BD41" s="199"/>
      <c r="BF41" s="155"/>
      <c r="BG41" s="155"/>
      <c r="BH41" s="155"/>
      <c r="BI41" s="155"/>
    </row>
    <row r="42" spans="2:61" ht="8.1" customHeight="1" x14ac:dyDescent="0.25">
      <c r="B42" s="235"/>
      <c r="C42" s="150"/>
      <c r="D42" s="148"/>
      <c r="E42" s="148"/>
      <c r="F42" s="148"/>
      <c r="G42" s="148"/>
      <c r="H42" s="147"/>
      <c r="I42" s="146"/>
      <c r="J42" s="149"/>
      <c r="K42" s="148"/>
      <c r="L42" s="148"/>
      <c r="M42" s="148"/>
      <c r="N42" s="148"/>
      <c r="O42" s="147"/>
      <c r="P42" s="146"/>
      <c r="Q42" s="149"/>
      <c r="R42" s="148"/>
      <c r="S42" s="148"/>
      <c r="T42" s="148"/>
      <c r="U42" s="148"/>
      <c r="V42" s="147"/>
      <c r="W42" s="146"/>
      <c r="X42" s="149"/>
      <c r="Y42" s="148"/>
      <c r="Z42" s="148"/>
      <c r="AA42" s="148"/>
      <c r="AB42" s="148"/>
      <c r="AC42" s="147"/>
      <c r="AD42" s="146"/>
      <c r="AE42" s="149"/>
      <c r="AF42" s="148"/>
      <c r="AG42" s="148"/>
      <c r="AH42" s="148"/>
      <c r="AI42" s="148"/>
      <c r="AJ42" s="147"/>
      <c r="AK42" s="146"/>
      <c r="AL42" s="148"/>
      <c r="AM42" s="148"/>
      <c r="AN42" s="148"/>
      <c r="AO42" s="148"/>
      <c r="AP42" s="148"/>
      <c r="AQ42" s="147"/>
      <c r="AR42" s="146"/>
      <c r="AS42" s="148"/>
      <c r="AT42" s="148"/>
      <c r="AU42" s="148"/>
      <c r="AV42" s="148"/>
      <c r="AW42" s="148"/>
      <c r="AX42" s="147"/>
      <c r="AY42" s="146"/>
      <c r="AZ42" s="235"/>
      <c r="BA42" s="198"/>
      <c r="BB42" s="155"/>
      <c r="BC42" s="155"/>
      <c r="BD42" s="199"/>
      <c r="BF42" s="155"/>
      <c r="BG42" s="155"/>
      <c r="BH42" s="155"/>
      <c r="BI42" s="155"/>
    </row>
    <row r="43" spans="2:61" ht="8.1" customHeight="1" x14ac:dyDescent="0.25">
      <c r="B43" s="234"/>
      <c r="C43" s="154"/>
      <c r="D43" s="153"/>
      <c r="E43" s="153"/>
      <c r="F43" s="153"/>
      <c r="G43" s="153"/>
      <c r="H43" s="152"/>
      <c r="I43" s="151"/>
      <c r="K43" s="153"/>
      <c r="L43" s="153"/>
      <c r="M43" s="153"/>
      <c r="N43" s="153"/>
      <c r="O43" s="152"/>
      <c r="P43" s="151"/>
      <c r="R43" s="153"/>
      <c r="S43" s="153"/>
      <c r="T43" s="153"/>
      <c r="U43" s="153"/>
      <c r="V43" s="152"/>
      <c r="W43" s="151"/>
      <c r="Y43" s="153"/>
      <c r="Z43" s="153"/>
      <c r="AA43" s="153"/>
      <c r="AB43" s="153"/>
      <c r="AC43" s="152"/>
      <c r="AD43" s="151"/>
      <c r="AF43" s="153"/>
      <c r="AG43" s="153"/>
      <c r="AH43" s="153"/>
      <c r="AI43" s="153"/>
      <c r="AJ43" s="152"/>
      <c r="AK43" s="151"/>
      <c r="AL43" s="153"/>
      <c r="AM43" s="153"/>
      <c r="AN43" s="153"/>
      <c r="AO43" s="153"/>
      <c r="AP43" s="153"/>
      <c r="AQ43" s="152"/>
      <c r="AR43" s="151"/>
      <c r="AS43" s="153"/>
      <c r="AT43" s="153"/>
      <c r="AU43" s="153"/>
      <c r="AV43" s="153"/>
      <c r="AW43" s="153"/>
      <c r="AX43" s="152"/>
      <c r="AY43" s="151"/>
      <c r="AZ43" s="234"/>
      <c r="BA43" s="198"/>
      <c r="BB43" s="155"/>
      <c r="BC43" s="155"/>
      <c r="BD43" s="199"/>
      <c r="BF43" s="155"/>
      <c r="BG43" s="155"/>
      <c r="BH43" s="155"/>
      <c r="BI43" s="155"/>
    </row>
    <row r="44" spans="2:61" ht="8.1" customHeight="1" x14ac:dyDescent="0.25">
      <c r="B44" s="235"/>
      <c r="C44" s="150"/>
      <c r="D44" s="148"/>
      <c r="E44" s="148"/>
      <c r="F44" s="148"/>
      <c r="G44" s="148"/>
      <c r="H44" s="147"/>
      <c r="I44" s="146"/>
      <c r="J44" s="149"/>
      <c r="K44" s="148"/>
      <c r="L44" s="148"/>
      <c r="M44" s="148"/>
      <c r="N44" s="148"/>
      <c r="O44" s="147"/>
      <c r="P44" s="146"/>
      <c r="Q44" s="149"/>
      <c r="R44" s="148"/>
      <c r="S44" s="148"/>
      <c r="T44" s="148"/>
      <c r="U44" s="148"/>
      <c r="V44" s="147"/>
      <c r="W44" s="146"/>
      <c r="X44" s="149"/>
      <c r="Y44" s="148"/>
      <c r="Z44" s="148"/>
      <c r="AA44" s="148"/>
      <c r="AB44" s="148"/>
      <c r="AC44" s="147"/>
      <c r="AD44" s="146"/>
      <c r="AE44" s="149"/>
      <c r="AF44" s="148"/>
      <c r="AG44" s="148"/>
      <c r="AH44" s="148"/>
      <c r="AI44" s="148"/>
      <c r="AJ44" s="147"/>
      <c r="AK44" s="146"/>
      <c r="AL44" s="148"/>
      <c r="AM44" s="148"/>
      <c r="AN44" s="148"/>
      <c r="AO44" s="148"/>
      <c r="AP44" s="148"/>
      <c r="AQ44" s="147"/>
      <c r="AR44" s="146"/>
      <c r="AS44" s="148"/>
      <c r="AT44" s="148"/>
      <c r="AU44" s="148"/>
      <c r="AV44" s="148"/>
      <c r="AW44" s="148"/>
      <c r="AX44" s="147"/>
      <c r="AY44" s="146"/>
      <c r="AZ44" s="235"/>
      <c r="BA44" s="198"/>
      <c r="BB44" s="155"/>
      <c r="BC44" s="155"/>
      <c r="BD44" s="199"/>
      <c r="BF44" s="155"/>
      <c r="BG44" s="155"/>
      <c r="BH44" s="155"/>
      <c r="BI44" s="155"/>
    </row>
    <row r="45" spans="2:61" ht="8.1" customHeight="1" x14ac:dyDescent="0.25">
      <c r="B45" s="234" t="s">
        <v>154</v>
      </c>
      <c r="C45" s="154"/>
      <c r="D45" s="153"/>
      <c r="E45" s="153"/>
      <c r="F45" s="153"/>
      <c r="G45" s="153"/>
      <c r="H45" s="152"/>
      <c r="I45" s="151"/>
      <c r="K45" s="153"/>
      <c r="L45" s="153"/>
      <c r="M45" s="153"/>
      <c r="N45" s="153"/>
      <c r="O45" s="152"/>
      <c r="P45" s="151"/>
      <c r="R45" s="153"/>
      <c r="S45" s="153"/>
      <c r="T45" s="153"/>
      <c r="U45" s="153"/>
      <c r="V45" s="152"/>
      <c r="W45" s="151"/>
      <c r="Y45" s="153"/>
      <c r="Z45" s="153"/>
      <c r="AA45" s="153"/>
      <c r="AB45" s="153"/>
      <c r="AC45" s="152"/>
      <c r="AD45" s="151"/>
      <c r="AF45" s="153"/>
      <c r="AG45" s="153"/>
      <c r="AH45" s="153"/>
      <c r="AI45" s="153"/>
      <c r="AJ45" s="152"/>
      <c r="AK45" s="151"/>
      <c r="AL45" s="153"/>
      <c r="AM45" s="153"/>
      <c r="AN45" s="153"/>
      <c r="AO45" s="153"/>
      <c r="AP45" s="153"/>
      <c r="AQ45" s="152"/>
      <c r="AR45" s="151"/>
      <c r="AS45" s="153"/>
      <c r="AT45" s="153"/>
      <c r="AU45" s="153"/>
      <c r="AV45" s="153"/>
      <c r="AW45" s="153"/>
      <c r="AX45" s="152"/>
      <c r="AY45" s="151"/>
      <c r="AZ45" s="234" t="s">
        <v>154</v>
      </c>
      <c r="BA45" s="198"/>
      <c r="BB45" s="155"/>
      <c r="BC45" s="155"/>
      <c r="BD45" s="199"/>
      <c r="BF45" s="155"/>
      <c r="BG45" s="155"/>
      <c r="BH45" s="155"/>
      <c r="BI45" s="155"/>
    </row>
    <row r="46" spans="2:61" ht="8.1" customHeight="1" x14ac:dyDescent="0.25">
      <c r="B46" s="235"/>
      <c r="C46" s="150"/>
      <c r="D46" s="148"/>
      <c r="E46" s="148"/>
      <c r="F46" s="148"/>
      <c r="G46" s="148"/>
      <c r="H46" s="147"/>
      <c r="I46" s="146"/>
      <c r="J46" s="149"/>
      <c r="K46" s="148"/>
      <c r="L46" s="148"/>
      <c r="M46" s="148"/>
      <c r="N46" s="148"/>
      <c r="O46" s="147"/>
      <c r="P46" s="146"/>
      <c r="Q46" s="149"/>
      <c r="R46" s="148"/>
      <c r="S46" s="148"/>
      <c r="T46" s="148"/>
      <c r="U46" s="148"/>
      <c r="V46" s="147"/>
      <c r="W46" s="146"/>
      <c r="X46" s="149"/>
      <c r="Y46" s="148"/>
      <c r="Z46" s="148"/>
      <c r="AA46" s="148"/>
      <c r="AB46" s="148"/>
      <c r="AC46" s="147"/>
      <c r="AD46" s="146"/>
      <c r="AE46" s="149"/>
      <c r="AF46" s="148"/>
      <c r="AG46" s="148"/>
      <c r="AH46" s="148"/>
      <c r="AI46" s="148"/>
      <c r="AJ46" s="147"/>
      <c r="AK46" s="146"/>
      <c r="AL46" s="148"/>
      <c r="AM46" s="148"/>
      <c r="AN46" s="148"/>
      <c r="AO46" s="148"/>
      <c r="AP46" s="148"/>
      <c r="AQ46" s="147"/>
      <c r="AR46" s="146"/>
      <c r="AS46" s="148"/>
      <c r="AT46" s="148"/>
      <c r="AU46" s="148"/>
      <c r="AV46" s="148"/>
      <c r="AW46" s="148"/>
      <c r="AX46" s="147"/>
      <c r="AY46" s="146"/>
      <c r="AZ46" s="235"/>
      <c r="BA46" s="198"/>
      <c r="BB46" s="155"/>
      <c r="BC46" s="155"/>
      <c r="BD46" s="199"/>
      <c r="BF46" s="155"/>
      <c r="BG46" s="155"/>
      <c r="BH46" s="155"/>
      <c r="BI46" s="155"/>
    </row>
    <row r="47" spans="2:61" ht="8.1" customHeight="1" x14ac:dyDescent="0.25">
      <c r="B47" s="234"/>
      <c r="C47" s="154"/>
      <c r="D47" s="153"/>
      <c r="E47" s="153"/>
      <c r="F47" s="153"/>
      <c r="G47" s="153"/>
      <c r="H47" s="152"/>
      <c r="I47" s="151"/>
      <c r="K47" s="153"/>
      <c r="L47" s="153"/>
      <c r="M47" s="153"/>
      <c r="N47" s="153"/>
      <c r="O47" s="152"/>
      <c r="P47" s="151"/>
      <c r="R47" s="153"/>
      <c r="S47" s="153"/>
      <c r="T47" s="153"/>
      <c r="U47" s="153"/>
      <c r="V47" s="152"/>
      <c r="W47" s="151"/>
      <c r="Y47" s="153"/>
      <c r="Z47" s="153"/>
      <c r="AA47" s="153"/>
      <c r="AB47" s="153"/>
      <c r="AC47" s="152"/>
      <c r="AD47" s="151"/>
      <c r="AF47" s="153"/>
      <c r="AG47" s="153"/>
      <c r="AH47" s="153"/>
      <c r="AI47" s="153"/>
      <c r="AJ47" s="152"/>
      <c r="AK47" s="151"/>
      <c r="AL47" s="153"/>
      <c r="AM47" s="153"/>
      <c r="AN47" s="153"/>
      <c r="AO47" s="153"/>
      <c r="AP47" s="153"/>
      <c r="AQ47" s="152"/>
      <c r="AR47" s="151"/>
      <c r="AS47" s="153"/>
      <c r="AT47" s="153"/>
      <c r="AU47" s="153"/>
      <c r="AV47" s="153"/>
      <c r="AW47" s="153"/>
      <c r="AX47" s="152"/>
      <c r="AY47" s="151"/>
      <c r="AZ47" s="234"/>
      <c r="BA47" s="198"/>
      <c r="BB47" s="155"/>
      <c r="BC47" s="155"/>
      <c r="BD47" s="199"/>
      <c r="BF47" s="155"/>
      <c r="BG47" s="155"/>
      <c r="BH47" s="155"/>
      <c r="BI47" s="155"/>
    </row>
    <row r="48" spans="2:61" ht="8.1" customHeight="1" x14ac:dyDescent="0.25">
      <c r="B48" s="235"/>
      <c r="C48" s="150"/>
      <c r="D48" s="148"/>
      <c r="E48" s="148"/>
      <c r="F48" s="148"/>
      <c r="G48" s="148"/>
      <c r="H48" s="147"/>
      <c r="I48" s="146"/>
      <c r="J48" s="149"/>
      <c r="K48" s="148"/>
      <c r="L48" s="148"/>
      <c r="M48" s="148"/>
      <c r="N48" s="148"/>
      <c r="O48" s="147"/>
      <c r="P48" s="146"/>
      <c r="Q48" s="149"/>
      <c r="R48" s="148"/>
      <c r="S48" s="148"/>
      <c r="T48" s="148"/>
      <c r="U48" s="148"/>
      <c r="V48" s="147"/>
      <c r="W48" s="146"/>
      <c r="X48" s="149"/>
      <c r="Y48" s="148"/>
      <c r="Z48" s="148"/>
      <c r="AA48" s="148"/>
      <c r="AB48" s="148"/>
      <c r="AC48" s="147"/>
      <c r="AD48" s="146"/>
      <c r="AE48" s="149"/>
      <c r="AF48" s="148"/>
      <c r="AG48" s="148"/>
      <c r="AH48" s="148"/>
      <c r="AI48" s="148"/>
      <c r="AJ48" s="147"/>
      <c r="AK48" s="146"/>
      <c r="AL48" s="148"/>
      <c r="AM48" s="148"/>
      <c r="AN48" s="148"/>
      <c r="AO48" s="148"/>
      <c r="AP48" s="148"/>
      <c r="AQ48" s="147"/>
      <c r="AR48" s="146"/>
      <c r="AS48" s="148"/>
      <c r="AT48" s="148"/>
      <c r="AU48" s="148"/>
      <c r="AV48" s="148"/>
      <c r="AW48" s="148"/>
      <c r="AX48" s="147"/>
      <c r="AY48" s="146"/>
      <c r="AZ48" s="235"/>
      <c r="BA48" s="198"/>
      <c r="BB48" s="155"/>
      <c r="BC48" s="155"/>
      <c r="BD48" s="199"/>
      <c r="BF48" s="155"/>
      <c r="BG48" s="155"/>
      <c r="BH48" s="155"/>
      <c r="BI48" s="155"/>
    </row>
    <row r="49" spans="1:62" ht="8.1" customHeight="1" x14ac:dyDescent="0.25">
      <c r="B49" s="234" t="s">
        <v>155</v>
      </c>
      <c r="C49" s="154"/>
      <c r="D49" s="153"/>
      <c r="E49" s="153"/>
      <c r="F49" s="153"/>
      <c r="G49" s="153"/>
      <c r="H49" s="152"/>
      <c r="I49" s="151"/>
      <c r="K49" s="153"/>
      <c r="L49" s="153"/>
      <c r="M49" s="153"/>
      <c r="N49" s="153"/>
      <c r="O49" s="152"/>
      <c r="P49" s="151"/>
      <c r="R49" s="153"/>
      <c r="S49" s="153"/>
      <c r="T49" s="153"/>
      <c r="U49" s="153"/>
      <c r="V49" s="152"/>
      <c r="W49" s="151"/>
      <c r="Y49" s="153"/>
      <c r="Z49" s="153"/>
      <c r="AA49" s="153"/>
      <c r="AB49" s="153"/>
      <c r="AC49" s="152"/>
      <c r="AD49" s="151"/>
      <c r="AF49" s="153"/>
      <c r="AG49" s="153"/>
      <c r="AH49" s="153"/>
      <c r="AI49" s="153"/>
      <c r="AJ49" s="152"/>
      <c r="AK49" s="151"/>
      <c r="AL49" s="153"/>
      <c r="AM49" s="153"/>
      <c r="AN49" s="153"/>
      <c r="AO49" s="153"/>
      <c r="AP49" s="153"/>
      <c r="AQ49" s="152"/>
      <c r="AR49" s="151"/>
      <c r="AS49" s="153"/>
      <c r="AT49" s="153"/>
      <c r="AU49" s="153"/>
      <c r="AV49" s="153"/>
      <c r="AW49" s="153"/>
      <c r="AX49" s="152"/>
      <c r="AY49" s="151"/>
      <c r="AZ49" s="234" t="s">
        <v>155</v>
      </c>
      <c r="BA49" s="198"/>
      <c r="BB49" s="155"/>
      <c r="BC49" s="155"/>
      <c r="BD49" s="199"/>
      <c r="BF49" s="155"/>
      <c r="BG49" s="266"/>
      <c r="BH49" s="266"/>
      <c r="BI49" s="266"/>
      <c r="BJ49" s="266"/>
    </row>
    <row r="50" spans="1:62" ht="8.1" customHeight="1" x14ac:dyDescent="0.25">
      <c r="B50" s="235"/>
      <c r="C50" s="150"/>
      <c r="D50" s="148"/>
      <c r="E50" s="148"/>
      <c r="F50" s="148"/>
      <c r="G50" s="148"/>
      <c r="H50" s="147"/>
      <c r="I50" s="146"/>
      <c r="J50" s="149"/>
      <c r="K50" s="148"/>
      <c r="L50" s="148"/>
      <c r="M50" s="148"/>
      <c r="N50" s="148"/>
      <c r="O50" s="147"/>
      <c r="P50" s="146"/>
      <c r="Q50" s="149"/>
      <c r="R50" s="148"/>
      <c r="S50" s="148"/>
      <c r="T50" s="148"/>
      <c r="U50" s="148"/>
      <c r="V50" s="147"/>
      <c r="W50" s="146"/>
      <c r="X50" s="149"/>
      <c r="Y50" s="148"/>
      <c r="Z50" s="148"/>
      <c r="AA50" s="148"/>
      <c r="AB50" s="148"/>
      <c r="AC50" s="147"/>
      <c r="AD50" s="146"/>
      <c r="AE50" s="149"/>
      <c r="AF50" s="148"/>
      <c r="AG50" s="148"/>
      <c r="AH50" s="148"/>
      <c r="AI50" s="148"/>
      <c r="AJ50" s="147"/>
      <c r="AK50" s="146"/>
      <c r="AL50" s="148"/>
      <c r="AM50" s="148"/>
      <c r="AN50" s="148"/>
      <c r="AO50" s="148"/>
      <c r="AP50" s="148"/>
      <c r="AQ50" s="147"/>
      <c r="AR50" s="146"/>
      <c r="AS50" s="148"/>
      <c r="AT50" s="148"/>
      <c r="AU50" s="148"/>
      <c r="AV50" s="148"/>
      <c r="AW50" s="148"/>
      <c r="AX50" s="147"/>
      <c r="AY50" s="146"/>
      <c r="AZ50" s="235"/>
      <c r="BA50" s="198"/>
      <c r="BB50" s="155"/>
      <c r="BC50" s="155"/>
      <c r="BD50" s="199"/>
      <c r="BE50" s="245"/>
      <c r="BF50" s="155"/>
      <c r="BG50" s="266"/>
      <c r="BH50" s="266"/>
      <c r="BI50" s="266"/>
      <c r="BJ50" s="266"/>
    </row>
    <row r="51" spans="1:62" ht="8.1" customHeight="1" x14ac:dyDescent="0.25">
      <c r="B51" s="234"/>
      <c r="C51" s="154"/>
      <c r="D51" s="153"/>
      <c r="E51" s="153"/>
      <c r="F51" s="153"/>
      <c r="G51" s="153"/>
      <c r="H51" s="152"/>
      <c r="I51" s="151"/>
      <c r="K51" s="153"/>
      <c r="L51" s="153"/>
      <c r="M51" s="153"/>
      <c r="N51" s="153"/>
      <c r="O51" s="152"/>
      <c r="P51" s="151"/>
      <c r="R51" s="153"/>
      <c r="S51" s="153"/>
      <c r="T51" s="153"/>
      <c r="U51" s="153"/>
      <c r="V51" s="152"/>
      <c r="W51" s="151"/>
      <c r="Y51" s="153"/>
      <c r="Z51" s="153"/>
      <c r="AA51" s="153"/>
      <c r="AB51" s="153"/>
      <c r="AC51" s="152"/>
      <c r="AD51" s="151"/>
      <c r="AF51" s="153"/>
      <c r="AG51" s="153"/>
      <c r="AH51" s="153"/>
      <c r="AI51" s="153"/>
      <c r="AJ51" s="152"/>
      <c r="AK51" s="151"/>
      <c r="AL51" s="153"/>
      <c r="AM51" s="153"/>
      <c r="AN51" s="153"/>
      <c r="AO51" s="153"/>
      <c r="AP51" s="153"/>
      <c r="AQ51" s="152"/>
      <c r="AR51" s="151"/>
      <c r="AS51" s="153"/>
      <c r="AT51" s="153"/>
      <c r="AU51" s="153"/>
      <c r="AV51" s="153"/>
      <c r="AW51" s="153"/>
      <c r="AX51" s="152"/>
      <c r="AY51" s="151"/>
      <c r="AZ51" s="234"/>
      <c r="BA51" s="198"/>
      <c r="BB51" s="155"/>
      <c r="BC51" s="155"/>
      <c r="BD51" s="199"/>
      <c r="BE51" s="245"/>
      <c r="BF51" s="155"/>
      <c r="BG51" s="266"/>
      <c r="BH51" s="266"/>
      <c r="BI51" s="266"/>
      <c r="BJ51" s="266"/>
    </row>
    <row r="52" spans="1:62" ht="8.1" customHeight="1" x14ac:dyDescent="0.25">
      <c r="B52" s="235"/>
      <c r="C52" s="150"/>
      <c r="D52" s="148"/>
      <c r="E52" s="148"/>
      <c r="F52" s="148"/>
      <c r="G52" s="148"/>
      <c r="H52" s="147"/>
      <c r="I52" s="146"/>
      <c r="J52" s="149"/>
      <c r="K52" s="148"/>
      <c r="L52" s="148"/>
      <c r="M52" s="148"/>
      <c r="N52" s="148"/>
      <c r="O52" s="147"/>
      <c r="P52" s="146"/>
      <c r="Q52" s="149"/>
      <c r="R52" s="148"/>
      <c r="S52" s="148"/>
      <c r="T52" s="148"/>
      <c r="U52" s="148"/>
      <c r="V52" s="147"/>
      <c r="W52" s="146"/>
      <c r="X52" s="149"/>
      <c r="Y52" s="148"/>
      <c r="Z52" s="148"/>
      <c r="AA52" s="148"/>
      <c r="AB52" s="148"/>
      <c r="AC52" s="147"/>
      <c r="AD52" s="146"/>
      <c r="AE52" s="149"/>
      <c r="AF52" s="148"/>
      <c r="AG52" s="148"/>
      <c r="AH52" s="148"/>
      <c r="AI52" s="148"/>
      <c r="AJ52" s="147"/>
      <c r="AK52" s="146"/>
      <c r="AL52" s="148"/>
      <c r="AM52" s="148"/>
      <c r="AN52" s="148"/>
      <c r="AO52" s="148"/>
      <c r="AP52" s="148"/>
      <c r="AQ52" s="147"/>
      <c r="AR52" s="146"/>
      <c r="AS52" s="148"/>
      <c r="AT52" s="148"/>
      <c r="AU52" s="148"/>
      <c r="AV52" s="148"/>
      <c r="AW52" s="148"/>
      <c r="AX52" s="147"/>
      <c r="AY52" s="146"/>
      <c r="AZ52" s="235"/>
      <c r="BA52" s="198"/>
      <c r="BB52" s="155"/>
      <c r="BC52" s="155"/>
      <c r="BD52" s="199"/>
      <c r="BF52" s="155"/>
      <c r="BG52" s="266"/>
      <c r="BH52" s="266"/>
      <c r="BI52" s="266"/>
      <c r="BJ52" s="266"/>
    </row>
    <row r="53" spans="1:62" ht="8.1" customHeight="1" x14ac:dyDescent="0.25">
      <c r="B53" s="234" t="s">
        <v>156</v>
      </c>
      <c r="C53" s="154"/>
      <c r="D53" s="153"/>
      <c r="E53" s="153"/>
      <c r="F53" s="153"/>
      <c r="G53" s="153"/>
      <c r="H53" s="152"/>
      <c r="I53" s="151"/>
      <c r="K53" s="153"/>
      <c r="L53" s="153"/>
      <c r="M53" s="153"/>
      <c r="N53" s="153"/>
      <c r="O53" s="152"/>
      <c r="P53" s="151"/>
      <c r="R53" s="153"/>
      <c r="S53" s="153"/>
      <c r="T53" s="153"/>
      <c r="U53" s="153"/>
      <c r="V53" s="152"/>
      <c r="W53" s="151"/>
      <c r="Y53" s="153"/>
      <c r="Z53" s="153"/>
      <c r="AA53" s="153"/>
      <c r="AB53" s="153"/>
      <c r="AC53" s="152"/>
      <c r="AD53" s="151"/>
      <c r="AF53" s="153"/>
      <c r="AG53" s="153"/>
      <c r="AH53" s="153"/>
      <c r="AI53" s="153"/>
      <c r="AJ53" s="152"/>
      <c r="AK53" s="151"/>
      <c r="AL53" s="153"/>
      <c r="AM53" s="153"/>
      <c r="AN53" s="153"/>
      <c r="AO53" s="153"/>
      <c r="AP53" s="153"/>
      <c r="AQ53" s="152"/>
      <c r="AR53" s="151"/>
      <c r="AS53" s="153"/>
      <c r="AT53" s="153"/>
      <c r="AU53" s="153"/>
      <c r="AV53" s="153"/>
      <c r="AW53" s="153"/>
      <c r="AX53" s="152"/>
      <c r="AY53" s="151"/>
      <c r="AZ53" s="234" t="s">
        <v>156</v>
      </c>
      <c r="BA53" s="198"/>
      <c r="BB53" s="155"/>
      <c r="BC53" s="155"/>
      <c r="BD53" s="199"/>
      <c r="BF53" s="155"/>
      <c r="BG53" s="266"/>
      <c r="BH53" s="266"/>
      <c r="BI53" s="266"/>
      <c r="BJ53" s="266"/>
    </row>
    <row r="54" spans="1:62" ht="8.1" customHeight="1" x14ac:dyDescent="0.25">
      <c r="B54" s="235"/>
      <c r="C54" s="150"/>
      <c r="D54" s="148"/>
      <c r="E54" s="148"/>
      <c r="F54" s="148"/>
      <c r="G54" s="148"/>
      <c r="H54" s="147"/>
      <c r="I54" s="146"/>
      <c r="J54" s="149"/>
      <c r="K54" s="148"/>
      <c r="L54" s="148"/>
      <c r="M54" s="148"/>
      <c r="N54" s="148"/>
      <c r="O54" s="147"/>
      <c r="P54" s="146"/>
      <c r="Q54" s="149"/>
      <c r="R54" s="148"/>
      <c r="S54" s="148"/>
      <c r="T54" s="148"/>
      <c r="U54" s="148"/>
      <c r="V54" s="147"/>
      <c r="W54" s="146"/>
      <c r="X54" s="149"/>
      <c r="Y54" s="148"/>
      <c r="Z54" s="148"/>
      <c r="AA54" s="148"/>
      <c r="AB54" s="148"/>
      <c r="AC54" s="147"/>
      <c r="AD54" s="146"/>
      <c r="AE54" s="149"/>
      <c r="AF54" s="148"/>
      <c r="AG54" s="148"/>
      <c r="AH54" s="148"/>
      <c r="AI54" s="148"/>
      <c r="AJ54" s="147"/>
      <c r="AK54" s="146"/>
      <c r="AL54" s="148"/>
      <c r="AM54" s="148"/>
      <c r="AN54" s="148"/>
      <c r="AO54" s="148"/>
      <c r="AP54" s="148"/>
      <c r="AQ54" s="147"/>
      <c r="AR54" s="146"/>
      <c r="AS54" s="148"/>
      <c r="AT54" s="148"/>
      <c r="AU54" s="148"/>
      <c r="AV54" s="148"/>
      <c r="AW54" s="148"/>
      <c r="AX54" s="147"/>
      <c r="AY54" s="146"/>
      <c r="AZ54" s="235"/>
      <c r="BA54" s="198"/>
      <c r="BB54" s="155"/>
      <c r="BC54" s="155"/>
      <c r="BD54" s="199"/>
      <c r="BF54" s="155"/>
      <c r="BG54" s="266"/>
      <c r="BH54" s="266"/>
      <c r="BI54" s="266"/>
      <c r="BJ54" s="266"/>
    </row>
    <row r="55" spans="1:62" ht="8.1" customHeight="1" x14ac:dyDescent="0.25">
      <c r="B55" s="234"/>
      <c r="C55" s="154"/>
      <c r="D55" s="153"/>
      <c r="E55" s="153"/>
      <c r="F55" s="153"/>
      <c r="G55" s="153"/>
      <c r="H55" s="152"/>
      <c r="I55" s="151"/>
      <c r="K55" s="153"/>
      <c r="L55" s="153"/>
      <c r="M55" s="153"/>
      <c r="N55" s="153"/>
      <c r="O55" s="152"/>
      <c r="P55" s="151"/>
      <c r="R55" s="153"/>
      <c r="S55" s="153"/>
      <c r="T55" s="153"/>
      <c r="U55" s="153"/>
      <c r="V55" s="152"/>
      <c r="W55" s="151"/>
      <c r="Y55" s="153"/>
      <c r="Z55" s="153"/>
      <c r="AA55" s="153"/>
      <c r="AB55" s="153"/>
      <c r="AC55" s="152"/>
      <c r="AD55" s="151"/>
      <c r="AF55" s="153"/>
      <c r="AG55" s="153"/>
      <c r="AH55" s="153"/>
      <c r="AI55" s="153"/>
      <c r="AJ55" s="152"/>
      <c r="AK55" s="151"/>
      <c r="AL55" s="153"/>
      <c r="AM55" s="153"/>
      <c r="AN55" s="153"/>
      <c r="AO55" s="153"/>
      <c r="AP55" s="153"/>
      <c r="AQ55" s="152"/>
      <c r="AR55" s="151"/>
      <c r="AS55" s="153"/>
      <c r="AT55" s="153"/>
      <c r="AU55" s="153"/>
      <c r="AV55" s="153"/>
      <c r="AW55" s="153"/>
      <c r="AX55" s="152"/>
      <c r="AY55" s="151"/>
      <c r="AZ55" s="234"/>
      <c r="BA55" s="198"/>
      <c r="BB55" s="155"/>
      <c r="BC55" s="155"/>
      <c r="BD55" s="199"/>
      <c r="BF55" s="155"/>
      <c r="BG55" s="266"/>
      <c r="BH55" s="266"/>
      <c r="BI55" s="266"/>
      <c r="BJ55" s="266"/>
    </row>
    <row r="56" spans="1:62" ht="8.1" customHeight="1" x14ac:dyDescent="0.25">
      <c r="A56" s="157"/>
      <c r="B56" s="235"/>
      <c r="C56" s="150"/>
      <c r="D56" s="148"/>
      <c r="E56" s="148"/>
      <c r="F56" s="148"/>
      <c r="G56" s="148"/>
      <c r="H56" s="147"/>
      <c r="I56" s="146"/>
      <c r="J56" s="149"/>
      <c r="K56" s="148"/>
      <c r="L56" s="148"/>
      <c r="M56" s="148"/>
      <c r="N56" s="148"/>
      <c r="O56" s="147"/>
      <c r="P56" s="146"/>
      <c r="Q56" s="149"/>
      <c r="R56" s="148"/>
      <c r="S56" s="148"/>
      <c r="T56" s="148"/>
      <c r="U56" s="148"/>
      <c r="V56" s="147"/>
      <c r="W56" s="146"/>
      <c r="X56" s="149"/>
      <c r="Y56" s="148"/>
      <c r="Z56" s="148"/>
      <c r="AA56" s="148"/>
      <c r="AB56" s="148"/>
      <c r="AC56" s="147"/>
      <c r="AD56" s="146"/>
      <c r="AE56" s="149"/>
      <c r="AF56" s="148"/>
      <c r="AG56" s="148"/>
      <c r="AH56" s="148"/>
      <c r="AI56" s="148"/>
      <c r="AJ56" s="147"/>
      <c r="AK56" s="146"/>
      <c r="AL56" s="148"/>
      <c r="AM56" s="148"/>
      <c r="AN56" s="148"/>
      <c r="AO56" s="148"/>
      <c r="AP56" s="148"/>
      <c r="AQ56" s="147"/>
      <c r="AR56" s="146"/>
      <c r="AS56" s="148"/>
      <c r="AT56" s="148"/>
      <c r="AU56" s="148"/>
      <c r="AV56" s="148"/>
      <c r="AW56" s="148"/>
      <c r="AX56" s="147"/>
      <c r="AY56" s="146"/>
      <c r="AZ56" s="235"/>
      <c r="BA56" s="198"/>
      <c r="BB56" s="155"/>
      <c r="BC56" s="155"/>
      <c r="BD56" s="199"/>
      <c r="BF56" s="155"/>
      <c r="BG56" s="266"/>
      <c r="BH56" s="266"/>
      <c r="BI56" s="266"/>
      <c r="BJ56" s="266"/>
    </row>
    <row r="57" spans="1:62" ht="8.1" customHeight="1" x14ac:dyDescent="0.25">
      <c r="B57" s="234" t="s">
        <v>157</v>
      </c>
      <c r="C57" s="154"/>
      <c r="D57" s="153"/>
      <c r="E57" s="153"/>
      <c r="F57" s="153"/>
      <c r="G57" s="153"/>
      <c r="H57" s="152"/>
      <c r="I57" s="151"/>
      <c r="K57" s="153"/>
      <c r="L57" s="153"/>
      <c r="M57" s="153"/>
      <c r="N57" s="153"/>
      <c r="O57" s="152"/>
      <c r="P57" s="151"/>
      <c r="R57" s="153"/>
      <c r="S57" s="153"/>
      <c r="T57" s="153"/>
      <c r="U57" s="153"/>
      <c r="V57" s="152"/>
      <c r="W57" s="151"/>
      <c r="Y57" s="153"/>
      <c r="Z57" s="153"/>
      <c r="AA57" s="153"/>
      <c r="AB57" s="153"/>
      <c r="AC57" s="152"/>
      <c r="AD57" s="151"/>
      <c r="AF57" s="153"/>
      <c r="AG57" s="153"/>
      <c r="AH57" s="153"/>
      <c r="AI57" s="153"/>
      <c r="AJ57" s="152"/>
      <c r="AK57" s="151"/>
      <c r="AL57" s="153"/>
      <c r="AM57" s="153"/>
      <c r="AN57" s="153"/>
      <c r="AO57" s="153"/>
      <c r="AP57" s="153"/>
      <c r="AQ57" s="152"/>
      <c r="AR57" s="151"/>
      <c r="AS57" s="153"/>
      <c r="AT57" s="153"/>
      <c r="AU57" s="153"/>
      <c r="AV57" s="153"/>
      <c r="AW57" s="153"/>
      <c r="AX57" s="152"/>
      <c r="AY57" s="151"/>
      <c r="AZ57" s="234" t="s">
        <v>157</v>
      </c>
      <c r="BA57" s="198"/>
      <c r="BB57" s="155"/>
      <c r="BC57" s="155"/>
      <c r="BD57" s="199"/>
      <c r="BF57" s="155"/>
      <c r="BG57" s="266"/>
      <c r="BH57" s="266"/>
      <c r="BI57" s="266"/>
      <c r="BJ57" s="266"/>
    </row>
    <row r="58" spans="1:62" ht="8.1" customHeight="1" x14ac:dyDescent="0.25">
      <c r="B58" s="235"/>
      <c r="C58" s="150"/>
      <c r="D58" s="148"/>
      <c r="E58" s="148"/>
      <c r="F58" s="148"/>
      <c r="G58" s="148"/>
      <c r="H58" s="147"/>
      <c r="I58" s="146"/>
      <c r="J58" s="149"/>
      <c r="K58" s="148"/>
      <c r="L58" s="148"/>
      <c r="M58" s="148"/>
      <c r="N58" s="148"/>
      <c r="O58" s="147"/>
      <c r="P58" s="146"/>
      <c r="Q58" s="149"/>
      <c r="R58" s="148"/>
      <c r="S58" s="148"/>
      <c r="T58" s="148"/>
      <c r="U58" s="148"/>
      <c r="V58" s="147"/>
      <c r="W58" s="146"/>
      <c r="X58" s="149"/>
      <c r="Y58" s="148"/>
      <c r="Z58" s="148"/>
      <c r="AA58" s="148"/>
      <c r="AB58" s="148"/>
      <c r="AC58" s="147"/>
      <c r="AD58" s="146"/>
      <c r="AE58" s="149"/>
      <c r="AF58" s="148"/>
      <c r="AG58" s="148"/>
      <c r="AH58" s="148"/>
      <c r="AI58" s="148"/>
      <c r="AJ58" s="147"/>
      <c r="AK58" s="146"/>
      <c r="AL58" s="148"/>
      <c r="AM58" s="148"/>
      <c r="AN58" s="148"/>
      <c r="AO58" s="148"/>
      <c r="AP58" s="148"/>
      <c r="AQ58" s="147"/>
      <c r="AR58" s="146"/>
      <c r="AS58" s="148"/>
      <c r="AT58" s="148"/>
      <c r="AU58" s="148"/>
      <c r="AV58" s="148"/>
      <c r="AW58" s="148"/>
      <c r="AX58" s="147"/>
      <c r="AY58" s="146"/>
      <c r="AZ58" s="235"/>
      <c r="BA58" s="198"/>
      <c r="BB58" s="155"/>
      <c r="BC58" s="155"/>
      <c r="BD58" s="199"/>
      <c r="BF58" s="155"/>
      <c r="BG58" s="266"/>
      <c r="BH58" s="266"/>
      <c r="BI58" s="266"/>
      <c r="BJ58" s="266"/>
    </row>
    <row r="59" spans="1:62" ht="8.1" customHeight="1" x14ac:dyDescent="0.25">
      <c r="B59" s="234"/>
      <c r="C59" s="154"/>
      <c r="D59" s="153"/>
      <c r="E59" s="153"/>
      <c r="F59" s="153"/>
      <c r="G59" s="153"/>
      <c r="H59" s="152"/>
      <c r="I59" s="151"/>
      <c r="K59" s="153"/>
      <c r="L59" s="153"/>
      <c r="M59" s="153"/>
      <c r="N59" s="153"/>
      <c r="O59" s="152"/>
      <c r="P59" s="151"/>
      <c r="R59" s="153"/>
      <c r="S59" s="153"/>
      <c r="T59" s="153"/>
      <c r="U59" s="153"/>
      <c r="V59" s="152"/>
      <c r="W59" s="151"/>
      <c r="Y59" s="153"/>
      <c r="Z59" s="153"/>
      <c r="AA59" s="153"/>
      <c r="AB59" s="153"/>
      <c r="AC59" s="152"/>
      <c r="AD59" s="151"/>
      <c r="AF59" s="153"/>
      <c r="AG59" s="153"/>
      <c r="AH59" s="153"/>
      <c r="AI59" s="153"/>
      <c r="AJ59" s="152"/>
      <c r="AK59" s="151"/>
      <c r="AL59" s="153"/>
      <c r="AM59" s="153"/>
      <c r="AN59" s="153"/>
      <c r="AO59" s="153"/>
      <c r="AP59" s="153"/>
      <c r="AQ59" s="152"/>
      <c r="AR59" s="151"/>
      <c r="AS59" s="153"/>
      <c r="AT59" s="153"/>
      <c r="AU59" s="153"/>
      <c r="AV59" s="153"/>
      <c r="AW59" s="153"/>
      <c r="AX59" s="152"/>
      <c r="AY59" s="151"/>
      <c r="AZ59" s="234"/>
      <c r="BA59" s="198"/>
      <c r="BB59" s="155"/>
      <c r="BC59" s="155"/>
      <c r="BD59" s="199"/>
      <c r="BF59" s="155"/>
      <c r="BG59" s="266"/>
      <c r="BH59" s="266"/>
      <c r="BI59" s="266"/>
      <c r="BJ59" s="266"/>
    </row>
    <row r="60" spans="1:62" ht="8.1" customHeight="1" x14ac:dyDescent="0.25">
      <c r="B60" s="235"/>
      <c r="C60" s="150"/>
      <c r="D60" s="148"/>
      <c r="E60" s="148"/>
      <c r="F60" s="148"/>
      <c r="G60" s="148"/>
      <c r="H60" s="147"/>
      <c r="I60" s="146"/>
      <c r="J60" s="149"/>
      <c r="K60" s="148"/>
      <c r="L60" s="148"/>
      <c r="M60" s="148"/>
      <c r="N60" s="148"/>
      <c r="O60" s="147"/>
      <c r="P60" s="146"/>
      <c r="Q60" s="149"/>
      <c r="R60" s="148"/>
      <c r="S60" s="148"/>
      <c r="T60" s="148"/>
      <c r="U60" s="148"/>
      <c r="V60" s="147"/>
      <c r="W60" s="146"/>
      <c r="X60" s="149"/>
      <c r="Y60" s="148"/>
      <c r="Z60" s="148"/>
      <c r="AA60" s="148"/>
      <c r="AB60" s="148"/>
      <c r="AC60" s="147"/>
      <c r="AD60" s="146"/>
      <c r="AE60" s="149"/>
      <c r="AF60" s="148"/>
      <c r="AG60" s="148"/>
      <c r="AH60" s="148"/>
      <c r="AI60" s="148"/>
      <c r="AJ60" s="147"/>
      <c r="AK60" s="146"/>
      <c r="AL60" s="148"/>
      <c r="AM60" s="148"/>
      <c r="AN60" s="148"/>
      <c r="AO60" s="148"/>
      <c r="AP60" s="148"/>
      <c r="AQ60" s="147"/>
      <c r="AR60" s="146"/>
      <c r="AS60" s="148"/>
      <c r="AT60" s="148"/>
      <c r="AU60" s="148"/>
      <c r="AV60" s="148"/>
      <c r="AW60" s="148"/>
      <c r="AX60" s="147"/>
      <c r="AY60" s="146"/>
      <c r="AZ60" s="235"/>
      <c r="BA60" s="198"/>
      <c r="BB60" s="155"/>
      <c r="BC60" s="155"/>
      <c r="BD60" s="199"/>
      <c r="BF60" s="155"/>
      <c r="BG60" s="266"/>
      <c r="BH60" s="266"/>
      <c r="BI60" s="266"/>
      <c r="BJ60" s="266"/>
    </row>
    <row r="61" spans="1:62" ht="8.1" customHeight="1" x14ac:dyDescent="0.25">
      <c r="B61" s="234" t="s">
        <v>21</v>
      </c>
      <c r="C61" s="154"/>
      <c r="D61" s="153"/>
      <c r="E61" s="153"/>
      <c r="F61" s="153"/>
      <c r="G61" s="153"/>
      <c r="H61" s="152"/>
      <c r="I61" s="151"/>
      <c r="K61" s="153"/>
      <c r="L61" s="153"/>
      <c r="M61" s="153"/>
      <c r="N61" s="153"/>
      <c r="O61" s="152"/>
      <c r="P61" s="151"/>
      <c r="R61" s="153"/>
      <c r="S61" s="153"/>
      <c r="T61" s="153"/>
      <c r="U61" s="153"/>
      <c r="V61" s="152"/>
      <c r="W61" s="151"/>
      <c r="Y61" s="153"/>
      <c r="Z61" s="153"/>
      <c r="AA61" s="153"/>
      <c r="AB61" s="153"/>
      <c r="AC61" s="152"/>
      <c r="AD61" s="151"/>
      <c r="AF61" s="153"/>
      <c r="AG61" s="153"/>
      <c r="AH61" s="153"/>
      <c r="AI61" s="153"/>
      <c r="AJ61" s="152"/>
      <c r="AK61" s="151"/>
      <c r="AL61" s="153"/>
      <c r="AM61" s="153"/>
      <c r="AN61" s="153"/>
      <c r="AO61" s="153"/>
      <c r="AP61" s="153"/>
      <c r="AQ61" s="152"/>
      <c r="AR61" s="151"/>
      <c r="AS61" s="153"/>
      <c r="AT61" s="153"/>
      <c r="AU61" s="153"/>
      <c r="AV61" s="153"/>
      <c r="AW61" s="153"/>
      <c r="AX61" s="152"/>
      <c r="AY61" s="151"/>
      <c r="AZ61" s="234" t="s">
        <v>21</v>
      </c>
      <c r="BA61" s="198"/>
      <c r="BB61" s="155"/>
      <c r="BC61" s="155"/>
      <c r="BD61" s="199"/>
      <c r="BF61" s="155"/>
      <c r="BG61" s="266"/>
      <c r="BH61" s="266"/>
      <c r="BI61" s="266"/>
      <c r="BJ61" s="266"/>
    </row>
    <row r="62" spans="1:62" ht="8.1" customHeight="1" x14ac:dyDescent="0.25">
      <c r="B62" s="235"/>
      <c r="C62" s="150"/>
      <c r="D62" s="148"/>
      <c r="E62" s="148"/>
      <c r="F62" s="148"/>
      <c r="G62" s="148"/>
      <c r="H62" s="147"/>
      <c r="I62" s="146"/>
      <c r="J62" s="149"/>
      <c r="K62" s="148"/>
      <c r="L62" s="148"/>
      <c r="M62" s="148"/>
      <c r="N62" s="148"/>
      <c r="O62" s="147"/>
      <c r="P62" s="146"/>
      <c r="Q62" s="149"/>
      <c r="R62" s="148"/>
      <c r="S62" s="148"/>
      <c r="T62" s="148"/>
      <c r="U62" s="148"/>
      <c r="V62" s="147"/>
      <c r="W62" s="146"/>
      <c r="X62" s="149"/>
      <c r="Y62" s="148"/>
      <c r="Z62" s="148"/>
      <c r="AA62" s="148"/>
      <c r="AB62" s="148"/>
      <c r="AC62" s="147"/>
      <c r="AD62" s="146"/>
      <c r="AE62" s="149"/>
      <c r="AF62" s="148"/>
      <c r="AG62" s="148"/>
      <c r="AH62" s="148"/>
      <c r="AI62" s="148"/>
      <c r="AJ62" s="147"/>
      <c r="AK62" s="146"/>
      <c r="AL62" s="148"/>
      <c r="AM62" s="148"/>
      <c r="AN62" s="148"/>
      <c r="AO62" s="148"/>
      <c r="AP62" s="148"/>
      <c r="AQ62" s="147"/>
      <c r="AR62" s="146"/>
      <c r="AS62" s="148"/>
      <c r="AT62" s="148"/>
      <c r="AU62" s="148"/>
      <c r="AV62" s="148"/>
      <c r="AW62" s="148"/>
      <c r="AX62" s="147"/>
      <c r="AY62" s="146"/>
      <c r="AZ62" s="235"/>
      <c r="BA62" s="198"/>
      <c r="BB62" s="155"/>
      <c r="BC62" s="155"/>
      <c r="BD62" s="199"/>
      <c r="BF62" s="155"/>
      <c r="BG62" s="266"/>
      <c r="BH62" s="266"/>
      <c r="BI62" s="266"/>
      <c r="BJ62" s="266"/>
    </row>
    <row r="63" spans="1:62" ht="8.1" customHeight="1" x14ac:dyDescent="0.25">
      <c r="B63" s="234"/>
      <c r="C63" s="154"/>
      <c r="D63" s="153"/>
      <c r="E63" s="153"/>
      <c r="F63" s="153"/>
      <c r="G63" s="153"/>
      <c r="H63" s="152"/>
      <c r="I63" s="151"/>
      <c r="K63" s="153"/>
      <c r="L63" s="153"/>
      <c r="M63" s="153"/>
      <c r="N63" s="153"/>
      <c r="O63" s="152"/>
      <c r="P63" s="151"/>
      <c r="R63" s="153"/>
      <c r="S63" s="153"/>
      <c r="T63" s="153"/>
      <c r="U63" s="153"/>
      <c r="V63" s="152"/>
      <c r="W63" s="151"/>
      <c r="Y63" s="153"/>
      <c r="Z63" s="153"/>
      <c r="AA63" s="153"/>
      <c r="AB63" s="153"/>
      <c r="AC63" s="152"/>
      <c r="AD63" s="151"/>
      <c r="AF63" s="153"/>
      <c r="AG63" s="153"/>
      <c r="AH63" s="153"/>
      <c r="AI63" s="153"/>
      <c r="AJ63" s="152"/>
      <c r="AK63" s="151"/>
      <c r="AL63" s="153"/>
      <c r="AM63" s="153"/>
      <c r="AN63" s="153"/>
      <c r="AO63" s="153"/>
      <c r="AP63" s="153"/>
      <c r="AQ63" s="152"/>
      <c r="AR63" s="151"/>
      <c r="AS63" s="153"/>
      <c r="AT63" s="153"/>
      <c r="AU63" s="153"/>
      <c r="AV63" s="153"/>
      <c r="AW63" s="153"/>
      <c r="AX63" s="152"/>
      <c r="AY63" s="151"/>
      <c r="AZ63" s="234"/>
      <c r="BA63" s="198"/>
      <c r="BB63" s="155"/>
      <c r="BC63" s="155"/>
      <c r="BD63" s="199"/>
      <c r="BF63" s="155"/>
      <c r="BG63" s="266"/>
      <c r="BH63" s="266"/>
      <c r="BI63" s="266"/>
      <c r="BJ63" s="266"/>
    </row>
    <row r="64" spans="1:62" ht="8.1" customHeight="1" x14ac:dyDescent="0.25">
      <c r="B64" s="235"/>
      <c r="C64" s="150"/>
      <c r="D64" s="148"/>
      <c r="E64" s="148"/>
      <c r="F64" s="148"/>
      <c r="G64" s="148"/>
      <c r="H64" s="147"/>
      <c r="I64" s="146"/>
      <c r="J64" s="149"/>
      <c r="K64" s="148"/>
      <c r="L64" s="148"/>
      <c r="M64" s="148"/>
      <c r="N64" s="148"/>
      <c r="O64" s="147"/>
      <c r="P64" s="146"/>
      <c r="Q64" s="149"/>
      <c r="R64" s="148"/>
      <c r="S64" s="148"/>
      <c r="T64" s="148"/>
      <c r="U64" s="148"/>
      <c r="V64" s="147"/>
      <c r="W64" s="146"/>
      <c r="X64" s="149"/>
      <c r="Y64" s="148"/>
      <c r="Z64" s="148"/>
      <c r="AA64" s="148"/>
      <c r="AB64" s="148"/>
      <c r="AC64" s="147"/>
      <c r="AD64" s="146"/>
      <c r="AE64" s="149"/>
      <c r="AF64" s="148"/>
      <c r="AG64" s="148"/>
      <c r="AH64" s="148"/>
      <c r="AI64" s="148"/>
      <c r="AJ64" s="147"/>
      <c r="AK64" s="146"/>
      <c r="AL64" s="148"/>
      <c r="AM64" s="148"/>
      <c r="AN64" s="148"/>
      <c r="AO64" s="148"/>
      <c r="AP64" s="148"/>
      <c r="AQ64" s="147"/>
      <c r="AR64" s="146"/>
      <c r="AS64" s="148"/>
      <c r="AT64" s="148"/>
      <c r="AU64" s="148"/>
      <c r="AV64" s="148"/>
      <c r="AW64" s="148"/>
      <c r="AX64" s="147"/>
      <c r="AY64" s="146"/>
      <c r="AZ64" s="235"/>
      <c r="BA64" s="198"/>
      <c r="BB64" s="155"/>
      <c r="BC64" s="155"/>
      <c r="BD64" s="199"/>
      <c r="BF64" s="155"/>
      <c r="BG64" s="266"/>
      <c r="BH64" s="266"/>
      <c r="BI64" s="266"/>
      <c r="BJ64" s="266"/>
    </row>
    <row r="65" spans="2:62" ht="8.1" customHeight="1" x14ac:dyDescent="0.25">
      <c r="B65" s="234" t="s">
        <v>158</v>
      </c>
      <c r="C65" s="154"/>
      <c r="D65" s="153"/>
      <c r="E65" s="153"/>
      <c r="F65" s="153"/>
      <c r="G65" s="153"/>
      <c r="H65" s="152"/>
      <c r="I65" s="151"/>
      <c r="K65" s="153"/>
      <c r="L65" s="153"/>
      <c r="M65" s="153"/>
      <c r="N65" s="153"/>
      <c r="O65" s="152"/>
      <c r="P65" s="151"/>
      <c r="R65" s="153"/>
      <c r="S65" s="153"/>
      <c r="T65" s="153"/>
      <c r="U65" s="153"/>
      <c r="V65" s="152"/>
      <c r="W65" s="151"/>
      <c r="Y65" s="153"/>
      <c r="Z65" s="153"/>
      <c r="AA65" s="153"/>
      <c r="AB65" s="153"/>
      <c r="AC65" s="152"/>
      <c r="AD65" s="151"/>
      <c r="AF65" s="153"/>
      <c r="AG65" s="153"/>
      <c r="AH65" s="153"/>
      <c r="AI65" s="153"/>
      <c r="AJ65" s="152"/>
      <c r="AK65" s="151"/>
      <c r="AL65" s="153"/>
      <c r="AM65" s="153"/>
      <c r="AN65" s="153"/>
      <c r="AO65" s="153"/>
      <c r="AP65" s="153"/>
      <c r="AQ65" s="152"/>
      <c r="AR65" s="151"/>
      <c r="AS65" s="153"/>
      <c r="AT65" s="153"/>
      <c r="AU65" s="153"/>
      <c r="AV65" s="153"/>
      <c r="AW65" s="153"/>
      <c r="AX65" s="152"/>
      <c r="AY65" s="151"/>
      <c r="AZ65" s="234" t="s">
        <v>158</v>
      </c>
      <c r="BA65" s="198"/>
      <c r="BB65" s="155"/>
      <c r="BC65" s="155"/>
      <c r="BD65" s="199"/>
      <c r="BF65" s="155"/>
      <c r="BG65" s="266"/>
      <c r="BH65" s="266"/>
      <c r="BI65" s="266"/>
      <c r="BJ65" s="266"/>
    </row>
    <row r="66" spans="2:62" ht="8.1" customHeight="1" x14ac:dyDescent="0.25">
      <c r="B66" s="235"/>
      <c r="C66" s="150"/>
      <c r="D66" s="148"/>
      <c r="E66" s="148"/>
      <c r="F66" s="148"/>
      <c r="G66" s="148"/>
      <c r="H66" s="147"/>
      <c r="I66" s="146"/>
      <c r="J66" s="149"/>
      <c r="K66" s="148"/>
      <c r="L66" s="148"/>
      <c r="M66" s="148"/>
      <c r="N66" s="148"/>
      <c r="O66" s="147"/>
      <c r="P66" s="146"/>
      <c r="Q66" s="149"/>
      <c r="R66" s="148"/>
      <c r="S66" s="148"/>
      <c r="T66" s="148"/>
      <c r="U66" s="148"/>
      <c r="V66" s="147"/>
      <c r="W66" s="146"/>
      <c r="X66" s="149"/>
      <c r="Y66" s="148"/>
      <c r="Z66" s="148"/>
      <c r="AA66" s="148"/>
      <c r="AB66" s="148"/>
      <c r="AC66" s="147"/>
      <c r="AD66" s="146"/>
      <c r="AE66" s="149"/>
      <c r="AF66" s="148"/>
      <c r="AG66" s="148"/>
      <c r="AH66" s="148"/>
      <c r="AI66" s="148"/>
      <c r="AJ66" s="147"/>
      <c r="AK66" s="146"/>
      <c r="AL66" s="148"/>
      <c r="AM66" s="148"/>
      <c r="AN66" s="148"/>
      <c r="AO66" s="148"/>
      <c r="AP66" s="148"/>
      <c r="AQ66" s="147"/>
      <c r="AR66" s="146"/>
      <c r="AS66" s="148"/>
      <c r="AT66" s="148"/>
      <c r="AU66" s="148"/>
      <c r="AV66" s="148"/>
      <c r="AW66" s="148"/>
      <c r="AX66" s="147"/>
      <c r="AY66" s="146"/>
      <c r="AZ66" s="235"/>
      <c r="BA66" s="198"/>
      <c r="BB66" s="155"/>
      <c r="BC66" s="155"/>
      <c r="BD66" s="199"/>
      <c r="BF66" s="155"/>
      <c r="BG66" s="266"/>
      <c r="BH66" s="266"/>
      <c r="BI66" s="266"/>
      <c r="BJ66" s="266"/>
    </row>
    <row r="67" spans="2:62" ht="8.1" customHeight="1" x14ac:dyDescent="0.25">
      <c r="B67" s="234"/>
      <c r="C67" s="154"/>
      <c r="D67" s="153"/>
      <c r="E67" s="153"/>
      <c r="F67" s="153"/>
      <c r="G67" s="153"/>
      <c r="H67" s="152"/>
      <c r="I67" s="151"/>
      <c r="K67" s="153"/>
      <c r="L67" s="153"/>
      <c r="M67" s="153"/>
      <c r="N67" s="153"/>
      <c r="O67" s="152"/>
      <c r="P67" s="151"/>
      <c r="R67" s="153"/>
      <c r="S67" s="153"/>
      <c r="T67" s="153"/>
      <c r="U67" s="153"/>
      <c r="V67" s="152"/>
      <c r="W67" s="151"/>
      <c r="Y67" s="153"/>
      <c r="Z67" s="153"/>
      <c r="AA67" s="153"/>
      <c r="AB67" s="153"/>
      <c r="AC67" s="152"/>
      <c r="AD67" s="151"/>
      <c r="AF67" s="153"/>
      <c r="AG67" s="153"/>
      <c r="AH67" s="153"/>
      <c r="AI67" s="153"/>
      <c r="AJ67" s="152"/>
      <c r="AK67" s="151"/>
      <c r="AL67" s="153"/>
      <c r="AM67" s="153"/>
      <c r="AN67" s="153"/>
      <c r="AO67" s="153"/>
      <c r="AP67" s="153"/>
      <c r="AQ67" s="152"/>
      <c r="AR67" s="151"/>
      <c r="AS67" s="153"/>
      <c r="AT67" s="153"/>
      <c r="AU67" s="153"/>
      <c r="AV67" s="153"/>
      <c r="AW67" s="153"/>
      <c r="AX67" s="152"/>
      <c r="AY67" s="151"/>
      <c r="AZ67" s="234"/>
      <c r="BA67" s="198"/>
      <c r="BB67" s="155"/>
      <c r="BC67" s="155"/>
      <c r="BD67" s="199"/>
      <c r="BE67" s="156"/>
      <c r="BF67" s="155"/>
      <c r="BG67" s="155"/>
      <c r="BH67" s="155"/>
      <c r="BI67" s="155"/>
    </row>
    <row r="68" spans="2:62" ht="8.1" customHeight="1" x14ac:dyDescent="0.25">
      <c r="B68" s="235"/>
      <c r="C68" s="150"/>
      <c r="D68" s="148"/>
      <c r="E68" s="148"/>
      <c r="F68" s="148"/>
      <c r="G68" s="148"/>
      <c r="H68" s="147"/>
      <c r="I68" s="146"/>
      <c r="J68" s="149"/>
      <c r="K68" s="148"/>
      <c r="L68" s="148"/>
      <c r="M68" s="148"/>
      <c r="N68" s="148"/>
      <c r="O68" s="147"/>
      <c r="P68" s="146"/>
      <c r="Q68" s="149"/>
      <c r="R68" s="148"/>
      <c r="S68" s="148"/>
      <c r="T68" s="148"/>
      <c r="U68" s="148"/>
      <c r="V68" s="147"/>
      <c r="W68" s="146"/>
      <c r="X68" s="149"/>
      <c r="Y68" s="148"/>
      <c r="Z68" s="148"/>
      <c r="AA68" s="148"/>
      <c r="AB68" s="148"/>
      <c r="AC68" s="147"/>
      <c r="AD68" s="146"/>
      <c r="AE68" s="149"/>
      <c r="AF68" s="148"/>
      <c r="AG68" s="148"/>
      <c r="AH68" s="148"/>
      <c r="AI68" s="148"/>
      <c r="AJ68" s="147"/>
      <c r="AK68" s="146"/>
      <c r="AL68" s="148"/>
      <c r="AM68" s="148"/>
      <c r="AN68" s="148"/>
      <c r="AO68" s="148"/>
      <c r="AP68" s="148"/>
      <c r="AQ68" s="147"/>
      <c r="AR68" s="146"/>
      <c r="AS68" s="148"/>
      <c r="AT68" s="148"/>
      <c r="AU68" s="148"/>
      <c r="AV68" s="148"/>
      <c r="AW68" s="148"/>
      <c r="AX68" s="147"/>
      <c r="AY68" s="146"/>
      <c r="AZ68" s="235"/>
      <c r="BA68" s="200"/>
      <c r="BB68" s="201"/>
      <c r="BC68" s="201"/>
      <c r="BD68" s="202"/>
      <c r="BF68" s="155"/>
      <c r="BG68" s="155"/>
      <c r="BH68" s="155"/>
      <c r="BI68" s="155"/>
    </row>
    <row r="69" spans="2:62" ht="8.1" customHeight="1" x14ac:dyDescent="0.25">
      <c r="B69" s="234" t="s">
        <v>159</v>
      </c>
      <c r="C69" s="154"/>
      <c r="D69" s="153"/>
      <c r="E69" s="153"/>
      <c r="F69" s="153"/>
      <c r="G69" s="153"/>
      <c r="H69" s="152"/>
      <c r="I69" s="151"/>
      <c r="K69" s="153"/>
      <c r="L69" s="153"/>
      <c r="M69" s="153"/>
      <c r="N69" s="153"/>
      <c r="O69" s="152"/>
      <c r="P69" s="151"/>
      <c r="R69" s="153"/>
      <c r="S69" s="153"/>
      <c r="T69" s="153"/>
      <c r="U69" s="153"/>
      <c r="V69" s="152"/>
      <c r="W69" s="151"/>
      <c r="Y69" s="153"/>
      <c r="Z69" s="153"/>
      <c r="AA69" s="153"/>
      <c r="AB69" s="153"/>
      <c r="AC69" s="152"/>
      <c r="AD69" s="151"/>
      <c r="AF69" s="153"/>
      <c r="AG69" s="153"/>
      <c r="AH69" s="153"/>
      <c r="AI69" s="153"/>
      <c r="AJ69" s="152"/>
      <c r="AK69" s="151"/>
      <c r="AL69" s="153"/>
      <c r="AM69" s="153"/>
      <c r="AN69" s="153"/>
      <c r="AO69" s="153"/>
      <c r="AP69" s="153"/>
      <c r="AQ69" s="152"/>
      <c r="AR69" s="151"/>
      <c r="AS69" s="153"/>
      <c r="AT69" s="153"/>
      <c r="AU69" s="153"/>
      <c r="AV69" s="153"/>
      <c r="AW69" s="153"/>
      <c r="AX69" s="152"/>
      <c r="AY69" s="151"/>
      <c r="AZ69" s="234" t="s">
        <v>159</v>
      </c>
      <c r="BA69" s="138"/>
      <c r="BB69" s="137"/>
      <c r="BC69" s="137"/>
      <c r="BD69" s="136"/>
      <c r="BF69" s="155"/>
      <c r="BG69" s="155"/>
      <c r="BH69" s="155"/>
      <c r="BI69" s="155"/>
    </row>
    <row r="70" spans="2:62" ht="8.1" customHeight="1" x14ac:dyDescent="0.25">
      <c r="B70" s="235"/>
      <c r="C70" s="150"/>
      <c r="D70" s="148"/>
      <c r="E70" s="148"/>
      <c r="F70" s="148"/>
      <c r="G70" s="148"/>
      <c r="H70" s="147"/>
      <c r="I70" s="146"/>
      <c r="J70" s="149"/>
      <c r="K70" s="148"/>
      <c r="L70" s="148"/>
      <c r="M70" s="148"/>
      <c r="N70" s="148"/>
      <c r="O70" s="147"/>
      <c r="P70" s="146"/>
      <c r="Q70" s="149"/>
      <c r="R70" s="148"/>
      <c r="S70" s="148"/>
      <c r="T70" s="148"/>
      <c r="U70" s="148"/>
      <c r="V70" s="147"/>
      <c r="W70" s="146"/>
      <c r="X70" s="149"/>
      <c r="Y70" s="148"/>
      <c r="Z70" s="148"/>
      <c r="AA70" s="148"/>
      <c r="AB70" s="148"/>
      <c r="AC70" s="147"/>
      <c r="AD70" s="146"/>
      <c r="AE70" s="149"/>
      <c r="AF70" s="148"/>
      <c r="AG70" s="148"/>
      <c r="AH70" s="148"/>
      <c r="AI70" s="148"/>
      <c r="AJ70" s="147"/>
      <c r="AK70" s="146"/>
      <c r="AL70" s="148"/>
      <c r="AM70" s="148"/>
      <c r="AN70" s="148"/>
      <c r="AO70" s="148"/>
      <c r="AP70" s="148"/>
      <c r="AQ70" s="147"/>
      <c r="AR70" s="146"/>
      <c r="AS70" s="148"/>
      <c r="AT70" s="148"/>
      <c r="AU70" s="148"/>
      <c r="AV70" s="148"/>
      <c r="AW70" s="148"/>
      <c r="AX70" s="147"/>
      <c r="AY70" s="146"/>
      <c r="AZ70" s="235"/>
      <c r="BA70" s="138"/>
      <c r="BB70" s="267" t="s">
        <v>3</v>
      </c>
      <c r="BC70" s="267"/>
      <c r="BD70" s="136"/>
      <c r="BF70" s="155"/>
      <c r="BG70" s="155"/>
      <c r="BH70" s="155"/>
      <c r="BI70" s="155"/>
    </row>
    <row r="71" spans="2:62" ht="8.1" customHeight="1" x14ac:dyDescent="0.25">
      <c r="B71" s="234"/>
      <c r="C71" s="154"/>
      <c r="D71" s="153"/>
      <c r="E71" s="153"/>
      <c r="F71" s="153"/>
      <c r="G71" s="153"/>
      <c r="H71" s="152"/>
      <c r="I71" s="151"/>
      <c r="K71" s="153"/>
      <c r="L71" s="153"/>
      <c r="M71" s="153"/>
      <c r="N71" s="153"/>
      <c r="O71" s="152"/>
      <c r="P71" s="151"/>
      <c r="R71" s="153"/>
      <c r="S71" s="153"/>
      <c r="T71" s="153"/>
      <c r="U71" s="153"/>
      <c r="V71" s="152"/>
      <c r="W71" s="151"/>
      <c r="Y71" s="153"/>
      <c r="Z71" s="153"/>
      <c r="AA71" s="153"/>
      <c r="AB71" s="153"/>
      <c r="AC71" s="152"/>
      <c r="AD71" s="151"/>
      <c r="AF71" s="153"/>
      <c r="AG71" s="153"/>
      <c r="AH71" s="153"/>
      <c r="AI71" s="153"/>
      <c r="AJ71" s="152"/>
      <c r="AK71" s="151"/>
      <c r="AL71" s="153"/>
      <c r="AM71" s="153"/>
      <c r="AN71" s="153"/>
      <c r="AO71" s="153"/>
      <c r="AP71" s="153"/>
      <c r="AQ71" s="152"/>
      <c r="AR71" s="151"/>
      <c r="AS71" s="153"/>
      <c r="AT71" s="153"/>
      <c r="AU71" s="153"/>
      <c r="AV71" s="153"/>
      <c r="AW71" s="153"/>
      <c r="AX71" s="152"/>
      <c r="AY71" s="151"/>
      <c r="AZ71" s="234"/>
      <c r="BA71" s="138"/>
      <c r="BB71" s="267"/>
      <c r="BC71" s="267"/>
      <c r="BD71" s="136"/>
      <c r="BF71" s="155"/>
      <c r="BG71" s="155"/>
      <c r="BH71" s="155"/>
      <c r="BI71" s="155"/>
    </row>
    <row r="72" spans="2:62" ht="8.1" customHeight="1" x14ac:dyDescent="0.25">
      <c r="B72" s="235"/>
      <c r="C72" s="150"/>
      <c r="D72" s="148"/>
      <c r="E72" s="148"/>
      <c r="F72" s="148"/>
      <c r="G72" s="148"/>
      <c r="H72" s="147"/>
      <c r="I72" s="146"/>
      <c r="J72" s="149"/>
      <c r="K72" s="148"/>
      <c r="L72" s="148"/>
      <c r="M72" s="148"/>
      <c r="N72" s="148"/>
      <c r="O72" s="147"/>
      <c r="P72" s="146"/>
      <c r="Q72" s="149"/>
      <c r="R72" s="148"/>
      <c r="S72" s="148"/>
      <c r="T72" s="148"/>
      <c r="U72" s="148"/>
      <c r="V72" s="147"/>
      <c r="W72" s="146"/>
      <c r="X72" s="149"/>
      <c r="Y72" s="148"/>
      <c r="Z72" s="148"/>
      <c r="AA72" s="148"/>
      <c r="AB72" s="148"/>
      <c r="AC72" s="147"/>
      <c r="AD72" s="146"/>
      <c r="AE72" s="149"/>
      <c r="AF72" s="148"/>
      <c r="AG72" s="148"/>
      <c r="AH72" s="148"/>
      <c r="AI72" s="148"/>
      <c r="AJ72" s="147"/>
      <c r="AK72" s="146"/>
      <c r="AL72" s="148"/>
      <c r="AM72" s="148"/>
      <c r="AN72" s="148"/>
      <c r="AO72" s="148"/>
      <c r="AP72" s="148"/>
      <c r="AQ72" s="147"/>
      <c r="AR72" s="146"/>
      <c r="AS72" s="148"/>
      <c r="AT72" s="148"/>
      <c r="AU72" s="148"/>
      <c r="AV72" s="148"/>
      <c r="AW72" s="148"/>
      <c r="AX72" s="147"/>
      <c r="AY72" s="146"/>
      <c r="AZ72" s="235"/>
      <c r="BA72" s="138"/>
      <c r="BB72" s="233" t="e" vm="1">
        <v>#VALUE!</v>
      </c>
      <c r="BC72" s="233"/>
      <c r="BD72" s="136"/>
      <c r="BF72" s="155"/>
      <c r="BG72" s="155"/>
      <c r="BH72" s="155"/>
      <c r="BI72" s="155"/>
    </row>
    <row r="73" spans="2:62" ht="8.1" customHeight="1" x14ac:dyDescent="0.25">
      <c r="B73" s="234" t="s">
        <v>160</v>
      </c>
      <c r="C73" s="154"/>
      <c r="D73" s="153"/>
      <c r="E73" s="153"/>
      <c r="F73" s="153"/>
      <c r="G73" s="153"/>
      <c r="H73" s="152"/>
      <c r="I73" s="151"/>
      <c r="K73" s="153"/>
      <c r="L73" s="153"/>
      <c r="M73" s="153"/>
      <c r="N73" s="153"/>
      <c r="O73" s="152"/>
      <c r="P73" s="151"/>
      <c r="R73" s="153"/>
      <c r="S73" s="153"/>
      <c r="T73" s="153"/>
      <c r="U73" s="153"/>
      <c r="V73" s="152"/>
      <c r="W73" s="151"/>
      <c r="Y73" s="153"/>
      <c r="Z73" s="153"/>
      <c r="AA73" s="153"/>
      <c r="AB73" s="153"/>
      <c r="AC73" s="152"/>
      <c r="AD73" s="151"/>
      <c r="AF73" s="153"/>
      <c r="AG73" s="153"/>
      <c r="AH73" s="153"/>
      <c r="AI73" s="153"/>
      <c r="AJ73" s="152"/>
      <c r="AK73" s="151"/>
      <c r="AL73" s="153"/>
      <c r="AM73" s="153"/>
      <c r="AN73" s="153"/>
      <c r="AO73" s="153"/>
      <c r="AP73" s="153"/>
      <c r="AQ73" s="152"/>
      <c r="AR73" s="151"/>
      <c r="AS73" s="153"/>
      <c r="AT73" s="153"/>
      <c r="AU73" s="153"/>
      <c r="AV73" s="153"/>
      <c r="AW73" s="153"/>
      <c r="AX73" s="152"/>
      <c r="AY73" s="151"/>
      <c r="AZ73" s="234" t="s">
        <v>160</v>
      </c>
      <c r="BA73" s="138"/>
      <c r="BB73" s="233"/>
      <c r="BC73" s="233"/>
      <c r="BD73" s="136"/>
    </row>
    <row r="74" spans="2:62" ht="8.1" customHeight="1" x14ac:dyDescent="0.25">
      <c r="B74" s="235"/>
      <c r="C74" s="150"/>
      <c r="D74" s="148"/>
      <c r="E74" s="148"/>
      <c r="F74" s="148"/>
      <c r="G74" s="148"/>
      <c r="H74" s="147"/>
      <c r="I74" s="146"/>
      <c r="J74" s="149"/>
      <c r="K74" s="148"/>
      <c r="L74" s="148"/>
      <c r="M74" s="148"/>
      <c r="N74" s="148"/>
      <c r="O74" s="147"/>
      <c r="P74" s="146"/>
      <c r="Q74" s="149"/>
      <c r="R74" s="148"/>
      <c r="S74" s="148"/>
      <c r="T74" s="148"/>
      <c r="U74" s="148"/>
      <c r="V74" s="147"/>
      <c r="W74" s="146"/>
      <c r="X74" s="149"/>
      <c r="Y74" s="148"/>
      <c r="Z74" s="148"/>
      <c r="AA74" s="148"/>
      <c r="AB74" s="148"/>
      <c r="AC74" s="147"/>
      <c r="AD74" s="146"/>
      <c r="AE74" s="149"/>
      <c r="AF74" s="148"/>
      <c r="AG74" s="148"/>
      <c r="AH74" s="148"/>
      <c r="AI74" s="148"/>
      <c r="AJ74" s="147"/>
      <c r="AK74" s="146"/>
      <c r="AL74" s="148"/>
      <c r="AM74" s="148"/>
      <c r="AN74" s="148"/>
      <c r="AO74" s="148"/>
      <c r="AP74" s="148"/>
      <c r="AQ74" s="147"/>
      <c r="AR74" s="146"/>
      <c r="AS74" s="148"/>
      <c r="AT74" s="148"/>
      <c r="AU74" s="148"/>
      <c r="AV74" s="148"/>
      <c r="AW74" s="148"/>
      <c r="AX74" s="147"/>
      <c r="AY74" s="146"/>
      <c r="AZ74" s="235"/>
      <c r="BA74" s="138"/>
      <c r="BB74" s="233"/>
      <c r="BC74" s="233"/>
      <c r="BD74" s="136"/>
    </row>
    <row r="75" spans="2:62" ht="8.1" customHeight="1" x14ac:dyDescent="0.25">
      <c r="B75" s="234"/>
      <c r="C75" s="154"/>
      <c r="D75" s="153"/>
      <c r="E75" s="153"/>
      <c r="F75" s="153"/>
      <c r="G75" s="153"/>
      <c r="H75" s="152"/>
      <c r="I75" s="151"/>
      <c r="K75" s="153"/>
      <c r="L75" s="153"/>
      <c r="M75" s="153"/>
      <c r="N75" s="153"/>
      <c r="O75" s="152"/>
      <c r="P75" s="151"/>
      <c r="R75" s="153"/>
      <c r="S75" s="153"/>
      <c r="T75" s="153"/>
      <c r="U75" s="153"/>
      <c r="V75" s="152"/>
      <c r="W75" s="151"/>
      <c r="Y75" s="153"/>
      <c r="Z75" s="153"/>
      <c r="AA75" s="153"/>
      <c r="AB75" s="153"/>
      <c r="AC75" s="152"/>
      <c r="AD75" s="151"/>
      <c r="AF75" s="153"/>
      <c r="AG75" s="153"/>
      <c r="AH75" s="153"/>
      <c r="AI75" s="153"/>
      <c r="AJ75" s="152"/>
      <c r="AK75" s="151"/>
      <c r="AL75" s="153"/>
      <c r="AM75" s="153"/>
      <c r="AN75" s="153"/>
      <c r="AO75" s="153"/>
      <c r="AP75" s="153"/>
      <c r="AQ75" s="152"/>
      <c r="AR75" s="151"/>
      <c r="AS75" s="153"/>
      <c r="AT75" s="153"/>
      <c r="AU75" s="153"/>
      <c r="AV75" s="153"/>
      <c r="AW75" s="153"/>
      <c r="AX75" s="152"/>
      <c r="AY75" s="151"/>
      <c r="AZ75" s="234"/>
      <c r="BA75" s="138"/>
      <c r="BB75" s="233"/>
      <c r="BC75" s="233"/>
      <c r="BD75" s="136"/>
    </row>
    <row r="76" spans="2:62" ht="8.1" customHeight="1" x14ac:dyDescent="0.25">
      <c r="B76" s="235"/>
      <c r="C76" s="150"/>
      <c r="D76" s="148"/>
      <c r="E76" s="148"/>
      <c r="F76" s="148"/>
      <c r="G76" s="148"/>
      <c r="H76" s="147"/>
      <c r="I76" s="146"/>
      <c r="J76" s="149"/>
      <c r="K76" s="148"/>
      <c r="L76" s="148"/>
      <c r="M76" s="148"/>
      <c r="N76" s="148"/>
      <c r="O76" s="147"/>
      <c r="P76" s="146"/>
      <c r="Q76" s="149"/>
      <c r="R76" s="148"/>
      <c r="S76" s="148"/>
      <c r="T76" s="148"/>
      <c r="U76" s="148"/>
      <c r="V76" s="147"/>
      <c r="W76" s="146"/>
      <c r="X76" s="149"/>
      <c r="Y76" s="148"/>
      <c r="Z76" s="148"/>
      <c r="AA76" s="148"/>
      <c r="AB76" s="148"/>
      <c r="AC76" s="147"/>
      <c r="AD76" s="146"/>
      <c r="AE76" s="149"/>
      <c r="AF76" s="148"/>
      <c r="AG76" s="148"/>
      <c r="AH76" s="148"/>
      <c r="AI76" s="148"/>
      <c r="AJ76" s="147"/>
      <c r="AK76" s="146"/>
      <c r="AL76" s="148"/>
      <c r="AM76" s="148"/>
      <c r="AN76" s="148"/>
      <c r="AO76" s="148"/>
      <c r="AP76" s="148"/>
      <c r="AQ76" s="147"/>
      <c r="AR76" s="146"/>
      <c r="AS76" s="148"/>
      <c r="AT76" s="148"/>
      <c r="AU76" s="148"/>
      <c r="AV76" s="148"/>
      <c r="AW76" s="148"/>
      <c r="AX76" s="147"/>
      <c r="AY76" s="146"/>
      <c r="AZ76" s="235"/>
      <c r="BA76" s="138"/>
      <c r="BB76" s="233"/>
      <c r="BC76" s="233"/>
      <c r="BD76" s="136"/>
    </row>
    <row r="77" spans="2:62" ht="8.1" customHeight="1" x14ac:dyDescent="0.25">
      <c r="B77" s="234" t="s">
        <v>161</v>
      </c>
      <c r="C77" s="154"/>
      <c r="D77" s="153"/>
      <c r="E77" s="153"/>
      <c r="F77" s="153"/>
      <c r="G77" s="153"/>
      <c r="H77" s="152"/>
      <c r="I77" s="151"/>
      <c r="K77" s="153"/>
      <c r="L77" s="153"/>
      <c r="M77" s="153"/>
      <c r="N77" s="153"/>
      <c r="O77" s="152"/>
      <c r="P77" s="151"/>
      <c r="R77" s="153"/>
      <c r="S77" s="153"/>
      <c r="T77" s="153"/>
      <c r="U77" s="153"/>
      <c r="V77" s="152"/>
      <c r="W77" s="151"/>
      <c r="Y77" s="153"/>
      <c r="Z77" s="153"/>
      <c r="AA77" s="153"/>
      <c r="AB77" s="153"/>
      <c r="AC77" s="152"/>
      <c r="AD77" s="151"/>
      <c r="AF77" s="153"/>
      <c r="AG77" s="153"/>
      <c r="AH77" s="153"/>
      <c r="AI77" s="153"/>
      <c r="AJ77" s="152"/>
      <c r="AK77" s="151"/>
      <c r="AL77" s="153"/>
      <c r="AM77" s="153"/>
      <c r="AN77" s="153"/>
      <c r="AO77" s="153"/>
      <c r="AP77" s="153"/>
      <c r="AQ77" s="152"/>
      <c r="AR77" s="151"/>
      <c r="AS77" s="153"/>
      <c r="AT77" s="153"/>
      <c r="AU77" s="153"/>
      <c r="AV77" s="153"/>
      <c r="AW77" s="153"/>
      <c r="AX77" s="152"/>
      <c r="AY77" s="151"/>
      <c r="AZ77" s="234" t="s">
        <v>161</v>
      </c>
      <c r="BA77" s="138"/>
      <c r="BB77" s="233"/>
      <c r="BC77" s="233"/>
      <c r="BD77" s="136"/>
    </row>
    <row r="78" spans="2:62" ht="8.1" customHeight="1" x14ac:dyDescent="0.25">
      <c r="B78" s="235"/>
      <c r="C78" s="150"/>
      <c r="D78" s="148"/>
      <c r="E78" s="148"/>
      <c r="F78" s="148"/>
      <c r="G78" s="148"/>
      <c r="H78" s="147"/>
      <c r="I78" s="146"/>
      <c r="J78" s="149"/>
      <c r="K78" s="148"/>
      <c r="L78" s="148"/>
      <c r="M78" s="148"/>
      <c r="N78" s="148"/>
      <c r="O78" s="147"/>
      <c r="P78" s="146"/>
      <c r="Q78" s="149"/>
      <c r="R78" s="148"/>
      <c r="S78" s="148"/>
      <c r="T78" s="148"/>
      <c r="U78" s="148"/>
      <c r="V78" s="147"/>
      <c r="W78" s="146"/>
      <c r="X78" s="149"/>
      <c r="Y78" s="148"/>
      <c r="Z78" s="148"/>
      <c r="AA78" s="148"/>
      <c r="AB78" s="148"/>
      <c r="AC78" s="147"/>
      <c r="AD78" s="146"/>
      <c r="AE78" s="149"/>
      <c r="AF78" s="148"/>
      <c r="AG78" s="148"/>
      <c r="AH78" s="148"/>
      <c r="AI78" s="148"/>
      <c r="AJ78" s="147"/>
      <c r="AK78" s="146"/>
      <c r="AL78" s="148"/>
      <c r="AM78" s="148"/>
      <c r="AN78" s="148"/>
      <c r="AO78" s="148"/>
      <c r="AP78" s="148"/>
      <c r="AQ78" s="147"/>
      <c r="AR78" s="146"/>
      <c r="AS78" s="148"/>
      <c r="AT78" s="148"/>
      <c r="AU78" s="148"/>
      <c r="AV78" s="148"/>
      <c r="AW78" s="148"/>
      <c r="AX78" s="147"/>
      <c r="AY78" s="146"/>
      <c r="AZ78" s="235"/>
      <c r="BA78" s="138"/>
      <c r="BB78" s="233"/>
      <c r="BC78" s="233"/>
      <c r="BD78" s="136"/>
    </row>
    <row r="79" spans="2:62" ht="8.1" customHeight="1" x14ac:dyDescent="0.25">
      <c r="B79" s="234"/>
      <c r="C79" s="154"/>
      <c r="D79" s="153"/>
      <c r="E79" s="153"/>
      <c r="F79" s="153"/>
      <c r="G79" s="153"/>
      <c r="H79" s="152"/>
      <c r="I79" s="151"/>
      <c r="K79" s="153"/>
      <c r="L79" s="153"/>
      <c r="M79" s="153"/>
      <c r="N79" s="153"/>
      <c r="O79" s="152"/>
      <c r="P79" s="151"/>
      <c r="R79" s="153"/>
      <c r="S79" s="153"/>
      <c r="T79" s="153"/>
      <c r="U79" s="153"/>
      <c r="V79" s="152"/>
      <c r="W79" s="151"/>
      <c r="Y79" s="153"/>
      <c r="Z79" s="153"/>
      <c r="AA79" s="153"/>
      <c r="AB79" s="153"/>
      <c r="AC79" s="152"/>
      <c r="AD79" s="151"/>
      <c r="AF79" s="153"/>
      <c r="AG79" s="153"/>
      <c r="AH79" s="153"/>
      <c r="AI79" s="153"/>
      <c r="AJ79" s="152"/>
      <c r="AK79" s="151"/>
      <c r="AL79" s="153"/>
      <c r="AM79" s="153"/>
      <c r="AN79" s="153"/>
      <c r="AO79" s="153"/>
      <c r="AP79" s="153"/>
      <c r="AQ79" s="152"/>
      <c r="AR79" s="151"/>
      <c r="AS79" s="153"/>
      <c r="AT79" s="153"/>
      <c r="AU79" s="153"/>
      <c r="AV79" s="153"/>
      <c r="AW79" s="153"/>
      <c r="AX79" s="152"/>
      <c r="AY79" s="151"/>
      <c r="AZ79" s="234"/>
      <c r="BA79" s="138"/>
      <c r="BB79" s="233"/>
      <c r="BC79" s="233"/>
      <c r="BD79" s="136"/>
    </row>
    <row r="80" spans="2:62" ht="8.1" customHeight="1" x14ac:dyDescent="0.25">
      <c r="B80" s="235"/>
      <c r="C80" s="150"/>
      <c r="D80" s="148"/>
      <c r="E80" s="148"/>
      <c r="F80" s="148"/>
      <c r="G80" s="148"/>
      <c r="H80" s="147"/>
      <c r="I80" s="146"/>
      <c r="J80" s="149"/>
      <c r="K80" s="148"/>
      <c r="L80" s="148"/>
      <c r="M80" s="148"/>
      <c r="N80" s="148"/>
      <c r="O80" s="147"/>
      <c r="P80" s="146"/>
      <c r="Q80" s="149"/>
      <c r="R80" s="148"/>
      <c r="S80" s="148"/>
      <c r="T80" s="148"/>
      <c r="U80" s="148"/>
      <c r="V80" s="147"/>
      <c r="W80" s="146"/>
      <c r="X80" s="149"/>
      <c r="Y80" s="148"/>
      <c r="Z80" s="148"/>
      <c r="AA80" s="148"/>
      <c r="AB80" s="148"/>
      <c r="AC80" s="147"/>
      <c r="AD80" s="146"/>
      <c r="AE80" s="149"/>
      <c r="AF80" s="148"/>
      <c r="AG80" s="148"/>
      <c r="AH80" s="148"/>
      <c r="AI80" s="148"/>
      <c r="AJ80" s="147"/>
      <c r="AK80" s="146"/>
      <c r="AL80" s="148"/>
      <c r="AM80" s="148"/>
      <c r="AN80" s="148"/>
      <c r="AO80" s="148"/>
      <c r="AP80" s="148"/>
      <c r="AQ80" s="147"/>
      <c r="AR80" s="146"/>
      <c r="AS80" s="148"/>
      <c r="AT80" s="148"/>
      <c r="AU80" s="148"/>
      <c r="AV80" s="148"/>
      <c r="AW80" s="148"/>
      <c r="AX80" s="147"/>
      <c r="AY80" s="146"/>
      <c r="AZ80" s="235"/>
      <c r="BA80" s="138"/>
      <c r="BB80" s="266" t="s">
        <v>162</v>
      </c>
      <c r="BC80" s="266"/>
      <c r="BD80" s="136"/>
    </row>
    <row r="81" spans="2:56" ht="8.1" customHeight="1" x14ac:dyDescent="0.25">
      <c r="B81" s="234" t="s">
        <v>163</v>
      </c>
      <c r="C81" s="154"/>
      <c r="D81" s="153"/>
      <c r="E81" s="153"/>
      <c r="F81" s="153"/>
      <c r="G81" s="153"/>
      <c r="H81" s="152"/>
      <c r="I81" s="151"/>
      <c r="K81" s="153"/>
      <c r="L81" s="153"/>
      <c r="M81" s="153"/>
      <c r="N81" s="153"/>
      <c r="O81" s="152"/>
      <c r="P81" s="151"/>
      <c r="R81" s="153"/>
      <c r="S81" s="153"/>
      <c r="T81" s="153"/>
      <c r="U81" s="153"/>
      <c r="V81" s="152"/>
      <c r="W81" s="151"/>
      <c r="Y81" s="153"/>
      <c r="Z81" s="153"/>
      <c r="AA81" s="153"/>
      <c r="AB81" s="153"/>
      <c r="AC81" s="152"/>
      <c r="AD81" s="151"/>
      <c r="AF81" s="153"/>
      <c r="AG81" s="153"/>
      <c r="AH81" s="153"/>
      <c r="AI81" s="153"/>
      <c r="AJ81" s="152"/>
      <c r="AK81" s="151"/>
      <c r="AL81" s="153"/>
      <c r="AM81" s="153"/>
      <c r="AN81" s="153"/>
      <c r="AO81" s="153"/>
      <c r="AP81" s="153"/>
      <c r="AQ81" s="152"/>
      <c r="AR81" s="151"/>
      <c r="AS81" s="153"/>
      <c r="AT81" s="153"/>
      <c r="AU81" s="153"/>
      <c r="AV81" s="153"/>
      <c r="AW81" s="153"/>
      <c r="AX81" s="152"/>
      <c r="AY81" s="151"/>
      <c r="AZ81" s="234" t="s">
        <v>163</v>
      </c>
      <c r="BA81" s="138"/>
      <c r="BB81" s="266"/>
      <c r="BC81" s="266"/>
      <c r="BD81" s="136"/>
    </row>
    <row r="82" spans="2:56" ht="8.1" customHeight="1" x14ac:dyDescent="0.25">
      <c r="B82" s="234"/>
      <c r="C82" s="150"/>
      <c r="D82" s="148"/>
      <c r="E82" s="148"/>
      <c r="F82" s="148"/>
      <c r="G82" s="148"/>
      <c r="H82" s="147"/>
      <c r="I82" s="146"/>
      <c r="J82" s="149"/>
      <c r="K82" s="148"/>
      <c r="L82" s="148"/>
      <c r="M82" s="148"/>
      <c r="N82" s="148"/>
      <c r="O82" s="147"/>
      <c r="P82" s="146"/>
      <c r="Q82" s="149"/>
      <c r="R82" s="148"/>
      <c r="S82" s="148"/>
      <c r="T82" s="148"/>
      <c r="U82" s="148"/>
      <c r="V82" s="147"/>
      <c r="W82" s="146"/>
      <c r="X82" s="149"/>
      <c r="Y82" s="148"/>
      <c r="Z82" s="148"/>
      <c r="AA82" s="148"/>
      <c r="AB82" s="148"/>
      <c r="AC82" s="147"/>
      <c r="AD82" s="146"/>
      <c r="AE82" s="149"/>
      <c r="AF82" s="148"/>
      <c r="AG82" s="148"/>
      <c r="AH82" s="148"/>
      <c r="AI82" s="148"/>
      <c r="AJ82" s="147"/>
      <c r="AK82" s="146"/>
      <c r="AL82" s="148"/>
      <c r="AM82" s="148"/>
      <c r="AN82" s="148"/>
      <c r="AO82" s="148"/>
      <c r="AP82" s="148"/>
      <c r="AQ82" s="147"/>
      <c r="AR82" s="146"/>
      <c r="AS82" s="148"/>
      <c r="AT82" s="148"/>
      <c r="AU82" s="148"/>
      <c r="AV82" s="148"/>
      <c r="AW82" s="148"/>
      <c r="AX82" s="147"/>
      <c r="AY82" s="146"/>
      <c r="AZ82" s="234"/>
      <c r="BA82" s="138"/>
      <c r="BB82" s="266"/>
      <c r="BC82" s="266"/>
      <c r="BD82" s="136"/>
    </row>
    <row r="83" spans="2:56" ht="8.1" customHeight="1" x14ac:dyDescent="0.25">
      <c r="B83" s="145"/>
      <c r="C83" s="144"/>
      <c r="D83" s="142"/>
      <c r="E83" s="142"/>
      <c r="F83" s="142"/>
      <c r="G83" s="142"/>
      <c r="H83" s="141"/>
      <c r="I83" s="140"/>
      <c r="J83" s="143"/>
      <c r="K83" s="142"/>
      <c r="L83" s="142"/>
      <c r="M83" s="142"/>
      <c r="N83" s="142"/>
      <c r="O83" s="141"/>
      <c r="P83" s="140"/>
      <c r="Q83" s="143"/>
      <c r="R83" s="142"/>
      <c r="S83" s="142"/>
      <c r="T83" s="142"/>
      <c r="U83" s="142"/>
      <c r="V83" s="141"/>
      <c r="W83" s="140"/>
      <c r="X83" s="143"/>
      <c r="Y83" s="142"/>
      <c r="Z83" s="142"/>
      <c r="AA83" s="142"/>
      <c r="AB83" s="142"/>
      <c r="AC83" s="141"/>
      <c r="AD83" s="140"/>
      <c r="AE83" s="143"/>
      <c r="AF83" s="142"/>
      <c r="AG83" s="142"/>
      <c r="AH83" s="142"/>
      <c r="AI83" s="142"/>
      <c r="AJ83" s="141"/>
      <c r="AK83" s="140"/>
      <c r="AL83" s="142"/>
      <c r="AM83" s="142"/>
      <c r="AN83" s="142"/>
      <c r="AO83" s="142"/>
      <c r="AP83" s="142"/>
      <c r="AQ83" s="141"/>
      <c r="AR83" s="140"/>
      <c r="AS83" s="142"/>
      <c r="AT83" s="142"/>
      <c r="AU83" s="142"/>
      <c r="AV83" s="142"/>
      <c r="AW83" s="142"/>
      <c r="AX83" s="141"/>
      <c r="AY83" s="140"/>
      <c r="AZ83" s="139"/>
      <c r="BA83" s="138"/>
      <c r="BB83" s="137"/>
      <c r="BC83" s="137"/>
      <c r="BD83" s="136"/>
    </row>
    <row r="84" spans="2:56" ht="15" hidden="1" customHeight="1" x14ac:dyDescent="0.25">
      <c r="BA84" s="138"/>
      <c r="BB84" s="137"/>
      <c r="BC84" s="137"/>
      <c r="BD84" s="136"/>
    </row>
    <row r="85" spans="2:56" ht="15" hidden="1" customHeight="1" x14ac:dyDescent="0.25">
      <c r="BA85" s="135"/>
      <c r="BB85" s="134"/>
      <c r="BC85" s="134"/>
      <c r="BD85" s="133"/>
    </row>
    <row r="86" spans="2:56" ht="15" hidden="1" customHeight="1" x14ac:dyDescent="0.25"/>
    <row r="87" spans="2:56" ht="15" hidden="1" customHeight="1" x14ac:dyDescent="0.25"/>
    <row r="88" spans="2:56" ht="15" hidden="1" customHeight="1" x14ac:dyDescent="0.25"/>
    <row r="89" spans="2:56" ht="15" hidden="1" customHeight="1" x14ac:dyDescent="0.25"/>
    <row r="90" spans="2:56" ht="15" hidden="1" customHeight="1" x14ac:dyDescent="0.25"/>
    <row r="91" spans="2:56" ht="15" hidden="1" customHeight="1" x14ac:dyDescent="0.25"/>
    <row r="92" spans="2:56" ht="15" hidden="1" customHeight="1" x14ac:dyDescent="0.25"/>
    <row r="93" spans="2:56" ht="15" hidden="1" customHeight="1" x14ac:dyDescent="0.25"/>
    <row r="94" spans="2:56" ht="15" hidden="1" customHeight="1" x14ac:dyDescent="0.25"/>
    <row r="95" spans="2:56" ht="15" hidden="1" customHeight="1" x14ac:dyDescent="0.25"/>
    <row r="96" spans="2:56" ht="15" hidden="1" customHeight="1" x14ac:dyDescent="0.25"/>
    <row r="97" spans="3:56" ht="15" hidden="1" customHeight="1" x14ac:dyDescent="0.25"/>
    <row r="98" spans="3:56" ht="15" hidden="1" customHeight="1" x14ac:dyDescent="0.25"/>
    <row r="99" spans="3:56" ht="15" hidden="1" customHeight="1" x14ac:dyDescent="0.25"/>
    <row r="100" spans="3:56" ht="15" hidden="1" customHeight="1" x14ac:dyDescent="0.25"/>
    <row r="101" spans="3:56" ht="15" hidden="1" customHeight="1" x14ac:dyDescent="0.25"/>
    <row r="102" spans="3:56" ht="15" hidden="1" customHeight="1" x14ac:dyDescent="0.25"/>
    <row r="103" spans="3:56" ht="15" hidden="1" customHeight="1" x14ac:dyDescent="0.25"/>
    <row r="104" spans="3:56" ht="15" hidden="1" customHeight="1" x14ac:dyDescent="0.25"/>
    <row r="105" spans="3:56" ht="15" hidden="1" customHeight="1" x14ac:dyDescent="0.25"/>
    <row r="106" spans="3:56" ht="15" hidden="1" customHeight="1" x14ac:dyDescent="0.25"/>
    <row r="107" spans="3:56" ht="15" hidden="1" customHeight="1" x14ac:dyDescent="0.25"/>
    <row r="108" spans="3:56" ht="15" hidden="1" customHeight="1" x14ac:dyDescent="0.25"/>
    <row r="109" spans="3:56" ht="15" hidden="1" customHeight="1" x14ac:dyDescent="0.25"/>
    <row r="110" spans="3:56" ht="15" hidden="1" customHeight="1" x14ac:dyDescent="0.25"/>
    <row r="111" spans="3:56" ht="15" hidden="1" customHeight="1" x14ac:dyDescent="0.25"/>
    <row r="112" spans="3:56" ht="15" hidden="1" customHeight="1" x14ac:dyDescent="0.25">
      <c r="C112" s="246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7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BA112" s="131"/>
      <c r="BB112" s="131"/>
      <c r="BC112" s="131"/>
      <c r="BD112" s="131"/>
    </row>
    <row r="113" spans="1:56" ht="15" hidden="1" customHeight="1" x14ac:dyDescent="0.25"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</row>
    <row r="114" spans="1:56" ht="15.75" hidden="1" customHeight="1" x14ac:dyDescent="0.25">
      <c r="C114" s="250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</row>
    <row r="115" spans="1:56" ht="9.75" customHeight="1" x14ac:dyDescent="0.25">
      <c r="BA115" s="131"/>
      <c r="BB115" s="131"/>
      <c r="BC115" s="131"/>
      <c r="BD115" s="131"/>
    </row>
    <row r="116" spans="1:56" ht="12.75" customHeight="1" x14ac:dyDescent="0.25">
      <c r="A116" s="252"/>
      <c r="B116" s="253"/>
      <c r="C116" s="255" t="s">
        <v>164</v>
      </c>
      <c r="D116" s="256"/>
      <c r="E116" s="256"/>
      <c r="F116" s="256"/>
      <c r="G116" s="256"/>
      <c r="H116" s="256"/>
      <c r="I116" s="257"/>
      <c r="J116" s="255" t="s">
        <v>165</v>
      </c>
      <c r="K116" s="256"/>
      <c r="L116" s="256"/>
      <c r="M116" s="256"/>
      <c r="N116" s="256"/>
      <c r="O116" s="256"/>
      <c r="P116" s="257"/>
      <c r="Q116" s="255" t="s">
        <v>166</v>
      </c>
      <c r="R116" s="256"/>
      <c r="S116" s="256"/>
      <c r="T116" s="256"/>
      <c r="U116" s="256"/>
      <c r="V116" s="256"/>
      <c r="W116" s="257"/>
      <c r="X116" s="255" t="s">
        <v>167</v>
      </c>
      <c r="Y116" s="256"/>
      <c r="Z116" s="256"/>
      <c r="AA116" s="256"/>
      <c r="AB116" s="256"/>
      <c r="AC116" s="256"/>
      <c r="AD116" s="257"/>
      <c r="AE116" s="255" t="s">
        <v>168</v>
      </c>
      <c r="AF116" s="256"/>
      <c r="AG116" s="256"/>
      <c r="AH116" s="256"/>
      <c r="AI116" s="256"/>
      <c r="AJ116" s="256"/>
      <c r="AK116" s="257"/>
      <c r="AL116" s="255" t="s">
        <v>125</v>
      </c>
      <c r="AM116" s="256"/>
      <c r="AN116" s="256"/>
      <c r="AO116" s="256"/>
      <c r="AP116" s="256"/>
      <c r="AQ116" s="256"/>
      <c r="AR116" s="257"/>
      <c r="AS116" s="255" t="s">
        <v>125</v>
      </c>
      <c r="AT116" s="256"/>
      <c r="AU116" s="256"/>
      <c r="AV116" s="256"/>
      <c r="AW116" s="256"/>
      <c r="AX116" s="256"/>
      <c r="AY116" s="257"/>
    </row>
    <row r="117" spans="1:56" ht="9.75" customHeight="1" x14ac:dyDescent="0.25">
      <c r="A117" s="252"/>
      <c r="B117" s="254"/>
      <c r="C117" s="230">
        <f>'WAP - Wo 2'!$AS$6+1</f>
        <v>46307</v>
      </c>
      <c r="D117" s="231"/>
      <c r="E117" s="231"/>
      <c r="F117" s="231"/>
      <c r="G117" s="231"/>
      <c r="H117" s="231"/>
      <c r="I117" s="232"/>
      <c r="J117" s="230">
        <f>C117+1</f>
        <v>46308</v>
      </c>
      <c r="K117" s="231"/>
      <c r="L117" s="231"/>
      <c r="M117" s="231"/>
      <c r="N117" s="231"/>
      <c r="O117" s="231"/>
      <c r="P117" s="232"/>
      <c r="Q117" s="230">
        <f>J117+1</f>
        <v>46309</v>
      </c>
      <c r="R117" s="231"/>
      <c r="S117" s="231"/>
      <c r="T117" s="231"/>
      <c r="U117" s="231"/>
      <c r="V117" s="231"/>
      <c r="W117" s="232"/>
      <c r="X117" s="230">
        <f>Q117+1</f>
        <v>46310</v>
      </c>
      <c r="Y117" s="231"/>
      <c r="Z117" s="231"/>
      <c r="AA117" s="231"/>
      <c r="AB117" s="231"/>
      <c r="AC117" s="231"/>
      <c r="AD117" s="232"/>
      <c r="AE117" s="230">
        <f>X117+1</f>
        <v>46311</v>
      </c>
      <c r="AF117" s="231"/>
      <c r="AG117" s="231"/>
      <c r="AH117" s="231"/>
      <c r="AI117" s="231"/>
      <c r="AJ117" s="231"/>
      <c r="AK117" s="232"/>
      <c r="AL117" s="230">
        <f>AE117+1</f>
        <v>46312</v>
      </c>
      <c r="AM117" s="231"/>
      <c r="AN117" s="231"/>
      <c r="AO117" s="231"/>
      <c r="AP117" s="231"/>
      <c r="AQ117" s="231"/>
      <c r="AR117" s="232"/>
      <c r="AS117" s="230">
        <f>AL117+1</f>
        <v>46313</v>
      </c>
      <c r="AT117" s="231"/>
      <c r="AU117" s="231"/>
      <c r="AV117" s="231"/>
      <c r="AW117" s="231"/>
      <c r="AX117" s="231"/>
      <c r="AY117" s="232"/>
    </row>
    <row r="118" spans="1:56" s="128" customFormat="1" ht="9.6" customHeight="1" x14ac:dyDescent="0.25">
      <c r="A118" s="130"/>
      <c r="B118" s="221" t="s">
        <v>169</v>
      </c>
      <c r="C118" s="211">
        <v>10</v>
      </c>
      <c r="D118" s="219"/>
      <c r="E118" s="219"/>
      <c r="F118" s="219"/>
      <c r="G118" s="219"/>
      <c r="H118" s="219"/>
      <c r="I118" s="219"/>
      <c r="J118" s="211"/>
      <c r="K118" s="219"/>
      <c r="L118" s="219"/>
      <c r="M118" s="219"/>
      <c r="N118" s="219"/>
      <c r="O118" s="219"/>
      <c r="P118" s="220"/>
      <c r="Q118" s="211">
        <v>30</v>
      </c>
      <c r="R118" s="219" t="s">
        <v>200</v>
      </c>
      <c r="S118" s="219"/>
      <c r="T118" s="219"/>
      <c r="U118" s="219"/>
      <c r="V118" s="219"/>
      <c r="W118" s="220"/>
      <c r="X118" s="211"/>
      <c r="Y118" s="219"/>
      <c r="Z118" s="219"/>
      <c r="AA118" s="219"/>
      <c r="AB118" s="219"/>
      <c r="AC118" s="219"/>
      <c r="AD118" s="219"/>
      <c r="AE118" s="211"/>
      <c r="AF118" s="219"/>
      <c r="AG118" s="219"/>
      <c r="AH118" s="219"/>
      <c r="AI118" s="219"/>
      <c r="AJ118" s="219"/>
      <c r="AK118" s="220"/>
      <c r="AL118" s="209"/>
      <c r="AM118" s="272"/>
      <c r="AN118" s="272"/>
      <c r="AO118" s="272"/>
      <c r="AP118" s="272"/>
      <c r="AQ118" s="272"/>
      <c r="AR118" s="273"/>
      <c r="AS118" s="206"/>
      <c r="AT118" s="270"/>
      <c r="AU118" s="270"/>
      <c r="AV118" s="270"/>
      <c r="AW118" s="270"/>
      <c r="AX118" s="270"/>
      <c r="AY118" s="271"/>
      <c r="BA118" s="129"/>
    </row>
    <row r="119" spans="1:56" s="128" customFormat="1" ht="9.6" customHeight="1" x14ac:dyDescent="0.25">
      <c r="A119" s="130"/>
      <c r="B119" s="222"/>
      <c r="C119" s="212">
        <v>11</v>
      </c>
      <c r="D119" s="215"/>
      <c r="E119" s="215"/>
      <c r="F119" s="215"/>
      <c r="G119" s="215"/>
      <c r="H119" s="215"/>
      <c r="I119" s="215"/>
      <c r="J119" s="212"/>
      <c r="K119" s="215"/>
      <c r="L119" s="215"/>
      <c r="M119" s="215"/>
      <c r="N119" s="215"/>
      <c r="O119" s="215"/>
      <c r="P119" s="216"/>
      <c r="Q119" s="212">
        <v>31</v>
      </c>
      <c r="R119" s="215" t="s">
        <v>201</v>
      </c>
      <c r="S119" s="215"/>
      <c r="T119" s="215"/>
      <c r="U119" s="215"/>
      <c r="V119" s="215"/>
      <c r="W119" s="216"/>
      <c r="X119" s="212"/>
      <c r="Y119" s="215"/>
      <c r="Z119" s="215"/>
      <c r="AA119" s="215"/>
      <c r="AB119" s="215"/>
      <c r="AC119" s="215"/>
      <c r="AD119" s="215"/>
      <c r="AE119" s="212"/>
      <c r="AF119" s="215"/>
      <c r="AG119" s="215"/>
      <c r="AH119" s="215"/>
      <c r="AI119" s="215"/>
      <c r="AJ119" s="215"/>
      <c r="AK119" s="216"/>
      <c r="AL119" s="205"/>
      <c r="AM119" s="268"/>
      <c r="AN119" s="268"/>
      <c r="AO119" s="268"/>
      <c r="AP119" s="268"/>
      <c r="AQ119" s="268"/>
      <c r="AR119" s="269"/>
      <c r="AS119" s="207"/>
      <c r="AT119" s="268"/>
      <c r="AU119" s="268"/>
      <c r="AV119" s="268"/>
      <c r="AW119" s="268"/>
      <c r="AX119" s="268"/>
      <c r="AY119" s="269"/>
      <c r="BA119" s="129"/>
    </row>
    <row r="120" spans="1:56" s="128" customFormat="1" ht="9.6" customHeight="1" x14ac:dyDescent="0.25">
      <c r="A120" s="130"/>
      <c r="B120" s="222"/>
      <c r="C120" s="212"/>
      <c r="D120" s="215"/>
      <c r="E120" s="215"/>
      <c r="F120" s="215"/>
      <c r="G120" s="215"/>
      <c r="H120" s="215"/>
      <c r="I120" s="215"/>
      <c r="J120" s="212"/>
      <c r="K120" s="215"/>
      <c r="L120" s="215"/>
      <c r="M120" s="215"/>
      <c r="N120" s="215"/>
      <c r="O120" s="215"/>
      <c r="P120" s="216"/>
      <c r="Q120" s="212">
        <v>32</v>
      </c>
      <c r="R120" s="215" t="s">
        <v>202</v>
      </c>
      <c r="S120" s="215"/>
      <c r="T120" s="215"/>
      <c r="U120" s="215"/>
      <c r="V120" s="215"/>
      <c r="W120" s="216"/>
      <c r="X120" s="212"/>
      <c r="Y120" s="215"/>
      <c r="Z120" s="215"/>
      <c r="AA120" s="215"/>
      <c r="AB120" s="215"/>
      <c r="AC120" s="215"/>
      <c r="AD120" s="215"/>
      <c r="AE120" s="212"/>
      <c r="AF120" s="215"/>
      <c r="AG120" s="215"/>
      <c r="AH120" s="215"/>
      <c r="AI120" s="215"/>
      <c r="AJ120" s="215"/>
      <c r="AK120" s="216"/>
      <c r="AL120" s="205"/>
      <c r="AM120" s="268"/>
      <c r="AN120" s="268"/>
      <c r="AO120" s="268"/>
      <c r="AP120" s="268"/>
      <c r="AQ120" s="268"/>
      <c r="AR120" s="269"/>
      <c r="AS120" s="207"/>
      <c r="AT120" s="268"/>
      <c r="AU120" s="268"/>
      <c r="AV120" s="268"/>
      <c r="AW120" s="268"/>
      <c r="AX120" s="268"/>
      <c r="AY120" s="269"/>
      <c r="BA120" s="129"/>
    </row>
    <row r="121" spans="1:56" s="128" customFormat="1" ht="9.6" customHeight="1" x14ac:dyDescent="0.25">
      <c r="A121" s="130"/>
      <c r="B121" s="222"/>
      <c r="C121" s="212"/>
      <c r="D121" s="215"/>
      <c r="E121" s="215"/>
      <c r="F121" s="215"/>
      <c r="G121" s="215"/>
      <c r="H121" s="215"/>
      <c r="I121" s="215"/>
      <c r="J121" s="212"/>
      <c r="K121" s="215"/>
      <c r="L121" s="215"/>
      <c r="M121" s="215"/>
      <c r="N121" s="215"/>
      <c r="O121" s="215"/>
      <c r="P121" s="216"/>
      <c r="Q121" s="212">
        <v>33</v>
      </c>
      <c r="R121" s="215" t="s">
        <v>203</v>
      </c>
      <c r="S121" s="215"/>
      <c r="T121" s="215"/>
      <c r="U121" s="215"/>
      <c r="V121" s="215"/>
      <c r="W121" s="216"/>
      <c r="X121" s="212"/>
      <c r="Y121" s="215"/>
      <c r="Z121" s="215"/>
      <c r="AA121" s="215"/>
      <c r="AB121" s="215"/>
      <c r="AC121" s="215"/>
      <c r="AD121" s="215"/>
      <c r="AE121" s="212"/>
      <c r="AF121" s="215"/>
      <c r="AG121" s="215"/>
      <c r="AH121" s="215"/>
      <c r="AI121" s="215"/>
      <c r="AJ121" s="215"/>
      <c r="AK121" s="216"/>
      <c r="AL121" s="205"/>
      <c r="AM121" s="268"/>
      <c r="AN121" s="268"/>
      <c r="AO121" s="268"/>
      <c r="AP121" s="268"/>
      <c r="AQ121" s="268"/>
      <c r="AR121" s="269"/>
      <c r="AS121" s="207"/>
      <c r="AT121" s="268"/>
      <c r="AU121" s="268"/>
      <c r="AV121" s="268"/>
      <c r="AW121" s="268"/>
      <c r="AX121" s="268"/>
      <c r="AY121" s="269"/>
      <c r="BA121" s="129"/>
    </row>
    <row r="122" spans="1:56" s="128" customFormat="1" ht="9.6" customHeight="1" x14ac:dyDescent="0.25">
      <c r="A122" s="130"/>
      <c r="B122" s="222"/>
      <c r="C122" s="212"/>
      <c r="D122" s="215"/>
      <c r="E122" s="215"/>
      <c r="F122" s="215"/>
      <c r="G122" s="215"/>
      <c r="H122" s="215"/>
      <c r="I122" s="215"/>
      <c r="J122" s="212"/>
      <c r="K122" s="215"/>
      <c r="L122" s="215"/>
      <c r="M122" s="215"/>
      <c r="N122" s="215"/>
      <c r="O122" s="215"/>
      <c r="P122" s="216"/>
      <c r="Q122" s="212">
        <v>34</v>
      </c>
      <c r="R122" s="215" t="s">
        <v>204</v>
      </c>
      <c r="S122" s="215"/>
      <c r="T122" s="215"/>
      <c r="U122" s="215"/>
      <c r="V122" s="215"/>
      <c r="W122" s="216"/>
      <c r="X122" s="212"/>
      <c r="Y122" s="215"/>
      <c r="Z122" s="215"/>
      <c r="AA122" s="215"/>
      <c r="AB122" s="215"/>
      <c r="AC122" s="215"/>
      <c r="AD122" s="215"/>
      <c r="AE122" s="212"/>
      <c r="AF122" s="215"/>
      <c r="AG122" s="215"/>
      <c r="AH122" s="215"/>
      <c r="AI122" s="215"/>
      <c r="AJ122" s="215"/>
      <c r="AK122" s="216"/>
      <c r="AL122" s="205"/>
      <c r="AM122" s="268"/>
      <c r="AN122" s="268"/>
      <c r="AO122" s="268"/>
      <c r="AP122" s="268"/>
      <c r="AQ122" s="268"/>
      <c r="AR122" s="269"/>
      <c r="AS122" s="207"/>
      <c r="AT122" s="268"/>
      <c r="AU122" s="268"/>
      <c r="AV122" s="268"/>
      <c r="AW122" s="268"/>
      <c r="AX122" s="268"/>
      <c r="AY122" s="269"/>
      <c r="BA122" s="129"/>
    </row>
    <row r="123" spans="1:56" s="128" customFormat="1" ht="9.6" customHeight="1" x14ac:dyDescent="0.25">
      <c r="A123" s="130"/>
      <c r="B123" s="222"/>
      <c r="C123" s="212"/>
      <c r="D123" s="215"/>
      <c r="E123" s="215"/>
      <c r="F123" s="215"/>
      <c r="G123" s="215"/>
      <c r="H123" s="215"/>
      <c r="I123" s="215"/>
      <c r="J123" s="212"/>
      <c r="K123" s="215"/>
      <c r="L123" s="215"/>
      <c r="M123" s="215"/>
      <c r="N123" s="215"/>
      <c r="O123" s="215"/>
      <c r="P123" s="216"/>
      <c r="Q123" s="212"/>
      <c r="R123" s="215"/>
      <c r="S123" s="215"/>
      <c r="T123" s="215"/>
      <c r="U123" s="215"/>
      <c r="V123" s="215"/>
      <c r="W123" s="216"/>
      <c r="X123" s="212"/>
      <c r="Y123" s="215"/>
      <c r="Z123" s="215"/>
      <c r="AA123" s="215"/>
      <c r="AB123" s="215"/>
      <c r="AC123" s="215"/>
      <c r="AD123" s="215"/>
      <c r="AE123" s="212"/>
      <c r="AF123" s="215"/>
      <c r="AG123" s="215"/>
      <c r="AH123" s="215"/>
      <c r="AI123" s="215"/>
      <c r="AJ123" s="215"/>
      <c r="AK123" s="216"/>
      <c r="AL123" s="205"/>
      <c r="AM123" s="268"/>
      <c r="AN123" s="268"/>
      <c r="AO123" s="268"/>
      <c r="AP123" s="268"/>
      <c r="AQ123" s="268"/>
      <c r="AR123" s="269"/>
      <c r="AS123" s="207"/>
      <c r="AT123" s="268"/>
      <c r="AU123" s="268"/>
      <c r="AV123" s="268"/>
      <c r="AW123" s="268"/>
      <c r="AX123" s="268"/>
      <c r="AY123" s="269"/>
      <c r="BA123" s="129"/>
    </row>
    <row r="124" spans="1:56" s="128" customFormat="1" ht="9.6" customHeight="1" x14ac:dyDescent="0.25">
      <c r="A124" s="130"/>
      <c r="B124" s="222"/>
      <c r="C124" s="212"/>
      <c r="D124" s="215"/>
      <c r="E124" s="215"/>
      <c r="F124" s="215"/>
      <c r="G124" s="215"/>
      <c r="H124" s="215"/>
      <c r="I124" s="215"/>
      <c r="J124" s="212"/>
      <c r="K124" s="215"/>
      <c r="L124" s="215"/>
      <c r="M124" s="215"/>
      <c r="N124" s="215"/>
      <c r="O124" s="215"/>
      <c r="P124" s="216"/>
      <c r="Q124" s="212"/>
      <c r="R124" s="215"/>
      <c r="S124" s="215"/>
      <c r="T124" s="215"/>
      <c r="U124" s="215"/>
      <c r="V124" s="215"/>
      <c r="W124" s="216"/>
      <c r="X124" s="212"/>
      <c r="Y124" s="215"/>
      <c r="Z124" s="215"/>
      <c r="AA124" s="215"/>
      <c r="AB124" s="215"/>
      <c r="AC124" s="215"/>
      <c r="AD124" s="215"/>
      <c r="AE124" s="212"/>
      <c r="AF124" s="215"/>
      <c r="AG124" s="215"/>
      <c r="AH124" s="215"/>
      <c r="AI124" s="215"/>
      <c r="AJ124" s="215"/>
      <c r="AK124" s="216"/>
      <c r="AL124" s="205"/>
      <c r="AM124" s="268"/>
      <c r="AN124" s="268"/>
      <c r="AO124" s="268"/>
      <c r="AP124" s="268"/>
      <c r="AQ124" s="268"/>
      <c r="AR124" s="269"/>
      <c r="AS124" s="207"/>
      <c r="AT124" s="268"/>
      <c r="AU124" s="268"/>
      <c r="AV124" s="268"/>
      <c r="AW124" s="268"/>
      <c r="AX124" s="268"/>
      <c r="AY124" s="269"/>
      <c r="BA124" s="129"/>
    </row>
    <row r="125" spans="1:56" s="128" customFormat="1" ht="9.6" customHeight="1" x14ac:dyDescent="0.25">
      <c r="A125" s="130"/>
      <c r="B125" s="223"/>
      <c r="C125" s="213"/>
      <c r="D125" s="217"/>
      <c r="E125" s="217"/>
      <c r="F125" s="217"/>
      <c r="G125" s="217"/>
      <c r="H125" s="217"/>
      <c r="I125" s="217"/>
      <c r="J125" s="213"/>
      <c r="K125" s="217"/>
      <c r="L125" s="217"/>
      <c r="M125" s="217"/>
      <c r="N125" s="217"/>
      <c r="O125" s="217"/>
      <c r="P125" s="218"/>
      <c r="Q125" s="213"/>
      <c r="R125" s="217"/>
      <c r="S125" s="217"/>
      <c r="T125" s="217"/>
      <c r="U125" s="217"/>
      <c r="V125" s="217"/>
      <c r="W125" s="218"/>
      <c r="X125" s="213"/>
      <c r="Y125" s="217"/>
      <c r="Z125" s="217"/>
      <c r="AA125" s="217"/>
      <c r="AB125" s="217"/>
      <c r="AC125" s="217"/>
      <c r="AD125" s="217"/>
      <c r="AE125" s="213"/>
      <c r="AF125" s="217"/>
      <c r="AG125" s="217"/>
      <c r="AH125" s="217"/>
      <c r="AI125" s="217"/>
      <c r="AJ125" s="217"/>
      <c r="AK125" s="218"/>
      <c r="AL125" s="210"/>
      <c r="AM125" s="268"/>
      <c r="AN125" s="268"/>
      <c r="AO125" s="268"/>
      <c r="AP125" s="268"/>
      <c r="AQ125" s="268"/>
      <c r="AR125" s="269"/>
      <c r="AS125" s="208"/>
      <c r="AT125" s="268"/>
      <c r="AU125" s="268"/>
      <c r="AV125" s="268"/>
      <c r="AW125" s="268"/>
      <c r="AX125" s="268"/>
      <c r="AY125" s="269"/>
      <c r="BA125" s="129"/>
    </row>
    <row r="126" spans="1:56" x14ac:dyDescent="0.25">
      <c r="B126" s="127" t="s">
        <v>37</v>
      </c>
      <c r="C126" s="265" t="str">
        <f>VLOOKUP(C117,Einstellungen!$G$34:$H$60,2,FALSE)</f>
        <v>Oblt Sieber</v>
      </c>
      <c r="D126" s="265"/>
      <c r="E126" s="265"/>
      <c r="F126" s="265"/>
      <c r="G126" s="265"/>
      <c r="H126" s="265"/>
      <c r="I126" s="265"/>
      <c r="J126" s="265" t="str">
        <f>VLOOKUP(J117,Einstellungen!$G$34:$H$60,2,FALSE)</f>
        <v>Lt Gemeinder</v>
      </c>
      <c r="K126" s="265"/>
      <c r="L126" s="265"/>
      <c r="M126" s="265"/>
      <c r="N126" s="265"/>
      <c r="O126" s="265"/>
      <c r="P126" s="265"/>
      <c r="Q126" s="265" t="str">
        <f>VLOOKUP(Q117,Einstellungen!$G$34:$H$60,2,FALSE)</f>
        <v>Lt Köchli</v>
      </c>
      <c r="R126" s="265"/>
      <c r="S126" s="265"/>
      <c r="T126" s="265"/>
      <c r="U126" s="265"/>
      <c r="V126" s="265"/>
      <c r="W126" s="265"/>
      <c r="X126" s="265" t="str">
        <f>VLOOKUP(X117,Einstellungen!$G$34:$H$60,2,FALSE)</f>
        <v>Lt Lehner</v>
      </c>
      <c r="Y126" s="265"/>
      <c r="Z126" s="265"/>
      <c r="AA126" s="265"/>
      <c r="AB126" s="265"/>
      <c r="AC126" s="265"/>
      <c r="AD126" s="265"/>
      <c r="AE126" s="265" t="str">
        <f>VLOOKUP(AE117,Einstellungen!$G$34:$H$60,2,FALSE)</f>
        <v>Lt Christophe Lopez-Polo</v>
      </c>
      <c r="AF126" s="265"/>
      <c r="AG126" s="265"/>
      <c r="AH126" s="265"/>
      <c r="AI126" s="265"/>
      <c r="AJ126" s="265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265"/>
      <c r="AU126" s="265"/>
      <c r="AV126" s="265"/>
      <c r="AW126" s="265"/>
      <c r="AX126" s="265"/>
      <c r="AY126" s="265"/>
    </row>
  </sheetData>
  <mergeCells count="177">
    <mergeCell ref="AS126:AY126"/>
    <mergeCell ref="AE116:AK116"/>
    <mergeCell ref="AE117:AK117"/>
    <mergeCell ref="AE126:AK126"/>
    <mergeCell ref="C126:I126"/>
    <mergeCell ref="J126:P126"/>
    <mergeCell ref="Q126:W126"/>
    <mergeCell ref="X126:AD126"/>
    <mergeCell ref="AL126:AR126"/>
    <mergeCell ref="AS117:AY117"/>
    <mergeCell ref="R121:W121"/>
    <mergeCell ref="Y121:AD121"/>
    <mergeCell ref="AF121:AK121"/>
    <mergeCell ref="AM121:AR121"/>
    <mergeCell ref="AT121:AY121"/>
    <mergeCell ref="D122:I122"/>
    <mergeCell ref="K122:P122"/>
    <mergeCell ref="R122:W122"/>
    <mergeCell ref="Y122:AD122"/>
    <mergeCell ref="AF122:AK122"/>
    <mergeCell ref="AM122:AR122"/>
    <mergeCell ref="AT122:AY122"/>
    <mergeCell ref="D123:I123"/>
    <mergeCell ref="K123:P123"/>
    <mergeCell ref="B81:B82"/>
    <mergeCell ref="AZ81:AZ82"/>
    <mergeCell ref="C112:AK114"/>
    <mergeCell ref="A116:B117"/>
    <mergeCell ref="C116:I116"/>
    <mergeCell ref="J116:P116"/>
    <mergeCell ref="Q116:W116"/>
    <mergeCell ref="X116:AD116"/>
    <mergeCell ref="B79:B80"/>
    <mergeCell ref="AZ79:AZ80"/>
    <mergeCell ref="AL116:AR116"/>
    <mergeCell ref="AS116:AY116"/>
    <mergeCell ref="C117:I117"/>
    <mergeCell ref="J117:P117"/>
    <mergeCell ref="Q117:W117"/>
    <mergeCell ref="X117:AD117"/>
    <mergeCell ref="AL117:AR117"/>
    <mergeCell ref="B39:B40"/>
    <mergeCell ref="BB70:BC71"/>
    <mergeCell ref="B71:B72"/>
    <mergeCell ref="AZ71:AZ72"/>
    <mergeCell ref="B73:B74"/>
    <mergeCell ref="AZ73:AZ74"/>
    <mergeCell ref="B75:B76"/>
    <mergeCell ref="AZ75:AZ76"/>
    <mergeCell ref="B77:B78"/>
    <mergeCell ref="AZ77:AZ78"/>
    <mergeCell ref="B67:B68"/>
    <mergeCell ref="AZ67:AZ68"/>
    <mergeCell ref="B69:B70"/>
    <mergeCell ref="AZ69:AZ70"/>
    <mergeCell ref="B61:B62"/>
    <mergeCell ref="AZ61:AZ62"/>
    <mergeCell ref="B63:B64"/>
    <mergeCell ref="AZ63:AZ64"/>
    <mergeCell ref="B65:B66"/>
    <mergeCell ref="AZ65:AZ66"/>
    <mergeCell ref="B47:B48"/>
    <mergeCell ref="AZ47:AZ48"/>
    <mergeCell ref="B49:B50"/>
    <mergeCell ref="AZ49:AZ50"/>
    <mergeCell ref="B41:B42"/>
    <mergeCell ref="AZ41:AZ42"/>
    <mergeCell ref="B43:B44"/>
    <mergeCell ref="AZ43:AZ44"/>
    <mergeCell ref="B45:B46"/>
    <mergeCell ref="AZ45:AZ46"/>
    <mergeCell ref="BG49:BJ66"/>
    <mergeCell ref="BE50:BE51"/>
    <mergeCell ref="B51:B52"/>
    <mergeCell ref="AZ51:AZ52"/>
    <mergeCell ref="B53:B54"/>
    <mergeCell ref="AZ53:AZ54"/>
    <mergeCell ref="B55:B56"/>
    <mergeCell ref="AZ55:AZ56"/>
    <mergeCell ref="B57:B58"/>
    <mergeCell ref="AZ57:AZ58"/>
    <mergeCell ref="B59:B60"/>
    <mergeCell ref="AZ59:AZ60"/>
    <mergeCell ref="AZ39:AZ40"/>
    <mergeCell ref="AZ15:AZ16"/>
    <mergeCell ref="B17:B18"/>
    <mergeCell ref="AZ17:AZ18"/>
    <mergeCell ref="B19:B20"/>
    <mergeCell ref="AZ19:AZ20"/>
    <mergeCell ref="B21:B22"/>
    <mergeCell ref="AZ21:AZ22"/>
    <mergeCell ref="B23:B24"/>
    <mergeCell ref="AZ23:AZ24"/>
    <mergeCell ref="B25:B26"/>
    <mergeCell ref="AZ25:AZ26"/>
    <mergeCell ref="B27:B28"/>
    <mergeCell ref="AZ27:AZ28"/>
    <mergeCell ref="B29:B30"/>
    <mergeCell ref="AZ29:AZ30"/>
    <mergeCell ref="B31:B32"/>
    <mergeCell ref="AZ31:AZ32"/>
    <mergeCell ref="B33:B34"/>
    <mergeCell ref="AZ33:AZ34"/>
    <mergeCell ref="B35:B36"/>
    <mergeCell ref="AZ35:AZ36"/>
    <mergeCell ref="B37:B38"/>
    <mergeCell ref="AZ37:AZ38"/>
    <mergeCell ref="AL7:AP7"/>
    <mergeCell ref="AS7:AW7"/>
    <mergeCell ref="B9:B10"/>
    <mergeCell ref="AZ9:AZ10"/>
    <mergeCell ref="B11:B12"/>
    <mergeCell ref="AZ11:AZ12"/>
    <mergeCell ref="B13:B14"/>
    <mergeCell ref="AZ13:AZ14"/>
    <mergeCell ref="B15:B16"/>
    <mergeCell ref="B1:K1"/>
    <mergeCell ref="C5:I5"/>
    <mergeCell ref="J5:P5"/>
    <mergeCell ref="Q5:W5"/>
    <mergeCell ref="X5:AD5"/>
    <mergeCell ref="AE5:AK5"/>
    <mergeCell ref="AL5:AR5"/>
    <mergeCell ref="AS5:AY5"/>
    <mergeCell ref="BA5:BD6"/>
    <mergeCell ref="C6:I6"/>
    <mergeCell ref="J6:P6"/>
    <mergeCell ref="Q6:W6"/>
    <mergeCell ref="X6:AD6"/>
    <mergeCell ref="AL6:AR6"/>
    <mergeCell ref="AS6:AY6"/>
    <mergeCell ref="AE6:AK6"/>
    <mergeCell ref="B118:B125"/>
    <mergeCell ref="D118:I118"/>
    <mergeCell ref="K118:P118"/>
    <mergeCell ref="R118:W118"/>
    <mergeCell ref="Y118:AD118"/>
    <mergeCell ref="AF118:AK118"/>
    <mergeCell ref="AM118:AR118"/>
    <mergeCell ref="AT118:AY118"/>
    <mergeCell ref="D119:I119"/>
    <mergeCell ref="K119:P119"/>
    <mergeCell ref="R119:W119"/>
    <mergeCell ref="Y119:AD119"/>
    <mergeCell ref="AF119:AK119"/>
    <mergeCell ref="AM119:AR119"/>
    <mergeCell ref="AT119:AY119"/>
    <mergeCell ref="D120:I120"/>
    <mergeCell ref="K120:P120"/>
    <mergeCell ref="R120:W120"/>
    <mergeCell ref="Y120:AD120"/>
    <mergeCell ref="AF120:AK120"/>
    <mergeCell ref="AM120:AR120"/>
    <mergeCell ref="AT120:AY120"/>
    <mergeCell ref="D121:I121"/>
    <mergeCell ref="K121:P121"/>
    <mergeCell ref="D125:I125"/>
    <mergeCell ref="K125:P125"/>
    <mergeCell ref="R125:W125"/>
    <mergeCell ref="Y125:AD125"/>
    <mergeCell ref="AF125:AK125"/>
    <mergeCell ref="AM125:AR125"/>
    <mergeCell ref="AT125:AY125"/>
    <mergeCell ref="BB72:BC79"/>
    <mergeCell ref="R123:W123"/>
    <mergeCell ref="Y123:AD123"/>
    <mergeCell ref="AF123:AK123"/>
    <mergeCell ref="AM123:AR123"/>
    <mergeCell ref="AT123:AY123"/>
    <mergeCell ref="D124:I124"/>
    <mergeCell ref="K124:P124"/>
    <mergeCell ref="R124:W124"/>
    <mergeCell ref="Y124:AD124"/>
    <mergeCell ref="AF124:AK124"/>
    <mergeCell ref="AM124:AR124"/>
    <mergeCell ref="AT124:AY124"/>
    <mergeCell ref="BB80:BC82"/>
  </mergeCells>
  <printOptions horizontalCentered="1" verticalCentered="1"/>
  <pageMargins left="0.25" right="0.25" top="0.75" bottom="0.75" header="0.3" footer="0.3"/>
  <pageSetup paperSize="9" scale="5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523C-EBC8-499D-831A-B6DF8A03FD5D}">
  <sheetPr codeName="Sheet1">
    <tabColor theme="8" tint="0.59999389629810485"/>
    <pageSetUpPr fitToPage="1"/>
  </sheetPr>
  <dimension ref="A1:N120"/>
  <sheetViews>
    <sheetView showGridLines="0" view="pageBreakPreview" zoomScale="115" zoomScaleNormal="100" zoomScaleSheetLayoutView="130" workbookViewId="0">
      <selection activeCell="A14" sqref="A14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85</v>
      </c>
      <c r="N1" s="41" t="s">
        <v>206</v>
      </c>
    </row>
    <row r="2" spans="1:14" ht="18" customHeight="1" x14ac:dyDescent="0.3">
      <c r="A2" s="32" t="s">
        <v>207</v>
      </c>
      <c r="B2" s="1"/>
      <c r="C2" s="1"/>
      <c r="D2" s="48" t="str">
        <f>IF(EXACT($G$1,"Genehmigt durch Kdt"),"","PROVISORISCH")</f>
        <v>PROVISORISCH</v>
      </c>
      <c r="N2" s="42">
        <v>1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1 für MONTAG, 21.09.2026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x14ac:dyDescent="0.25">
      <c r="A14" s="35" t="s">
        <v>11</v>
      </c>
      <c r="B14" s="7" t="s">
        <v>215</v>
      </c>
      <c r="C14" s="7" t="s">
        <v>216</v>
      </c>
      <c r="D14" s="7" t="s">
        <v>92</v>
      </c>
    </row>
    <row r="15" spans="1:14" s="8" customFormat="1" x14ac:dyDescent="0.25">
      <c r="A15" s="35" t="s">
        <v>217</v>
      </c>
      <c r="B15" s="7" t="s">
        <v>100</v>
      </c>
      <c r="C15" s="7" t="s">
        <v>216</v>
      </c>
      <c r="D15" s="7" t="s">
        <v>92</v>
      </c>
    </row>
    <row r="16" spans="1:14" s="8" customFormat="1" x14ac:dyDescent="0.25">
      <c r="A16" s="35" t="s">
        <v>218</v>
      </c>
      <c r="B16" s="7" t="s">
        <v>219</v>
      </c>
      <c r="C16" s="7" t="s">
        <v>220</v>
      </c>
      <c r="D16" s="7" t="s">
        <v>221</v>
      </c>
    </row>
    <row r="17" spans="1:4" s="8" customFormat="1" x14ac:dyDescent="0.25">
      <c r="A17" s="35" t="s">
        <v>222</v>
      </c>
      <c r="B17" s="7" t="s">
        <v>24</v>
      </c>
      <c r="C17" s="7" t="s">
        <v>84</v>
      </c>
      <c r="D17" s="7" t="s">
        <v>223</v>
      </c>
    </row>
    <row r="18" spans="1:4" s="8" customFormat="1" x14ac:dyDescent="0.25">
      <c r="A18" s="35">
        <v>2300</v>
      </c>
      <c r="B18" s="7" t="s">
        <v>113</v>
      </c>
      <c r="C18" s="7" t="s">
        <v>89</v>
      </c>
      <c r="D18" s="7" t="s">
        <v>223</v>
      </c>
    </row>
    <row r="19" spans="1:4" s="8" customFormat="1" x14ac:dyDescent="0.25">
      <c r="A19" s="35"/>
      <c r="B19" s="7"/>
      <c r="C19" s="7"/>
      <c r="D19" s="7"/>
    </row>
    <row r="20" spans="1:4" s="8" customFormat="1" x14ac:dyDescent="0.25">
      <c r="A20" s="27" t="s">
        <v>224</v>
      </c>
      <c r="B20" s="7"/>
      <c r="C20" s="7"/>
      <c r="D20" s="7"/>
    </row>
    <row r="21" spans="1:4" s="8" customFormat="1" x14ac:dyDescent="0.25">
      <c r="A21" s="64" t="s">
        <v>225</v>
      </c>
      <c r="B21" s="7" t="s">
        <v>226</v>
      </c>
      <c r="C21" s="7" t="s">
        <v>227</v>
      </c>
      <c r="D21" s="7" t="s">
        <v>78</v>
      </c>
    </row>
    <row r="22" spans="1:4" s="8" customFormat="1" x14ac:dyDescent="0.25">
      <c r="A22" s="13" t="s">
        <v>228</v>
      </c>
      <c r="B22" s="7" t="s">
        <v>229</v>
      </c>
      <c r="C22" s="7" t="s">
        <v>68</v>
      </c>
      <c r="D22" s="7" t="s">
        <v>221</v>
      </c>
    </row>
    <row r="23" spans="1:4" s="8" customFormat="1" x14ac:dyDescent="0.25">
      <c r="A23" s="13" t="s">
        <v>230</v>
      </c>
      <c r="B23" s="7" t="s">
        <v>231</v>
      </c>
      <c r="C23" s="7" t="s">
        <v>227</v>
      </c>
      <c r="D23" s="7" t="s">
        <v>232</v>
      </c>
    </row>
    <row r="24" spans="1:4" s="8" customFormat="1" x14ac:dyDescent="0.25">
      <c r="A24" s="13" t="s">
        <v>233</v>
      </c>
      <c r="B24" s="7" t="s">
        <v>234</v>
      </c>
      <c r="C24" s="7" t="s">
        <v>97</v>
      </c>
      <c r="D24" s="7" t="s">
        <v>78</v>
      </c>
    </row>
    <row r="25" spans="1:4" s="8" customFormat="1" x14ac:dyDescent="0.25">
      <c r="A25" s="13" t="s">
        <v>235</v>
      </c>
      <c r="B25" s="7" t="s">
        <v>236</v>
      </c>
      <c r="C25" s="7" t="s">
        <v>227</v>
      </c>
      <c r="D25" s="7" t="s">
        <v>103</v>
      </c>
    </row>
    <row r="26" spans="1:4" s="8" customFormat="1" x14ac:dyDescent="0.25">
      <c r="A26" s="13"/>
      <c r="B26" s="7"/>
      <c r="C26" s="7"/>
      <c r="D26" s="7"/>
    </row>
    <row r="27" spans="1:4" s="8" customFormat="1" x14ac:dyDescent="0.25">
      <c r="A27" s="27" t="s">
        <v>237</v>
      </c>
      <c r="B27" s="7"/>
      <c r="C27" s="7"/>
      <c r="D27" s="7"/>
    </row>
    <row r="28" spans="1:4" s="8" customFormat="1" x14ac:dyDescent="0.25">
      <c r="A28" s="64" t="s">
        <v>225</v>
      </c>
      <c r="B28" s="7" t="s">
        <v>226</v>
      </c>
      <c r="C28" s="7" t="s">
        <v>79</v>
      </c>
      <c r="D28" s="7" t="s">
        <v>78</v>
      </c>
    </row>
    <row r="29" spans="1:4" s="8" customFormat="1" x14ac:dyDescent="0.25">
      <c r="A29" s="13" t="s">
        <v>228</v>
      </c>
      <c r="B29" s="7" t="s">
        <v>231</v>
      </c>
      <c r="C29" s="7" t="s">
        <v>79</v>
      </c>
      <c r="D29" s="7" t="s">
        <v>78</v>
      </c>
    </row>
    <row r="30" spans="1:4" s="8" customFormat="1" x14ac:dyDescent="0.25">
      <c r="A30" s="13" t="s">
        <v>238</v>
      </c>
      <c r="B30" s="7" t="s">
        <v>229</v>
      </c>
      <c r="C30" s="7" t="s">
        <v>68</v>
      </c>
      <c r="D30" s="7" t="s">
        <v>239</v>
      </c>
    </row>
    <row r="31" spans="1:4" s="8" customFormat="1" x14ac:dyDescent="0.25">
      <c r="A31" s="13" t="s">
        <v>240</v>
      </c>
      <c r="B31" s="7" t="s">
        <v>241</v>
      </c>
      <c r="C31" s="7" t="s">
        <v>79</v>
      </c>
      <c r="D31" s="7" t="s">
        <v>78</v>
      </c>
    </row>
    <row r="32" spans="1:4" s="8" customFormat="1" x14ac:dyDescent="0.25">
      <c r="A32" s="13" t="s">
        <v>233</v>
      </c>
      <c r="B32" s="7" t="s">
        <v>234</v>
      </c>
      <c r="C32" s="7" t="s">
        <v>97</v>
      </c>
      <c r="D32" s="7" t="s">
        <v>78</v>
      </c>
    </row>
    <row r="33" spans="1:4" s="8" customFormat="1" x14ac:dyDescent="0.25">
      <c r="A33" s="13" t="s">
        <v>235</v>
      </c>
      <c r="B33" s="7" t="s">
        <v>241</v>
      </c>
      <c r="C33" s="7" t="s">
        <v>79</v>
      </c>
      <c r="D33" s="7" t="s">
        <v>78</v>
      </c>
    </row>
    <row r="34" spans="1:4" s="8" customFormat="1" x14ac:dyDescent="0.25">
      <c r="B34" s="7"/>
      <c r="C34" s="7"/>
      <c r="D34" s="7"/>
    </row>
    <row r="35" spans="1:4" s="8" customFormat="1" x14ac:dyDescent="0.25">
      <c r="A35" s="27" t="s">
        <v>242</v>
      </c>
      <c r="B35" s="7"/>
      <c r="C35" s="7"/>
      <c r="D35" s="7"/>
    </row>
    <row r="36" spans="1:4" s="8" customFormat="1" x14ac:dyDescent="0.25">
      <c r="A36" s="64" t="s">
        <v>238</v>
      </c>
      <c r="B36" s="7" t="s">
        <v>226</v>
      </c>
      <c r="C36" s="7" t="s">
        <v>79</v>
      </c>
      <c r="D36" s="7" t="s">
        <v>78</v>
      </c>
    </row>
    <row r="37" spans="1:4" s="8" customFormat="1" x14ac:dyDescent="0.25">
      <c r="A37" s="13" t="s">
        <v>243</v>
      </c>
      <c r="B37" s="7" t="s">
        <v>241</v>
      </c>
      <c r="C37" s="7" t="s">
        <v>79</v>
      </c>
      <c r="D37" s="7" t="s">
        <v>78</v>
      </c>
    </row>
    <row r="38" spans="1:4" s="8" customFormat="1" x14ac:dyDescent="0.25">
      <c r="A38" s="13" t="s">
        <v>235</v>
      </c>
      <c r="B38" s="7" t="s">
        <v>241</v>
      </c>
      <c r="C38" s="7" t="s">
        <v>79</v>
      </c>
      <c r="D38" s="7" t="s">
        <v>78</v>
      </c>
    </row>
    <row r="39" spans="1:4" s="8" customFormat="1" x14ac:dyDescent="0.25">
      <c r="A39" s="27"/>
      <c r="B39" s="7"/>
      <c r="C39" s="7"/>
      <c r="D39" s="7"/>
    </row>
    <row r="40" spans="1:4" s="8" customFormat="1" ht="12.75" customHeight="1" x14ac:dyDescent="0.25">
      <c r="A40" s="30" t="s">
        <v>244</v>
      </c>
      <c r="B40" s="7"/>
      <c r="C40" s="7"/>
      <c r="D40" s="7"/>
    </row>
    <row r="41" spans="1:4" s="8" customFormat="1" x14ac:dyDescent="0.25">
      <c r="A41" s="58" t="s">
        <v>245</v>
      </c>
      <c r="B41" s="58" t="s">
        <v>246</v>
      </c>
      <c r="C41" s="58" t="s">
        <v>247</v>
      </c>
      <c r="D41" s="7" t="s">
        <v>248</v>
      </c>
    </row>
    <row r="42" spans="1:4" s="8" customFormat="1" x14ac:dyDescent="0.25">
      <c r="A42" s="58" t="s">
        <v>249</v>
      </c>
      <c r="B42" s="58" t="s">
        <v>250</v>
      </c>
      <c r="C42" s="58" t="s">
        <v>247</v>
      </c>
      <c r="D42" s="58" t="s">
        <v>248</v>
      </c>
    </row>
    <row r="43" spans="1:4" s="8" customFormat="1" x14ac:dyDescent="0.25">
      <c r="A43" s="58" t="s">
        <v>251</v>
      </c>
      <c r="B43" s="58" t="s">
        <v>252</v>
      </c>
      <c r="C43" s="7" t="s">
        <v>79</v>
      </c>
      <c r="D43" s="7" t="s">
        <v>239</v>
      </c>
    </row>
    <row r="44" spans="1:4" s="8" customFormat="1" x14ac:dyDescent="0.25">
      <c r="A44" s="13" t="s">
        <v>253</v>
      </c>
      <c r="B44" s="7" t="s">
        <v>254</v>
      </c>
      <c r="C44" s="7" t="s">
        <v>79</v>
      </c>
      <c r="D44" s="7" t="s">
        <v>239</v>
      </c>
    </row>
    <row r="45" spans="1:4" s="8" customFormat="1" x14ac:dyDescent="0.25">
      <c r="A45" s="37"/>
      <c r="B45" s="6"/>
      <c r="C45" s="6"/>
      <c r="D45" s="6"/>
    </row>
    <row r="46" spans="1:4" s="8" customFormat="1" x14ac:dyDescent="0.25">
      <c r="A46" s="26" t="s">
        <v>255</v>
      </c>
      <c r="B46" s="9"/>
      <c r="C46" s="9"/>
      <c r="D46" s="9"/>
    </row>
    <row r="47" spans="1:4" s="8" customFormat="1" ht="3.75" customHeight="1" x14ac:dyDescent="0.25">
      <c r="A47" s="37"/>
      <c r="B47" s="6"/>
      <c r="C47" s="6"/>
      <c r="D47" s="6"/>
    </row>
    <row r="48" spans="1:4" s="8" customFormat="1" x14ac:dyDescent="0.25">
      <c r="A48" s="37" t="s">
        <v>256</v>
      </c>
      <c r="B48" s="6" t="s">
        <v>257</v>
      </c>
      <c r="C48" s="6" t="s">
        <v>258</v>
      </c>
      <c r="D48" s="6" t="s">
        <v>259</v>
      </c>
    </row>
    <row r="49" spans="1:6" x14ac:dyDescent="0.25">
      <c r="A49" s="42">
        <v>1030</v>
      </c>
      <c r="B49" s="17" t="s">
        <v>260</v>
      </c>
      <c r="C49" s="17" t="s">
        <v>247</v>
      </c>
      <c r="D49" s="17" t="s">
        <v>261</v>
      </c>
    </row>
    <row r="50" spans="1:6" s="8" customFormat="1" x14ac:dyDescent="0.25">
      <c r="A50" s="40">
        <v>1200</v>
      </c>
      <c r="B50" s="58" t="s">
        <v>262</v>
      </c>
      <c r="C50" s="58" t="s">
        <v>247</v>
      </c>
      <c r="D50" s="58" t="s">
        <v>263</v>
      </c>
      <c r="E50" s="45"/>
      <c r="F50" s="44"/>
    </row>
    <row r="51" spans="1:6" s="8" customFormat="1" x14ac:dyDescent="0.25">
      <c r="A51" s="40" t="s">
        <v>264</v>
      </c>
      <c r="B51" s="58" t="s">
        <v>265</v>
      </c>
      <c r="C51" s="58" t="s">
        <v>65</v>
      </c>
      <c r="D51" s="58" t="s">
        <v>266</v>
      </c>
      <c r="E51" s="45"/>
      <c r="F51" s="44"/>
    </row>
    <row r="52" spans="1:6" s="8" customFormat="1" x14ac:dyDescent="0.25">
      <c r="A52" s="40" t="s">
        <v>267</v>
      </c>
      <c r="B52" s="58" t="s">
        <v>268</v>
      </c>
      <c r="C52" s="58" t="s">
        <v>269</v>
      </c>
      <c r="D52" s="7" t="s">
        <v>103</v>
      </c>
      <c r="E52" s="45"/>
      <c r="F52" s="44"/>
    </row>
    <row r="53" spans="1:6" s="8" customFormat="1" x14ac:dyDescent="0.25">
      <c r="A53" s="35"/>
      <c r="B53" s="7"/>
      <c r="C53" s="7"/>
      <c r="D53" s="7"/>
      <c r="E53" s="45"/>
      <c r="F53" s="44"/>
    </row>
    <row r="54" spans="1:6" s="8" customFormat="1" x14ac:dyDescent="0.25">
      <c r="A54" s="26" t="s">
        <v>270</v>
      </c>
      <c r="B54" s="5"/>
      <c r="C54" s="5"/>
      <c r="D54" s="5"/>
    </row>
    <row r="55" spans="1:6" s="8" customFormat="1" ht="3.75" customHeight="1" x14ac:dyDescent="0.25">
      <c r="A55" s="38"/>
      <c r="B55" s="12"/>
      <c r="C55" s="12"/>
      <c r="D55" s="12"/>
    </row>
    <row r="56" spans="1:6" s="8" customFormat="1" x14ac:dyDescent="0.25">
      <c r="A56" s="13" t="s">
        <v>271</v>
      </c>
      <c r="B56" s="7" t="s">
        <v>272</v>
      </c>
      <c r="C56" s="7" t="s">
        <v>68</v>
      </c>
      <c r="D56" s="7" t="s">
        <v>103</v>
      </c>
      <c r="E56" s="45"/>
      <c r="F56" s="44"/>
    </row>
    <row r="57" spans="1:6" s="8" customFormat="1" x14ac:dyDescent="0.25">
      <c r="A57" s="65"/>
      <c r="B57" s="66"/>
      <c r="C57" s="66"/>
      <c r="D57" s="66"/>
    </row>
    <row r="58" spans="1:6" s="8" customFormat="1" x14ac:dyDescent="0.25">
      <c r="A58" s="26" t="s">
        <v>273</v>
      </c>
      <c r="B58" s="5"/>
      <c r="C58" s="5"/>
      <c r="D58" s="5"/>
    </row>
    <row r="59" spans="1:6" s="8" customFormat="1" ht="3.75" customHeight="1" x14ac:dyDescent="0.25">
      <c r="A59" s="37"/>
      <c r="B59" s="12"/>
      <c r="C59" s="12"/>
      <c r="D59" s="12"/>
    </row>
    <row r="60" spans="1:6" s="8" customFormat="1" x14ac:dyDescent="0.25">
      <c r="A60" s="35" t="s">
        <v>274</v>
      </c>
      <c r="B60" s="7" t="s">
        <v>275</v>
      </c>
      <c r="C60" s="53" t="s">
        <v>58</v>
      </c>
      <c r="D60" s="17" t="s">
        <v>276</v>
      </c>
    </row>
    <row r="61" spans="1:6" s="8" customFormat="1" x14ac:dyDescent="0.25">
      <c r="A61" s="40" t="s">
        <v>277</v>
      </c>
      <c r="B61" s="51" t="s">
        <v>38</v>
      </c>
      <c r="C61" s="17" t="str">
        <f>Einstellungen!$K$35</f>
        <v>Lt Christophe Lopez-Polo</v>
      </c>
      <c r="D61" s="17" t="s">
        <v>276</v>
      </c>
    </row>
    <row r="62" spans="1:6" s="8" customFormat="1" x14ac:dyDescent="0.25">
      <c r="A62" s="40" t="s">
        <v>249</v>
      </c>
      <c r="B62" s="13" t="s">
        <v>278</v>
      </c>
      <c r="C62" s="17" t="str">
        <f>VLOOKUP(Einstellungen!$C$6+$N$2-1,Tagesof[#Data],2)</f>
        <v>Oblt Sieber</v>
      </c>
      <c r="D62" s="17" t="s">
        <v>276</v>
      </c>
    </row>
    <row r="63" spans="1:6" s="8" customFormat="1" x14ac:dyDescent="0.25">
      <c r="A63" s="52" t="s">
        <v>274</v>
      </c>
      <c r="B63" s="35" t="s">
        <v>279</v>
      </c>
      <c r="C63" s="17" t="s">
        <v>276</v>
      </c>
      <c r="D63" s="17" t="s">
        <v>276</v>
      </c>
    </row>
    <row r="64" spans="1:6" s="8" customFormat="1" x14ac:dyDescent="0.25">
      <c r="A64" s="35"/>
      <c r="B64" s="7"/>
      <c r="C64" s="7"/>
      <c r="D64" s="14"/>
    </row>
    <row r="65" spans="1:4" s="8" customFormat="1" x14ac:dyDescent="0.25">
      <c r="A65" s="35"/>
      <c r="B65" s="7"/>
      <c r="C65" s="7"/>
      <c r="D65" s="14"/>
    </row>
    <row r="66" spans="1:4" s="8" customFormat="1" x14ac:dyDescent="0.25">
      <c r="A66" s="35"/>
      <c r="B66" s="15"/>
      <c r="C66" s="7"/>
      <c r="D66" s="58" t="s">
        <v>280</v>
      </c>
    </row>
    <row r="67" spans="1:4" s="8" customFormat="1" x14ac:dyDescent="0.25">
      <c r="B67" s="12"/>
      <c r="C67" s="49" t="s">
        <v>3</v>
      </c>
      <c r="D67" s="59" t="s">
        <v>281</v>
      </c>
    </row>
    <row r="68" spans="1:4" s="8" customFormat="1" x14ac:dyDescent="0.25">
      <c r="B68" s="16"/>
      <c r="C68" s="17"/>
      <c r="D68" s="60"/>
    </row>
    <row r="69" spans="1:4" s="8" customFormat="1" x14ac:dyDescent="0.25">
      <c r="B69" s="16"/>
      <c r="C69" s="14"/>
      <c r="D69" s="60"/>
    </row>
    <row r="70" spans="1:4" s="8" customFormat="1" x14ac:dyDescent="0.25">
      <c r="B70" s="16"/>
      <c r="C70" s="3"/>
      <c r="D70" s="60"/>
    </row>
    <row r="71" spans="1:4" s="8" customFormat="1" x14ac:dyDescent="0.25">
      <c r="B71" s="16"/>
      <c r="C71" s="23" t="s">
        <v>42</v>
      </c>
      <c r="D71" s="60" t="s">
        <v>282</v>
      </c>
    </row>
    <row r="72" spans="1:4" s="8" customFormat="1" x14ac:dyDescent="0.25">
      <c r="B72" s="16"/>
      <c r="C72" s="18" t="s">
        <v>237</v>
      </c>
      <c r="D72" s="60" t="s">
        <v>68</v>
      </c>
    </row>
    <row r="73" spans="1:4" s="8" customFormat="1" x14ac:dyDescent="0.25">
      <c r="A73" s="29"/>
      <c r="B73" s="16"/>
      <c r="C73" s="18"/>
      <c r="D73" s="60"/>
    </row>
    <row r="74" spans="1:4" s="8" customFormat="1" x14ac:dyDescent="0.25">
      <c r="A74" s="41"/>
      <c r="B74" s="16"/>
      <c r="C74" s="16"/>
      <c r="D74" s="16"/>
    </row>
    <row r="75" spans="1:4" s="8" customFormat="1" x14ac:dyDescent="0.25">
      <c r="A75" s="41"/>
      <c r="B75" s="16"/>
      <c r="C75" s="16"/>
      <c r="D75" s="16"/>
    </row>
    <row r="76" spans="1:4" s="8" customFormat="1" x14ac:dyDescent="0.25">
      <c r="A76" s="28" t="s">
        <v>283</v>
      </c>
      <c r="B76" s="16"/>
      <c r="C76" s="16"/>
      <c r="D76" s="16"/>
    </row>
    <row r="77" spans="1:4" s="8" customFormat="1" x14ac:dyDescent="0.25">
      <c r="A77" s="29" t="s">
        <v>284</v>
      </c>
      <c r="B77" s="16"/>
      <c r="C77" s="19"/>
      <c r="D77" s="16"/>
    </row>
    <row r="78" spans="1:4" s="8" customFormat="1" x14ac:dyDescent="0.25">
      <c r="A78" s="11" t="s">
        <v>285</v>
      </c>
      <c r="B78" s="16"/>
      <c r="C78" s="16"/>
      <c r="D78" s="16"/>
    </row>
    <row r="79" spans="1:4" s="8" customFormat="1" x14ac:dyDescent="0.25">
      <c r="B79" s="16"/>
      <c r="C79" s="16"/>
      <c r="D79" s="16"/>
    </row>
    <row r="80" spans="1:4" s="8" customFormat="1" x14ac:dyDescent="0.25">
      <c r="A80" s="28" t="s">
        <v>286</v>
      </c>
      <c r="B80" s="17"/>
      <c r="C80" s="17"/>
      <c r="D80" s="17"/>
    </row>
    <row r="81" spans="1:4" s="8" customFormat="1" x14ac:dyDescent="0.25">
      <c r="A81" s="29" t="s">
        <v>287</v>
      </c>
      <c r="B81" s="17"/>
      <c r="C81" s="17"/>
      <c r="D81" s="17"/>
    </row>
    <row r="82" spans="1:4" s="8" customFormat="1" x14ac:dyDescent="0.25">
      <c r="A82" s="42"/>
      <c r="B82" s="17"/>
      <c r="C82" s="17"/>
      <c r="D82" s="17"/>
    </row>
    <row r="83" spans="1:4" s="8" customFormat="1" x14ac:dyDescent="0.25">
      <c r="A83" s="42"/>
      <c r="B83" s="17"/>
      <c r="C83" s="17"/>
      <c r="D83" s="17"/>
    </row>
    <row r="84" spans="1:4" s="8" customFormat="1" x14ac:dyDescent="0.25">
      <c r="A84" s="43"/>
      <c r="B84" s="17"/>
      <c r="C84" s="17"/>
      <c r="D84" s="17"/>
    </row>
    <row r="85" spans="1:4" s="8" customFormat="1" x14ac:dyDescent="0.25">
      <c r="A85" s="42"/>
      <c r="B85" s="17"/>
      <c r="C85" s="17"/>
      <c r="D85" s="17"/>
    </row>
    <row r="86" spans="1:4" s="8" customFormat="1" x14ac:dyDescent="0.25">
      <c r="A86" s="39"/>
      <c r="B86" s="3"/>
      <c r="C86" s="3"/>
      <c r="D86" s="3"/>
    </row>
    <row r="87" spans="1:4" s="8" customFormat="1" x14ac:dyDescent="0.25">
      <c r="A87" s="39"/>
      <c r="B87" s="3"/>
      <c r="C87" s="3"/>
      <c r="D87" s="3"/>
    </row>
    <row r="88" spans="1:4" s="8" customFormat="1" x14ac:dyDescent="0.25">
      <c r="A88" s="39"/>
      <c r="B88" s="3"/>
      <c r="C88" s="3"/>
      <c r="D88" s="3"/>
    </row>
    <row r="89" spans="1:4" s="8" customFormat="1" x14ac:dyDescent="0.25">
      <c r="A89" s="39"/>
      <c r="B89" s="3"/>
      <c r="C89" s="3"/>
      <c r="D89" s="3"/>
    </row>
    <row r="90" spans="1:4" s="8" customFormat="1" x14ac:dyDescent="0.25">
      <c r="A90" s="39"/>
      <c r="B90" s="3"/>
      <c r="C90" s="3"/>
      <c r="D90" s="3"/>
    </row>
    <row r="91" spans="1:4" s="8" customFormat="1" x14ac:dyDescent="0.25">
      <c r="A91" s="39"/>
      <c r="B91" s="3"/>
      <c r="C91" s="3"/>
      <c r="D91" s="3"/>
    </row>
    <row r="92" spans="1:4" s="8" customFormat="1" x14ac:dyDescent="0.25">
      <c r="A92" s="39"/>
      <c r="B92" s="3"/>
      <c r="C92" s="3"/>
      <c r="D92" s="3"/>
    </row>
    <row r="93" spans="1:4" s="8" customFormat="1" x14ac:dyDescent="0.25">
      <c r="A93" s="39"/>
      <c r="B93" s="3"/>
      <c r="C93" s="3"/>
      <c r="D93" s="3"/>
    </row>
    <row r="94" spans="1:4" s="8" customFormat="1" x14ac:dyDescent="0.25">
      <c r="A94" s="39"/>
      <c r="B94" s="3"/>
      <c r="C94" s="3"/>
      <c r="D94" s="3"/>
    </row>
    <row r="95" spans="1:4" s="8" customFormat="1" ht="12" customHeight="1" x14ac:dyDescent="0.25">
      <c r="A95" s="39"/>
      <c r="B95" s="3"/>
      <c r="C95" s="3"/>
      <c r="D95" s="3"/>
    </row>
    <row r="96" spans="1:4" s="8" customFormat="1" x14ac:dyDescent="0.25">
      <c r="A96" s="39"/>
      <c r="B96" s="3"/>
      <c r="C96" s="3"/>
      <c r="D96" s="3"/>
    </row>
    <row r="97" spans="1:4" s="8" customFormat="1" x14ac:dyDescent="0.25">
      <c r="A97" s="39"/>
      <c r="B97" s="3"/>
      <c r="C97" s="3"/>
      <c r="D97" s="3"/>
    </row>
    <row r="98" spans="1:4" s="8" customFormat="1" x14ac:dyDescent="0.25">
      <c r="A98" s="39"/>
      <c r="B98" s="3"/>
      <c r="C98" s="3"/>
      <c r="D98" s="3"/>
    </row>
    <row r="99" spans="1:4" s="8" customFormat="1" x14ac:dyDescent="0.25">
      <c r="A99" s="39"/>
      <c r="B99" s="3"/>
      <c r="C99" s="3"/>
      <c r="D99" s="3"/>
    </row>
    <row r="100" spans="1:4" s="8" customFormat="1" x14ac:dyDescent="0.25">
      <c r="A100" s="39"/>
      <c r="B100" s="3"/>
      <c r="C100" s="3"/>
      <c r="D100" s="3"/>
    </row>
    <row r="101" spans="1:4" s="8" customFormat="1" x14ac:dyDescent="0.25">
      <c r="A101" s="39"/>
      <c r="B101" s="3"/>
      <c r="C101" s="3"/>
      <c r="D101" s="3"/>
    </row>
    <row r="102" spans="1:4" ht="7.5" customHeight="1" x14ac:dyDescent="0.25"/>
    <row r="104" spans="1:4" ht="7.5" customHeight="1" x14ac:dyDescent="0.25"/>
    <row r="105" spans="1:4" s="8" customFormat="1" x14ac:dyDescent="0.25">
      <c r="A105" s="39"/>
      <c r="B105" s="3"/>
      <c r="C105" s="3"/>
      <c r="D105" s="3"/>
    </row>
    <row r="106" spans="1:4" s="8" customFormat="1" x14ac:dyDescent="0.25">
      <c r="A106" s="39"/>
      <c r="B106" s="3"/>
      <c r="C106" s="3"/>
      <c r="D106" s="3"/>
    </row>
    <row r="107" spans="1:4" s="8" customFormat="1" ht="11.25" customHeight="1" x14ac:dyDescent="0.25">
      <c r="A107" s="39"/>
      <c r="B107" s="3"/>
      <c r="C107" s="3"/>
      <c r="D107" s="3"/>
    </row>
    <row r="108" spans="1:4" ht="7.5" customHeight="1" x14ac:dyDescent="0.25"/>
    <row r="110" spans="1:4" ht="7.5" customHeight="1" x14ac:dyDescent="0.25"/>
    <row r="111" spans="1:4" ht="7.5" customHeight="1" x14ac:dyDescent="0.25"/>
    <row r="112" spans="1:4" s="8" customFormat="1" x14ac:dyDescent="0.25">
      <c r="A112" s="39"/>
      <c r="B112" s="3"/>
      <c r="C112" s="3"/>
      <c r="D112" s="3"/>
    </row>
    <row r="113" spans="1:4" s="8" customFormat="1" x14ac:dyDescent="0.25">
      <c r="A113" s="39"/>
      <c r="B113" s="3"/>
      <c r="C113" s="3"/>
      <c r="D113" s="3"/>
    </row>
    <row r="114" spans="1:4" s="1" customFormat="1" ht="7.5" customHeight="1" x14ac:dyDescent="0.25">
      <c r="A114" s="39"/>
      <c r="B114" s="3"/>
      <c r="C114" s="3"/>
      <c r="D114" s="3"/>
    </row>
    <row r="115" spans="1:4" s="1" customFormat="1" x14ac:dyDescent="0.25">
      <c r="A115" s="39"/>
      <c r="B115" s="3"/>
      <c r="C115" s="3"/>
      <c r="D115" s="3"/>
    </row>
    <row r="116" spans="1:4" s="1" customFormat="1" ht="7.5" customHeight="1" x14ac:dyDescent="0.25">
      <c r="A116" s="39"/>
      <c r="B116" s="3"/>
      <c r="C116" s="3"/>
      <c r="D116" s="3"/>
    </row>
    <row r="119" spans="1:4" s="8" customFormat="1" x14ac:dyDescent="0.25">
      <c r="A119" s="39"/>
      <c r="B119" s="3"/>
      <c r="C119" s="3"/>
      <c r="D119" s="3"/>
    </row>
    <row r="120" spans="1:4" s="8" customFormat="1" x14ac:dyDescent="0.25">
      <c r="A120" s="39"/>
      <c r="B120" s="3"/>
      <c r="C120" s="3"/>
      <c r="D120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107" priority="1" operator="equal">
      <formula>"Verworfen"</formula>
    </cfRule>
    <cfRule type="cellIs" dxfId="106" priority="2" operator="equal">
      <formula>"Genehmigt durch Kdt"</formula>
    </cfRule>
    <cfRule type="cellIs" dxfId="105" priority="3" operator="equal">
      <formula>"Bereit für Kdt"</formula>
    </cfRule>
    <cfRule type="cellIs" dxfId="104" priority="4" operator="equal">
      <formula>"Entwurf"</formula>
    </cfRule>
  </conditionalFormatting>
  <dataValidations count="8">
    <dataValidation type="list" allowBlank="1" showInputMessage="1" sqref="D64:D65 C63 D46:D48 D22 D16 D53:D55 D57:D59" xr:uid="{E7C640B0-99C1-4A39-A8B6-AB85A5617929}">
      <formula1>Räumlichkeiten</formula1>
    </dataValidation>
    <dataValidation type="list" showInputMessage="1" sqref="B53 B56:B57 B46:B48" xr:uid="{5E45F31B-E50C-4E75-A173-CC315894689C}">
      <formula1>Tätigkeiten</formula1>
    </dataValidation>
    <dataValidation type="list" showInputMessage="1" sqref="C46:C48 C53:C57" xr:uid="{9083009D-14EF-4BA5-B70A-B5BB825E725C}">
      <formula1>Verantwortung</formula1>
    </dataValidation>
    <dataValidation type="list" allowBlank="1" showInputMessage="1" showErrorMessage="1" sqref="A7" xr:uid="{5DEBF78E-CE97-4ACE-9214-00F63263D99D}">
      <formula1>Landkarten</formula1>
    </dataValidation>
    <dataValidation type="list" allowBlank="1" showInputMessage="1" showErrorMessage="1" sqref="A77 A81 A73" xr:uid="{9E36F659-307E-48DE-9C08-622994B4661F}">
      <formula1>Verteiler</formula1>
    </dataValidation>
    <dataValidation type="list" allowBlank="1" showInputMessage="1" showErrorMessage="1" sqref="C71" xr:uid="{A9C701A9-EEAC-4B1A-93F2-AAA7AAEEAFD0}">
      <formula1>WerUnterschrift</formula1>
    </dataValidation>
    <dataValidation type="list" allowBlank="1" showInputMessage="1" showErrorMessage="1" sqref="D5" xr:uid="{D0136F9D-6CF3-4739-80F9-5BE1CA6548DD}">
      <formula1>ENTWURF</formula1>
    </dataValidation>
    <dataValidation type="list" allowBlank="1" showInputMessage="1" showErrorMessage="1" sqref="C72:C73" xr:uid="{3B35DE69-A193-4682-887F-F604A7E2A5DA}">
      <formula1>VerantwortungTgbf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53" max="3" man="1"/>
    <brk id="81" max="3" man="1"/>
    <brk id="83" max="3" man="1"/>
  </rowBreaks>
  <colBreaks count="1" manualBreakCount="1">
    <brk id="1" max="74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97D173-0916-4495-94DA-A6591B4AB4A2}">
          <x14:formula1>
            <xm:f>Einstellungen!$N$71:$N$74</xm:f>
          </x14:formula1>
          <xm:sqref>G1</xm:sqref>
        </x14:dataValidation>
        <x14:dataValidation type="list" allowBlank="1" showInputMessage="1" xr:uid="{67908723-1DF3-4AC1-BBAF-292908012199}">
          <x14:formula1>
            <xm:f>Einstellungen!$B$71:$B$84</xm:f>
          </x14:formula1>
          <xm:sqref>B13:B45</xm:sqref>
        </x14:dataValidation>
        <x14:dataValidation type="list" allowBlank="1" showInputMessage="1" xr:uid="{CC9F3989-3012-4168-913C-526A64B0F6E1}">
          <x14:formula1>
            <xm:f>Einstellungen!$K$71:$K$75</xm:f>
          </x14:formula1>
          <xm:sqref>C13:C45</xm:sqref>
        </x14:dataValidation>
        <x14:dataValidation type="list" allowBlank="1" showInputMessage="1" xr:uid="{F7BBB443-8DC7-4586-8C8E-6C3DA68C05BB}">
          <x14:formula1>
            <xm:f>Einstellungen!$H$71:$H$86</xm:f>
          </x14:formula1>
          <xm:sqref>D13:D15 D17:D21 D23:D45 D52 D56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  <pageSetUpPr fitToPage="1"/>
  </sheetPr>
  <dimension ref="A1:XFD124"/>
  <sheetViews>
    <sheetView showGridLines="0" view="pageBreakPreview" zoomScale="95" zoomScaleNormal="100" zoomScaleSheetLayoutView="145" workbookViewId="0">
      <selection activeCell="A14" sqref="A14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85</v>
      </c>
      <c r="N1" s="41" t="s">
        <v>206</v>
      </c>
    </row>
    <row r="2" spans="1:14" ht="18" customHeight="1" x14ac:dyDescent="0.3">
      <c r="A2" s="32" t="s">
        <v>207</v>
      </c>
      <c r="B2" s="1"/>
      <c r="C2" s="1"/>
      <c r="D2" s="48" t="str">
        <f>IF(EXACT($G$1,"Genehmigt durch Kdt"),"","PROVISORISCH")</f>
        <v>PROVISORISCH</v>
      </c>
      <c r="N2" s="42">
        <v>2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2 für DIENSTAG, 22.09.2026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x14ac:dyDescent="0.25">
      <c r="A14" s="61" t="s">
        <v>7</v>
      </c>
      <c r="B14" s="58" t="s">
        <v>76</v>
      </c>
      <c r="C14" s="7" t="s">
        <v>79</v>
      </c>
      <c r="D14" s="58" t="s">
        <v>223</v>
      </c>
    </row>
    <row r="15" spans="1:14" s="8" customFormat="1" x14ac:dyDescent="0.25">
      <c r="A15" s="40" t="s">
        <v>288</v>
      </c>
      <c r="B15" s="58" t="s">
        <v>81</v>
      </c>
      <c r="C15" s="7" t="s">
        <v>216</v>
      </c>
      <c r="D15" s="58" t="s">
        <v>92</v>
      </c>
    </row>
    <row r="16" spans="1:14" s="8" customFormat="1" x14ac:dyDescent="0.25">
      <c r="A16" s="61" t="s">
        <v>289</v>
      </c>
      <c r="B16" s="58" t="s">
        <v>290</v>
      </c>
      <c r="C16" s="7" t="s">
        <v>220</v>
      </c>
      <c r="D16" s="58" t="s">
        <v>291</v>
      </c>
    </row>
    <row r="17" spans="1:4" s="8" customFormat="1" x14ac:dyDescent="0.25">
      <c r="A17" s="35" t="s">
        <v>11</v>
      </c>
      <c r="B17" s="7" t="s">
        <v>98</v>
      </c>
      <c r="C17" s="7" t="s">
        <v>216</v>
      </c>
      <c r="D17" s="7" t="s">
        <v>92</v>
      </c>
    </row>
    <row r="18" spans="1:4" s="8" customFormat="1" x14ac:dyDescent="0.25">
      <c r="A18" s="35" t="s">
        <v>292</v>
      </c>
      <c r="B18" s="7" t="s">
        <v>293</v>
      </c>
      <c r="C18" s="7" t="s">
        <v>97</v>
      </c>
      <c r="D18" s="7" t="s">
        <v>221</v>
      </c>
    </row>
    <row r="19" spans="1:4" s="8" customFormat="1" x14ac:dyDescent="0.25">
      <c r="A19" s="35" t="s">
        <v>294</v>
      </c>
      <c r="B19" s="7" t="s">
        <v>295</v>
      </c>
      <c r="C19" s="7" t="s">
        <v>296</v>
      </c>
      <c r="D19" s="7" t="s">
        <v>221</v>
      </c>
    </row>
    <row r="20" spans="1:4" s="8" customFormat="1" x14ac:dyDescent="0.25">
      <c r="A20" s="35" t="s">
        <v>233</v>
      </c>
      <c r="B20" s="7" t="s">
        <v>297</v>
      </c>
      <c r="C20" s="7" t="s">
        <v>97</v>
      </c>
      <c r="D20" s="7" t="s">
        <v>78</v>
      </c>
    </row>
    <row r="21" spans="1:4" s="8" customFormat="1" x14ac:dyDescent="0.25">
      <c r="A21" s="35" t="s">
        <v>298</v>
      </c>
      <c r="B21" s="7" t="s">
        <v>100</v>
      </c>
      <c r="C21" s="7" t="s">
        <v>216</v>
      </c>
      <c r="D21" s="7" t="s">
        <v>92</v>
      </c>
    </row>
    <row r="22" spans="1:4" s="8" customFormat="1" x14ac:dyDescent="0.25">
      <c r="A22" s="35" t="s">
        <v>222</v>
      </c>
      <c r="B22" s="7" t="s">
        <v>24</v>
      </c>
      <c r="C22" s="7" t="s">
        <v>79</v>
      </c>
      <c r="D22" s="7" t="s">
        <v>223</v>
      </c>
    </row>
    <row r="23" spans="1:4" s="8" customFormat="1" ht="12.75" customHeight="1" x14ac:dyDescent="0.25">
      <c r="A23" s="35">
        <v>2300</v>
      </c>
      <c r="B23" s="7" t="s">
        <v>113</v>
      </c>
      <c r="C23" s="7" t="s">
        <v>79</v>
      </c>
      <c r="D23" s="7" t="s">
        <v>223</v>
      </c>
    </row>
    <row r="24" spans="1:4" s="8" customFormat="1" x14ac:dyDescent="0.25">
      <c r="A24" s="36"/>
      <c r="B24" s="7"/>
      <c r="C24" s="7"/>
      <c r="D24" s="7"/>
    </row>
    <row r="25" spans="1:4" s="8" customFormat="1" x14ac:dyDescent="0.25">
      <c r="A25" s="36" t="s">
        <v>224</v>
      </c>
      <c r="B25" s="7"/>
      <c r="C25" s="7"/>
      <c r="D25" s="7"/>
    </row>
    <row r="26" spans="1:4" s="8" customFormat="1" x14ac:dyDescent="0.25">
      <c r="A26" s="35" t="s">
        <v>299</v>
      </c>
      <c r="B26" s="7" t="s">
        <v>236</v>
      </c>
      <c r="C26" s="7" t="s">
        <v>227</v>
      </c>
      <c r="D26" s="7" t="s">
        <v>103</v>
      </c>
    </row>
    <row r="27" spans="1:4" s="8" customFormat="1" x14ac:dyDescent="0.25">
      <c r="A27" s="35" t="s">
        <v>300</v>
      </c>
      <c r="B27" s="7" t="s">
        <v>301</v>
      </c>
      <c r="C27" s="7" t="s">
        <v>227</v>
      </c>
      <c r="D27" s="7" t="s">
        <v>221</v>
      </c>
    </row>
    <row r="28" spans="1:4" s="8" customFormat="1" x14ac:dyDescent="0.25">
      <c r="A28" s="36"/>
      <c r="B28" s="7"/>
      <c r="C28" s="7"/>
      <c r="D28" s="7"/>
    </row>
    <row r="29" spans="1:4" s="8" customFormat="1" x14ac:dyDescent="0.25">
      <c r="A29" s="36" t="s">
        <v>237</v>
      </c>
      <c r="B29" s="7"/>
      <c r="C29" s="7"/>
      <c r="D29" s="7"/>
    </row>
    <row r="30" spans="1:4" s="8" customFormat="1" x14ac:dyDescent="0.25">
      <c r="A30" s="35" t="s">
        <v>302</v>
      </c>
      <c r="B30" s="7" t="s">
        <v>241</v>
      </c>
      <c r="C30" s="7" t="s">
        <v>79</v>
      </c>
      <c r="D30" s="7" t="s">
        <v>78</v>
      </c>
    </row>
    <row r="31" spans="1:4" s="8" customFormat="1" x14ac:dyDescent="0.25">
      <c r="A31" s="35" t="s">
        <v>300</v>
      </c>
      <c r="B31" s="7" t="s">
        <v>301</v>
      </c>
      <c r="C31" s="7" t="s">
        <v>227</v>
      </c>
      <c r="D31" s="7" t="s">
        <v>221</v>
      </c>
    </row>
    <row r="32" spans="1:4" s="8" customFormat="1" x14ac:dyDescent="0.25">
      <c r="A32" s="36"/>
      <c r="B32" s="7"/>
      <c r="C32" s="7"/>
      <c r="D32" s="7"/>
    </row>
    <row r="33" spans="1:16384" s="8" customFormat="1" x14ac:dyDescent="0.25">
      <c r="A33" s="36" t="s">
        <v>242</v>
      </c>
      <c r="B33" s="7"/>
      <c r="C33" s="7"/>
      <c r="D33" s="7"/>
    </row>
    <row r="34" spans="1:16384" s="8" customFormat="1" x14ac:dyDescent="0.25">
      <c r="A34" s="35" t="s">
        <v>302</v>
      </c>
      <c r="B34" s="7" t="s">
        <v>241</v>
      </c>
      <c r="C34" s="7" t="s">
        <v>79</v>
      </c>
      <c r="D34" s="7" t="s">
        <v>78</v>
      </c>
    </row>
    <row r="35" spans="1:16384" s="8" customFormat="1" x14ac:dyDescent="0.25">
      <c r="A35" s="35" t="s">
        <v>300</v>
      </c>
      <c r="B35" s="7" t="s">
        <v>229</v>
      </c>
      <c r="C35" s="7" t="s">
        <v>68</v>
      </c>
      <c r="D35" s="7" t="s">
        <v>221</v>
      </c>
    </row>
    <row r="36" spans="1:16384" s="8" customFormat="1" x14ac:dyDescent="0.25">
      <c r="A36" s="36"/>
      <c r="B36" s="7"/>
      <c r="C36" s="7"/>
      <c r="D36" s="7"/>
    </row>
    <row r="37" spans="1:16384" s="8" customFormat="1" x14ac:dyDescent="0.25">
      <c r="A37" s="36" t="s">
        <v>303</v>
      </c>
      <c r="B37" s="7"/>
      <c r="C37" s="7"/>
      <c r="D37" s="7"/>
    </row>
    <row r="38" spans="1:16384" s="8" customFormat="1" x14ac:dyDescent="0.25">
      <c r="A38" s="35" t="s">
        <v>225</v>
      </c>
      <c r="B38" s="7" t="s">
        <v>226</v>
      </c>
      <c r="C38" s="7" t="s">
        <v>79</v>
      </c>
      <c r="D38" s="7" t="s">
        <v>78</v>
      </c>
    </row>
    <row r="39" spans="1:16384" s="8" customFormat="1" x14ac:dyDescent="0.25">
      <c r="A39" s="35" t="s">
        <v>228</v>
      </c>
      <c r="B39" s="7" t="s">
        <v>304</v>
      </c>
      <c r="C39" s="7" t="s">
        <v>79</v>
      </c>
      <c r="D39" s="7" t="s">
        <v>78</v>
      </c>
    </row>
    <row r="40" spans="1:16384" s="8" customFormat="1" x14ac:dyDescent="0.25">
      <c r="A40" s="35" t="s">
        <v>300</v>
      </c>
      <c r="B40" s="7" t="s">
        <v>229</v>
      </c>
      <c r="C40" s="7" t="s">
        <v>68</v>
      </c>
      <c r="D40" s="7" t="s">
        <v>221</v>
      </c>
    </row>
    <row r="41" spans="1:16384" s="8" customFormat="1" x14ac:dyDescent="0.25">
      <c r="A41" s="36"/>
      <c r="B41" s="7"/>
      <c r="C41" s="7"/>
      <c r="D41" s="7"/>
    </row>
    <row r="42" spans="1:16384" s="8" customFormat="1" x14ac:dyDescent="0.25">
      <c r="A42" s="36" t="s">
        <v>305</v>
      </c>
      <c r="B42" s="7"/>
      <c r="C42" s="7"/>
      <c r="D42" s="7"/>
    </row>
    <row r="43" spans="1:16384" s="8" customFormat="1" x14ac:dyDescent="0.25">
      <c r="A43" s="35" t="s">
        <v>306</v>
      </c>
      <c r="B43" s="7" t="s">
        <v>226</v>
      </c>
      <c r="C43" s="7" t="s">
        <v>79</v>
      </c>
      <c r="D43" s="7" t="s">
        <v>78</v>
      </c>
    </row>
    <row r="44" spans="1:16384" s="8" customFormat="1" x14ac:dyDescent="0.25">
      <c r="A44" s="35" t="s">
        <v>218</v>
      </c>
      <c r="B44" s="7" t="s">
        <v>229</v>
      </c>
      <c r="C44" s="7" t="s">
        <v>68</v>
      </c>
      <c r="D44" s="7" t="s">
        <v>221</v>
      </c>
    </row>
    <row r="45" spans="1:16384" s="8" customFormat="1" x14ac:dyDescent="0.25">
      <c r="A45" s="35"/>
      <c r="B45" s="7"/>
      <c r="C45" s="7"/>
      <c r="D45" s="7"/>
    </row>
    <row r="46" spans="1:16384" s="8" customFormat="1" x14ac:dyDescent="0.25">
      <c r="A46" s="30" t="s">
        <v>244</v>
      </c>
      <c r="B46" s="7"/>
      <c r="C46" s="7"/>
      <c r="D46" s="7"/>
    </row>
    <row r="47" spans="1:16384" s="58" customFormat="1" ht="11.4" x14ac:dyDescent="0.2">
      <c r="A47" s="58" t="s">
        <v>249</v>
      </c>
      <c r="B47" s="58" t="s">
        <v>250</v>
      </c>
      <c r="C47" s="58" t="s">
        <v>247</v>
      </c>
      <c r="D47" s="58" t="s">
        <v>248</v>
      </c>
      <c r="AW47" s="58" t="s">
        <v>249</v>
      </c>
      <c r="AX47" s="58" t="s">
        <v>250</v>
      </c>
      <c r="AY47" s="58" t="s">
        <v>247</v>
      </c>
      <c r="AZ47" s="58" t="s">
        <v>248</v>
      </c>
      <c r="BA47" s="58" t="s">
        <v>249</v>
      </c>
      <c r="BB47" s="58" t="s">
        <v>250</v>
      </c>
      <c r="BC47" s="58" t="s">
        <v>247</v>
      </c>
      <c r="BD47" s="58" t="s">
        <v>248</v>
      </c>
      <c r="BE47" s="58" t="s">
        <v>249</v>
      </c>
      <c r="BF47" s="58" t="s">
        <v>250</v>
      </c>
      <c r="BG47" s="58" t="s">
        <v>247</v>
      </c>
      <c r="BH47" s="58" t="s">
        <v>248</v>
      </c>
      <c r="BI47" s="58" t="s">
        <v>249</v>
      </c>
      <c r="BJ47" s="58" t="s">
        <v>250</v>
      </c>
      <c r="BK47" s="58" t="s">
        <v>247</v>
      </c>
      <c r="BL47" s="58" t="s">
        <v>248</v>
      </c>
      <c r="BM47" s="58" t="s">
        <v>249</v>
      </c>
      <c r="BN47" s="58" t="s">
        <v>250</v>
      </c>
      <c r="BO47" s="58" t="s">
        <v>247</v>
      </c>
      <c r="BP47" s="58" t="s">
        <v>248</v>
      </c>
      <c r="BQ47" s="58" t="s">
        <v>249</v>
      </c>
      <c r="BR47" s="58" t="s">
        <v>250</v>
      </c>
      <c r="BS47" s="58" t="s">
        <v>247</v>
      </c>
      <c r="BT47" s="58" t="s">
        <v>248</v>
      </c>
      <c r="BU47" s="58" t="s">
        <v>249</v>
      </c>
      <c r="BV47" s="58" t="s">
        <v>250</v>
      </c>
      <c r="BW47" s="58" t="s">
        <v>247</v>
      </c>
      <c r="BX47" s="58" t="s">
        <v>248</v>
      </c>
      <c r="BY47" s="58" t="s">
        <v>249</v>
      </c>
      <c r="BZ47" s="58" t="s">
        <v>250</v>
      </c>
      <c r="CA47" s="58" t="s">
        <v>247</v>
      </c>
      <c r="CB47" s="58" t="s">
        <v>248</v>
      </c>
      <c r="CC47" s="58" t="s">
        <v>249</v>
      </c>
      <c r="CD47" s="58" t="s">
        <v>250</v>
      </c>
      <c r="CE47" s="58" t="s">
        <v>247</v>
      </c>
      <c r="CF47" s="58" t="s">
        <v>248</v>
      </c>
      <c r="CG47" s="58" t="s">
        <v>249</v>
      </c>
      <c r="CH47" s="58" t="s">
        <v>250</v>
      </c>
      <c r="CI47" s="58" t="s">
        <v>247</v>
      </c>
      <c r="CJ47" s="58" t="s">
        <v>248</v>
      </c>
      <c r="CK47" s="58" t="s">
        <v>249</v>
      </c>
      <c r="CL47" s="58" t="s">
        <v>250</v>
      </c>
      <c r="CM47" s="58" t="s">
        <v>247</v>
      </c>
      <c r="CN47" s="58" t="s">
        <v>248</v>
      </c>
      <c r="CO47" s="58" t="s">
        <v>249</v>
      </c>
      <c r="CP47" s="58" t="s">
        <v>250</v>
      </c>
      <c r="CQ47" s="58" t="s">
        <v>247</v>
      </c>
      <c r="CR47" s="58" t="s">
        <v>248</v>
      </c>
      <c r="CS47" s="58" t="s">
        <v>249</v>
      </c>
      <c r="CT47" s="58" t="s">
        <v>250</v>
      </c>
      <c r="CU47" s="58" t="s">
        <v>247</v>
      </c>
      <c r="CV47" s="58" t="s">
        <v>248</v>
      </c>
      <c r="CW47" s="58" t="s">
        <v>249</v>
      </c>
      <c r="CX47" s="58" t="s">
        <v>250</v>
      </c>
      <c r="CY47" s="58" t="s">
        <v>247</v>
      </c>
      <c r="CZ47" s="58" t="s">
        <v>248</v>
      </c>
      <c r="DA47" s="58" t="s">
        <v>249</v>
      </c>
      <c r="DB47" s="58" t="s">
        <v>250</v>
      </c>
      <c r="DC47" s="58" t="s">
        <v>247</v>
      </c>
      <c r="DD47" s="58" t="s">
        <v>248</v>
      </c>
      <c r="DE47" s="58" t="s">
        <v>249</v>
      </c>
      <c r="DF47" s="58" t="s">
        <v>250</v>
      </c>
      <c r="DG47" s="58" t="s">
        <v>247</v>
      </c>
      <c r="DH47" s="58" t="s">
        <v>248</v>
      </c>
      <c r="DI47" s="58" t="s">
        <v>249</v>
      </c>
      <c r="DJ47" s="58" t="s">
        <v>250</v>
      </c>
      <c r="DK47" s="58" t="s">
        <v>247</v>
      </c>
      <c r="DL47" s="58" t="s">
        <v>248</v>
      </c>
      <c r="DM47" s="58" t="s">
        <v>249</v>
      </c>
      <c r="DN47" s="58" t="s">
        <v>250</v>
      </c>
      <c r="DO47" s="58" t="s">
        <v>247</v>
      </c>
      <c r="DP47" s="58" t="s">
        <v>248</v>
      </c>
      <c r="DQ47" s="58" t="s">
        <v>249</v>
      </c>
      <c r="DR47" s="58" t="s">
        <v>250</v>
      </c>
      <c r="DS47" s="58" t="s">
        <v>247</v>
      </c>
      <c r="DT47" s="58" t="s">
        <v>248</v>
      </c>
      <c r="DU47" s="58" t="s">
        <v>249</v>
      </c>
      <c r="DV47" s="58" t="s">
        <v>250</v>
      </c>
      <c r="DW47" s="58" t="s">
        <v>247</v>
      </c>
      <c r="DX47" s="58" t="s">
        <v>248</v>
      </c>
      <c r="DY47" s="58" t="s">
        <v>249</v>
      </c>
      <c r="DZ47" s="58" t="s">
        <v>250</v>
      </c>
      <c r="EA47" s="58" t="s">
        <v>247</v>
      </c>
      <c r="EB47" s="58" t="s">
        <v>248</v>
      </c>
      <c r="EC47" s="58" t="s">
        <v>249</v>
      </c>
      <c r="ED47" s="58" t="s">
        <v>250</v>
      </c>
      <c r="EE47" s="58" t="s">
        <v>247</v>
      </c>
      <c r="EF47" s="58" t="s">
        <v>248</v>
      </c>
      <c r="EG47" s="58" t="s">
        <v>249</v>
      </c>
      <c r="EH47" s="58" t="s">
        <v>250</v>
      </c>
      <c r="EI47" s="58" t="s">
        <v>247</v>
      </c>
      <c r="EJ47" s="58" t="s">
        <v>248</v>
      </c>
      <c r="EK47" s="58" t="s">
        <v>249</v>
      </c>
      <c r="EL47" s="58" t="s">
        <v>250</v>
      </c>
      <c r="EM47" s="58" t="s">
        <v>247</v>
      </c>
      <c r="EN47" s="58" t="s">
        <v>248</v>
      </c>
      <c r="EO47" s="58" t="s">
        <v>249</v>
      </c>
      <c r="EP47" s="58" t="s">
        <v>250</v>
      </c>
      <c r="EQ47" s="58" t="s">
        <v>247</v>
      </c>
      <c r="ER47" s="58" t="s">
        <v>248</v>
      </c>
      <c r="ES47" s="58" t="s">
        <v>249</v>
      </c>
      <c r="ET47" s="58" t="s">
        <v>250</v>
      </c>
      <c r="EU47" s="58" t="s">
        <v>247</v>
      </c>
      <c r="EV47" s="58" t="s">
        <v>248</v>
      </c>
      <c r="EW47" s="58" t="s">
        <v>249</v>
      </c>
      <c r="EX47" s="58" t="s">
        <v>250</v>
      </c>
      <c r="EY47" s="58" t="s">
        <v>247</v>
      </c>
      <c r="EZ47" s="58" t="s">
        <v>248</v>
      </c>
      <c r="FA47" s="58" t="s">
        <v>249</v>
      </c>
      <c r="FB47" s="58" t="s">
        <v>250</v>
      </c>
      <c r="FC47" s="58" t="s">
        <v>247</v>
      </c>
      <c r="FD47" s="58" t="s">
        <v>248</v>
      </c>
      <c r="FE47" s="58" t="s">
        <v>249</v>
      </c>
      <c r="FF47" s="58" t="s">
        <v>250</v>
      </c>
      <c r="FG47" s="58" t="s">
        <v>247</v>
      </c>
      <c r="FH47" s="58" t="s">
        <v>248</v>
      </c>
      <c r="FI47" s="58" t="s">
        <v>249</v>
      </c>
      <c r="FJ47" s="58" t="s">
        <v>250</v>
      </c>
      <c r="FK47" s="58" t="s">
        <v>247</v>
      </c>
      <c r="FL47" s="58" t="s">
        <v>248</v>
      </c>
      <c r="FM47" s="58" t="s">
        <v>249</v>
      </c>
      <c r="FN47" s="58" t="s">
        <v>250</v>
      </c>
      <c r="FO47" s="58" t="s">
        <v>247</v>
      </c>
      <c r="FP47" s="58" t="s">
        <v>248</v>
      </c>
      <c r="FQ47" s="58" t="s">
        <v>249</v>
      </c>
      <c r="FR47" s="58" t="s">
        <v>250</v>
      </c>
      <c r="FS47" s="58" t="s">
        <v>247</v>
      </c>
      <c r="FT47" s="58" t="s">
        <v>248</v>
      </c>
      <c r="FU47" s="58" t="s">
        <v>249</v>
      </c>
      <c r="FV47" s="58" t="s">
        <v>250</v>
      </c>
      <c r="FW47" s="58" t="s">
        <v>247</v>
      </c>
      <c r="FX47" s="58" t="s">
        <v>248</v>
      </c>
      <c r="FY47" s="58" t="s">
        <v>249</v>
      </c>
      <c r="FZ47" s="58" t="s">
        <v>250</v>
      </c>
      <c r="GA47" s="58" t="s">
        <v>247</v>
      </c>
      <c r="GB47" s="58" t="s">
        <v>248</v>
      </c>
      <c r="GC47" s="58" t="s">
        <v>249</v>
      </c>
      <c r="GD47" s="58" t="s">
        <v>250</v>
      </c>
      <c r="GE47" s="58" t="s">
        <v>247</v>
      </c>
      <c r="GF47" s="58" t="s">
        <v>248</v>
      </c>
      <c r="GG47" s="58" t="s">
        <v>249</v>
      </c>
      <c r="GH47" s="58" t="s">
        <v>250</v>
      </c>
      <c r="GI47" s="58" t="s">
        <v>247</v>
      </c>
      <c r="GJ47" s="58" t="s">
        <v>248</v>
      </c>
      <c r="GK47" s="58" t="s">
        <v>249</v>
      </c>
      <c r="GL47" s="58" t="s">
        <v>250</v>
      </c>
      <c r="GM47" s="58" t="s">
        <v>247</v>
      </c>
      <c r="GN47" s="58" t="s">
        <v>248</v>
      </c>
      <c r="GO47" s="58" t="s">
        <v>249</v>
      </c>
      <c r="GP47" s="58" t="s">
        <v>250</v>
      </c>
      <c r="GQ47" s="58" t="s">
        <v>247</v>
      </c>
      <c r="GR47" s="58" t="s">
        <v>248</v>
      </c>
      <c r="GS47" s="58" t="s">
        <v>249</v>
      </c>
      <c r="GT47" s="58" t="s">
        <v>250</v>
      </c>
      <c r="GU47" s="58" t="s">
        <v>247</v>
      </c>
      <c r="GV47" s="58" t="s">
        <v>248</v>
      </c>
      <c r="GW47" s="58" t="s">
        <v>249</v>
      </c>
      <c r="GX47" s="58" t="s">
        <v>250</v>
      </c>
      <c r="GY47" s="58" t="s">
        <v>247</v>
      </c>
      <c r="GZ47" s="58" t="s">
        <v>248</v>
      </c>
      <c r="HA47" s="58" t="s">
        <v>249</v>
      </c>
      <c r="HB47" s="58" t="s">
        <v>250</v>
      </c>
      <c r="HC47" s="58" t="s">
        <v>247</v>
      </c>
      <c r="HD47" s="58" t="s">
        <v>248</v>
      </c>
      <c r="HE47" s="58" t="s">
        <v>249</v>
      </c>
      <c r="HF47" s="58" t="s">
        <v>250</v>
      </c>
      <c r="HG47" s="58" t="s">
        <v>247</v>
      </c>
      <c r="HH47" s="58" t="s">
        <v>248</v>
      </c>
      <c r="HI47" s="58" t="s">
        <v>249</v>
      </c>
      <c r="HJ47" s="58" t="s">
        <v>250</v>
      </c>
      <c r="HK47" s="58" t="s">
        <v>247</v>
      </c>
      <c r="HL47" s="58" t="s">
        <v>248</v>
      </c>
      <c r="HM47" s="58" t="s">
        <v>249</v>
      </c>
      <c r="HN47" s="58" t="s">
        <v>250</v>
      </c>
      <c r="HO47" s="58" t="s">
        <v>247</v>
      </c>
      <c r="HP47" s="58" t="s">
        <v>248</v>
      </c>
      <c r="HQ47" s="58" t="s">
        <v>249</v>
      </c>
      <c r="HR47" s="58" t="s">
        <v>250</v>
      </c>
      <c r="HS47" s="58" t="s">
        <v>247</v>
      </c>
      <c r="HT47" s="58" t="s">
        <v>248</v>
      </c>
      <c r="HU47" s="58" t="s">
        <v>249</v>
      </c>
      <c r="HV47" s="58" t="s">
        <v>250</v>
      </c>
      <c r="HW47" s="58" t="s">
        <v>247</v>
      </c>
      <c r="HX47" s="58" t="s">
        <v>248</v>
      </c>
      <c r="HY47" s="58" t="s">
        <v>249</v>
      </c>
      <c r="HZ47" s="58" t="s">
        <v>250</v>
      </c>
      <c r="IA47" s="58" t="s">
        <v>247</v>
      </c>
      <c r="IB47" s="58" t="s">
        <v>248</v>
      </c>
      <c r="IC47" s="58" t="s">
        <v>249</v>
      </c>
      <c r="ID47" s="58" t="s">
        <v>250</v>
      </c>
      <c r="IE47" s="58" t="s">
        <v>247</v>
      </c>
      <c r="IF47" s="58" t="s">
        <v>248</v>
      </c>
      <c r="IG47" s="58" t="s">
        <v>249</v>
      </c>
      <c r="IH47" s="58" t="s">
        <v>250</v>
      </c>
      <c r="II47" s="58" t="s">
        <v>247</v>
      </c>
      <c r="IJ47" s="58" t="s">
        <v>248</v>
      </c>
      <c r="IK47" s="58" t="s">
        <v>249</v>
      </c>
      <c r="IL47" s="58" t="s">
        <v>250</v>
      </c>
      <c r="IM47" s="58" t="s">
        <v>247</v>
      </c>
      <c r="IN47" s="58" t="s">
        <v>248</v>
      </c>
      <c r="IO47" s="58" t="s">
        <v>249</v>
      </c>
      <c r="IP47" s="58" t="s">
        <v>250</v>
      </c>
      <c r="IQ47" s="58" t="s">
        <v>247</v>
      </c>
      <c r="IR47" s="58" t="s">
        <v>248</v>
      </c>
      <c r="IS47" s="58" t="s">
        <v>249</v>
      </c>
      <c r="IT47" s="58" t="s">
        <v>250</v>
      </c>
      <c r="IU47" s="58" t="s">
        <v>247</v>
      </c>
      <c r="IV47" s="58" t="s">
        <v>248</v>
      </c>
      <c r="IW47" s="58" t="s">
        <v>249</v>
      </c>
      <c r="IX47" s="58" t="s">
        <v>250</v>
      </c>
      <c r="IY47" s="58" t="s">
        <v>247</v>
      </c>
      <c r="IZ47" s="58" t="s">
        <v>248</v>
      </c>
      <c r="JA47" s="58" t="s">
        <v>249</v>
      </c>
      <c r="JB47" s="58" t="s">
        <v>250</v>
      </c>
      <c r="JC47" s="58" t="s">
        <v>247</v>
      </c>
      <c r="JD47" s="58" t="s">
        <v>248</v>
      </c>
      <c r="JE47" s="58" t="s">
        <v>249</v>
      </c>
      <c r="JF47" s="58" t="s">
        <v>250</v>
      </c>
      <c r="JG47" s="58" t="s">
        <v>247</v>
      </c>
      <c r="JH47" s="58" t="s">
        <v>248</v>
      </c>
      <c r="JI47" s="58" t="s">
        <v>249</v>
      </c>
      <c r="JJ47" s="58" t="s">
        <v>250</v>
      </c>
      <c r="JK47" s="58" t="s">
        <v>247</v>
      </c>
      <c r="JL47" s="58" t="s">
        <v>248</v>
      </c>
      <c r="JM47" s="58" t="s">
        <v>249</v>
      </c>
      <c r="JN47" s="58" t="s">
        <v>250</v>
      </c>
      <c r="JO47" s="58" t="s">
        <v>247</v>
      </c>
      <c r="JP47" s="58" t="s">
        <v>248</v>
      </c>
      <c r="JQ47" s="58" t="s">
        <v>249</v>
      </c>
      <c r="JR47" s="58" t="s">
        <v>250</v>
      </c>
      <c r="JS47" s="58" t="s">
        <v>247</v>
      </c>
      <c r="JT47" s="58" t="s">
        <v>248</v>
      </c>
      <c r="JU47" s="58" t="s">
        <v>249</v>
      </c>
      <c r="JV47" s="58" t="s">
        <v>250</v>
      </c>
      <c r="JW47" s="58" t="s">
        <v>247</v>
      </c>
      <c r="JX47" s="58" t="s">
        <v>248</v>
      </c>
      <c r="JY47" s="58" t="s">
        <v>249</v>
      </c>
      <c r="JZ47" s="58" t="s">
        <v>250</v>
      </c>
      <c r="KA47" s="58" t="s">
        <v>247</v>
      </c>
      <c r="KB47" s="58" t="s">
        <v>248</v>
      </c>
      <c r="KC47" s="58" t="s">
        <v>249</v>
      </c>
      <c r="KD47" s="58" t="s">
        <v>250</v>
      </c>
      <c r="KE47" s="58" t="s">
        <v>247</v>
      </c>
      <c r="KF47" s="58" t="s">
        <v>248</v>
      </c>
      <c r="KG47" s="58" t="s">
        <v>249</v>
      </c>
      <c r="KH47" s="58" t="s">
        <v>250</v>
      </c>
      <c r="KI47" s="58" t="s">
        <v>247</v>
      </c>
      <c r="KJ47" s="58" t="s">
        <v>248</v>
      </c>
      <c r="KK47" s="58" t="s">
        <v>249</v>
      </c>
      <c r="KL47" s="58" t="s">
        <v>250</v>
      </c>
      <c r="KM47" s="58" t="s">
        <v>247</v>
      </c>
      <c r="KN47" s="58" t="s">
        <v>248</v>
      </c>
      <c r="KO47" s="58" t="s">
        <v>249</v>
      </c>
      <c r="KP47" s="58" t="s">
        <v>250</v>
      </c>
      <c r="KQ47" s="58" t="s">
        <v>247</v>
      </c>
      <c r="KR47" s="58" t="s">
        <v>248</v>
      </c>
      <c r="KS47" s="58" t="s">
        <v>249</v>
      </c>
      <c r="KT47" s="58" t="s">
        <v>250</v>
      </c>
      <c r="KU47" s="58" t="s">
        <v>247</v>
      </c>
      <c r="KV47" s="58" t="s">
        <v>248</v>
      </c>
      <c r="KW47" s="58" t="s">
        <v>249</v>
      </c>
      <c r="KX47" s="58" t="s">
        <v>250</v>
      </c>
      <c r="KY47" s="58" t="s">
        <v>247</v>
      </c>
      <c r="KZ47" s="58" t="s">
        <v>248</v>
      </c>
      <c r="LA47" s="58" t="s">
        <v>249</v>
      </c>
      <c r="LB47" s="58" t="s">
        <v>250</v>
      </c>
      <c r="LC47" s="58" t="s">
        <v>247</v>
      </c>
      <c r="LD47" s="58" t="s">
        <v>248</v>
      </c>
      <c r="LE47" s="58" t="s">
        <v>249</v>
      </c>
      <c r="LF47" s="58" t="s">
        <v>250</v>
      </c>
      <c r="LG47" s="58" t="s">
        <v>247</v>
      </c>
      <c r="LH47" s="58" t="s">
        <v>248</v>
      </c>
      <c r="LI47" s="58" t="s">
        <v>249</v>
      </c>
      <c r="LJ47" s="58" t="s">
        <v>250</v>
      </c>
      <c r="LK47" s="58" t="s">
        <v>247</v>
      </c>
      <c r="LL47" s="58" t="s">
        <v>248</v>
      </c>
      <c r="LM47" s="58" t="s">
        <v>249</v>
      </c>
      <c r="LN47" s="58" t="s">
        <v>250</v>
      </c>
      <c r="LO47" s="58" t="s">
        <v>247</v>
      </c>
      <c r="LP47" s="58" t="s">
        <v>248</v>
      </c>
      <c r="LQ47" s="58" t="s">
        <v>249</v>
      </c>
      <c r="LR47" s="58" t="s">
        <v>250</v>
      </c>
      <c r="LS47" s="58" t="s">
        <v>247</v>
      </c>
      <c r="LT47" s="58" t="s">
        <v>248</v>
      </c>
      <c r="LU47" s="58" t="s">
        <v>249</v>
      </c>
      <c r="LV47" s="58" t="s">
        <v>250</v>
      </c>
      <c r="LW47" s="58" t="s">
        <v>247</v>
      </c>
      <c r="LX47" s="58" t="s">
        <v>248</v>
      </c>
      <c r="LY47" s="58" t="s">
        <v>249</v>
      </c>
      <c r="LZ47" s="58" t="s">
        <v>250</v>
      </c>
      <c r="MA47" s="58" t="s">
        <v>247</v>
      </c>
      <c r="MB47" s="58" t="s">
        <v>248</v>
      </c>
      <c r="MC47" s="58" t="s">
        <v>249</v>
      </c>
      <c r="MD47" s="58" t="s">
        <v>250</v>
      </c>
      <c r="ME47" s="58" t="s">
        <v>247</v>
      </c>
      <c r="MF47" s="58" t="s">
        <v>248</v>
      </c>
      <c r="MG47" s="58" t="s">
        <v>249</v>
      </c>
      <c r="MH47" s="58" t="s">
        <v>250</v>
      </c>
      <c r="MI47" s="58" t="s">
        <v>247</v>
      </c>
      <c r="MJ47" s="58" t="s">
        <v>248</v>
      </c>
      <c r="MK47" s="58" t="s">
        <v>249</v>
      </c>
      <c r="ML47" s="58" t="s">
        <v>250</v>
      </c>
      <c r="MM47" s="58" t="s">
        <v>247</v>
      </c>
      <c r="MN47" s="58" t="s">
        <v>248</v>
      </c>
      <c r="MO47" s="58" t="s">
        <v>249</v>
      </c>
      <c r="MP47" s="58" t="s">
        <v>250</v>
      </c>
      <c r="MQ47" s="58" t="s">
        <v>247</v>
      </c>
      <c r="MR47" s="58" t="s">
        <v>248</v>
      </c>
      <c r="MS47" s="58" t="s">
        <v>249</v>
      </c>
      <c r="MT47" s="58" t="s">
        <v>250</v>
      </c>
      <c r="MU47" s="58" t="s">
        <v>247</v>
      </c>
      <c r="MV47" s="58" t="s">
        <v>248</v>
      </c>
      <c r="MW47" s="58" t="s">
        <v>249</v>
      </c>
      <c r="MX47" s="58" t="s">
        <v>250</v>
      </c>
      <c r="MY47" s="58" t="s">
        <v>247</v>
      </c>
      <c r="MZ47" s="58" t="s">
        <v>248</v>
      </c>
      <c r="NA47" s="58" t="s">
        <v>249</v>
      </c>
      <c r="NB47" s="58" t="s">
        <v>250</v>
      </c>
      <c r="NC47" s="58" t="s">
        <v>247</v>
      </c>
      <c r="ND47" s="58" t="s">
        <v>248</v>
      </c>
      <c r="NE47" s="58" t="s">
        <v>249</v>
      </c>
      <c r="NF47" s="58" t="s">
        <v>250</v>
      </c>
      <c r="NG47" s="58" t="s">
        <v>247</v>
      </c>
      <c r="NH47" s="58" t="s">
        <v>248</v>
      </c>
      <c r="NI47" s="58" t="s">
        <v>249</v>
      </c>
      <c r="NJ47" s="58" t="s">
        <v>250</v>
      </c>
      <c r="NK47" s="58" t="s">
        <v>247</v>
      </c>
      <c r="NL47" s="58" t="s">
        <v>248</v>
      </c>
      <c r="NM47" s="58" t="s">
        <v>249</v>
      </c>
      <c r="NN47" s="58" t="s">
        <v>250</v>
      </c>
      <c r="NO47" s="58" t="s">
        <v>247</v>
      </c>
      <c r="NP47" s="58" t="s">
        <v>248</v>
      </c>
      <c r="NQ47" s="58" t="s">
        <v>249</v>
      </c>
      <c r="NR47" s="58" t="s">
        <v>250</v>
      </c>
      <c r="NS47" s="58" t="s">
        <v>247</v>
      </c>
      <c r="NT47" s="58" t="s">
        <v>248</v>
      </c>
      <c r="NU47" s="58" t="s">
        <v>249</v>
      </c>
      <c r="NV47" s="58" t="s">
        <v>250</v>
      </c>
      <c r="NW47" s="58" t="s">
        <v>247</v>
      </c>
      <c r="NX47" s="58" t="s">
        <v>248</v>
      </c>
      <c r="NY47" s="58" t="s">
        <v>249</v>
      </c>
      <c r="NZ47" s="58" t="s">
        <v>250</v>
      </c>
      <c r="OA47" s="58" t="s">
        <v>247</v>
      </c>
      <c r="OB47" s="58" t="s">
        <v>248</v>
      </c>
      <c r="OC47" s="58" t="s">
        <v>249</v>
      </c>
      <c r="OD47" s="58" t="s">
        <v>250</v>
      </c>
      <c r="OE47" s="58" t="s">
        <v>247</v>
      </c>
      <c r="OF47" s="58" t="s">
        <v>248</v>
      </c>
      <c r="OG47" s="58" t="s">
        <v>249</v>
      </c>
      <c r="OH47" s="58" t="s">
        <v>250</v>
      </c>
      <c r="OI47" s="58" t="s">
        <v>247</v>
      </c>
      <c r="OJ47" s="58" t="s">
        <v>248</v>
      </c>
      <c r="OK47" s="58" t="s">
        <v>249</v>
      </c>
      <c r="OL47" s="58" t="s">
        <v>250</v>
      </c>
      <c r="OM47" s="58" t="s">
        <v>247</v>
      </c>
      <c r="ON47" s="58" t="s">
        <v>248</v>
      </c>
      <c r="OO47" s="58" t="s">
        <v>249</v>
      </c>
      <c r="OP47" s="58" t="s">
        <v>250</v>
      </c>
      <c r="OQ47" s="58" t="s">
        <v>247</v>
      </c>
      <c r="OR47" s="58" t="s">
        <v>248</v>
      </c>
      <c r="OS47" s="58" t="s">
        <v>249</v>
      </c>
      <c r="OT47" s="58" t="s">
        <v>250</v>
      </c>
      <c r="OU47" s="58" t="s">
        <v>247</v>
      </c>
      <c r="OV47" s="58" t="s">
        <v>248</v>
      </c>
      <c r="OW47" s="58" t="s">
        <v>249</v>
      </c>
      <c r="OX47" s="58" t="s">
        <v>250</v>
      </c>
      <c r="OY47" s="58" t="s">
        <v>247</v>
      </c>
      <c r="OZ47" s="58" t="s">
        <v>248</v>
      </c>
      <c r="PA47" s="58" t="s">
        <v>249</v>
      </c>
      <c r="PB47" s="58" t="s">
        <v>250</v>
      </c>
      <c r="PC47" s="58" t="s">
        <v>247</v>
      </c>
      <c r="PD47" s="58" t="s">
        <v>248</v>
      </c>
      <c r="PE47" s="58" t="s">
        <v>249</v>
      </c>
      <c r="PF47" s="58" t="s">
        <v>250</v>
      </c>
      <c r="PG47" s="58" t="s">
        <v>247</v>
      </c>
      <c r="PH47" s="58" t="s">
        <v>248</v>
      </c>
      <c r="PI47" s="58" t="s">
        <v>249</v>
      </c>
      <c r="PJ47" s="58" t="s">
        <v>250</v>
      </c>
      <c r="PK47" s="58" t="s">
        <v>247</v>
      </c>
      <c r="PL47" s="58" t="s">
        <v>248</v>
      </c>
      <c r="PM47" s="58" t="s">
        <v>249</v>
      </c>
      <c r="PN47" s="58" t="s">
        <v>250</v>
      </c>
      <c r="PO47" s="58" t="s">
        <v>247</v>
      </c>
      <c r="PP47" s="58" t="s">
        <v>248</v>
      </c>
      <c r="PQ47" s="58" t="s">
        <v>249</v>
      </c>
      <c r="PR47" s="58" t="s">
        <v>250</v>
      </c>
      <c r="PS47" s="58" t="s">
        <v>247</v>
      </c>
      <c r="PT47" s="58" t="s">
        <v>248</v>
      </c>
      <c r="PU47" s="58" t="s">
        <v>249</v>
      </c>
      <c r="PV47" s="58" t="s">
        <v>250</v>
      </c>
      <c r="PW47" s="58" t="s">
        <v>247</v>
      </c>
      <c r="PX47" s="58" t="s">
        <v>248</v>
      </c>
      <c r="PY47" s="58" t="s">
        <v>249</v>
      </c>
      <c r="PZ47" s="58" t="s">
        <v>250</v>
      </c>
      <c r="QA47" s="58" t="s">
        <v>247</v>
      </c>
      <c r="QB47" s="58" t="s">
        <v>248</v>
      </c>
      <c r="QC47" s="58" t="s">
        <v>249</v>
      </c>
      <c r="QD47" s="58" t="s">
        <v>250</v>
      </c>
      <c r="QE47" s="58" t="s">
        <v>247</v>
      </c>
      <c r="QF47" s="58" t="s">
        <v>248</v>
      </c>
      <c r="QG47" s="58" t="s">
        <v>249</v>
      </c>
      <c r="QH47" s="58" t="s">
        <v>250</v>
      </c>
      <c r="QI47" s="58" t="s">
        <v>247</v>
      </c>
      <c r="QJ47" s="58" t="s">
        <v>248</v>
      </c>
      <c r="QK47" s="58" t="s">
        <v>249</v>
      </c>
      <c r="QL47" s="58" t="s">
        <v>250</v>
      </c>
      <c r="QM47" s="58" t="s">
        <v>247</v>
      </c>
      <c r="QN47" s="58" t="s">
        <v>248</v>
      </c>
      <c r="QO47" s="58" t="s">
        <v>249</v>
      </c>
      <c r="QP47" s="58" t="s">
        <v>250</v>
      </c>
      <c r="QQ47" s="58" t="s">
        <v>247</v>
      </c>
      <c r="QR47" s="58" t="s">
        <v>248</v>
      </c>
      <c r="QS47" s="58" t="s">
        <v>249</v>
      </c>
      <c r="QT47" s="58" t="s">
        <v>250</v>
      </c>
      <c r="QU47" s="58" t="s">
        <v>247</v>
      </c>
      <c r="QV47" s="58" t="s">
        <v>248</v>
      </c>
      <c r="QW47" s="58" t="s">
        <v>249</v>
      </c>
      <c r="QX47" s="58" t="s">
        <v>250</v>
      </c>
      <c r="QY47" s="58" t="s">
        <v>247</v>
      </c>
      <c r="QZ47" s="58" t="s">
        <v>248</v>
      </c>
      <c r="RA47" s="58" t="s">
        <v>249</v>
      </c>
      <c r="RB47" s="58" t="s">
        <v>250</v>
      </c>
      <c r="RC47" s="58" t="s">
        <v>247</v>
      </c>
      <c r="RD47" s="58" t="s">
        <v>248</v>
      </c>
      <c r="RE47" s="58" t="s">
        <v>249</v>
      </c>
      <c r="RF47" s="58" t="s">
        <v>250</v>
      </c>
      <c r="RG47" s="58" t="s">
        <v>247</v>
      </c>
      <c r="RH47" s="58" t="s">
        <v>248</v>
      </c>
      <c r="RI47" s="58" t="s">
        <v>249</v>
      </c>
      <c r="RJ47" s="58" t="s">
        <v>250</v>
      </c>
      <c r="RK47" s="58" t="s">
        <v>247</v>
      </c>
      <c r="RL47" s="58" t="s">
        <v>248</v>
      </c>
      <c r="RM47" s="58" t="s">
        <v>249</v>
      </c>
      <c r="RN47" s="58" t="s">
        <v>250</v>
      </c>
      <c r="RO47" s="58" t="s">
        <v>247</v>
      </c>
      <c r="RP47" s="58" t="s">
        <v>248</v>
      </c>
      <c r="RQ47" s="58" t="s">
        <v>249</v>
      </c>
      <c r="RR47" s="58" t="s">
        <v>250</v>
      </c>
      <c r="RS47" s="58" t="s">
        <v>247</v>
      </c>
      <c r="RT47" s="58" t="s">
        <v>248</v>
      </c>
      <c r="RU47" s="58" t="s">
        <v>249</v>
      </c>
      <c r="RV47" s="58" t="s">
        <v>250</v>
      </c>
      <c r="RW47" s="58" t="s">
        <v>247</v>
      </c>
      <c r="RX47" s="58" t="s">
        <v>248</v>
      </c>
      <c r="RY47" s="58" t="s">
        <v>249</v>
      </c>
      <c r="RZ47" s="58" t="s">
        <v>250</v>
      </c>
      <c r="SA47" s="58" t="s">
        <v>247</v>
      </c>
      <c r="SB47" s="58" t="s">
        <v>248</v>
      </c>
      <c r="SC47" s="58" t="s">
        <v>249</v>
      </c>
      <c r="SD47" s="58" t="s">
        <v>250</v>
      </c>
      <c r="SE47" s="58" t="s">
        <v>247</v>
      </c>
      <c r="SF47" s="58" t="s">
        <v>248</v>
      </c>
      <c r="SG47" s="58" t="s">
        <v>249</v>
      </c>
      <c r="SH47" s="58" t="s">
        <v>250</v>
      </c>
      <c r="SI47" s="58" t="s">
        <v>247</v>
      </c>
      <c r="SJ47" s="58" t="s">
        <v>248</v>
      </c>
      <c r="SK47" s="58" t="s">
        <v>249</v>
      </c>
      <c r="SL47" s="58" t="s">
        <v>250</v>
      </c>
      <c r="SM47" s="58" t="s">
        <v>247</v>
      </c>
      <c r="SN47" s="58" t="s">
        <v>248</v>
      </c>
      <c r="SO47" s="58" t="s">
        <v>249</v>
      </c>
      <c r="SP47" s="58" t="s">
        <v>250</v>
      </c>
      <c r="SQ47" s="58" t="s">
        <v>247</v>
      </c>
      <c r="SR47" s="58" t="s">
        <v>248</v>
      </c>
      <c r="SS47" s="58" t="s">
        <v>249</v>
      </c>
      <c r="ST47" s="58" t="s">
        <v>250</v>
      </c>
      <c r="SU47" s="58" t="s">
        <v>247</v>
      </c>
      <c r="SV47" s="58" t="s">
        <v>248</v>
      </c>
      <c r="SW47" s="58" t="s">
        <v>249</v>
      </c>
      <c r="SX47" s="58" t="s">
        <v>250</v>
      </c>
      <c r="SY47" s="58" t="s">
        <v>247</v>
      </c>
      <c r="SZ47" s="58" t="s">
        <v>248</v>
      </c>
      <c r="TA47" s="58" t="s">
        <v>249</v>
      </c>
      <c r="TB47" s="58" t="s">
        <v>250</v>
      </c>
      <c r="TC47" s="58" t="s">
        <v>247</v>
      </c>
      <c r="TD47" s="58" t="s">
        <v>248</v>
      </c>
      <c r="TE47" s="58" t="s">
        <v>249</v>
      </c>
      <c r="TF47" s="58" t="s">
        <v>250</v>
      </c>
      <c r="TG47" s="58" t="s">
        <v>247</v>
      </c>
      <c r="TH47" s="58" t="s">
        <v>248</v>
      </c>
      <c r="TI47" s="58" t="s">
        <v>249</v>
      </c>
      <c r="TJ47" s="58" t="s">
        <v>250</v>
      </c>
      <c r="TK47" s="58" t="s">
        <v>247</v>
      </c>
      <c r="TL47" s="58" t="s">
        <v>248</v>
      </c>
      <c r="TM47" s="58" t="s">
        <v>249</v>
      </c>
      <c r="TN47" s="58" t="s">
        <v>250</v>
      </c>
      <c r="TO47" s="58" t="s">
        <v>247</v>
      </c>
      <c r="TP47" s="58" t="s">
        <v>248</v>
      </c>
      <c r="TQ47" s="58" t="s">
        <v>249</v>
      </c>
      <c r="TR47" s="58" t="s">
        <v>250</v>
      </c>
      <c r="TS47" s="58" t="s">
        <v>247</v>
      </c>
      <c r="TT47" s="58" t="s">
        <v>248</v>
      </c>
      <c r="TU47" s="58" t="s">
        <v>249</v>
      </c>
      <c r="TV47" s="58" t="s">
        <v>250</v>
      </c>
      <c r="TW47" s="58" t="s">
        <v>247</v>
      </c>
      <c r="TX47" s="58" t="s">
        <v>248</v>
      </c>
      <c r="TY47" s="58" t="s">
        <v>249</v>
      </c>
      <c r="TZ47" s="58" t="s">
        <v>250</v>
      </c>
      <c r="UA47" s="58" t="s">
        <v>247</v>
      </c>
      <c r="UB47" s="58" t="s">
        <v>248</v>
      </c>
      <c r="UC47" s="58" t="s">
        <v>249</v>
      </c>
      <c r="UD47" s="58" t="s">
        <v>250</v>
      </c>
      <c r="UE47" s="58" t="s">
        <v>247</v>
      </c>
      <c r="UF47" s="58" t="s">
        <v>248</v>
      </c>
      <c r="UG47" s="58" t="s">
        <v>249</v>
      </c>
      <c r="UH47" s="58" t="s">
        <v>250</v>
      </c>
      <c r="UI47" s="58" t="s">
        <v>247</v>
      </c>
      <c r="UJ47" s="58" t="s">
        <v>248</v>
      </c>
      <c r="UK47" s="58" t="s">
        <v>249</v>
      </c>
      <c r="UL47" s="58" t="s">
        <v>250</v>
      </c>
      <c r="UM47" s="58" t="s">
        <v>247</v>
      </c>
      <c r="UN47" s="58" t="s">
        <v>248</v>
      </c>
      <c r="UO47" s="58" t="s">
        <v>249</v>
      </c>
      <c r="UP47" s="58" t="s">
        <v>250</v>
      </c>
      <c r="UQ47" s="58" t="s">
        <v>247</v>
      </c>
      <c r="UR47" s="58" t="s">
        <v>248</v>
      </c>
      <c r="US47" s="58" t="s">
        <v>249</v>
      </c>
      <c r="UT47" s="58" t="s">
        <v>250</v>
      </c>
      <c r="UU47" s="58" t="s">
        <v>247</v>
      </c>
      <c r="UV47" s="58" t="s">
        <v>248</v>
      </c>
      <c r="UW47" s="58" t="s">
        <v>249</v>
      </c>
      <c r="UX47" s="58" t="s">
        <v>250</v>
      </c>
      <c r="UY47" s="58" t="s">
        <v>247</v>
      </c>
      <c r="UZ47" s="58" t="s">
        <v>248</v>
      </c>
      <c r="VA47" s="58" t="s">
        <v>249</v>
      </c>
      <c r="VB47" s="58" t="s">
        <v>250</v>
      </c>
      <c r="VC47" s="58" t="s">
        <v>247</v>
      </c>
      <c r="VD47" s="58" t="s">
        <v>248</v>
      </c>
      <c r="VE47" s="58" t="s">
        <v>249</v>
      </c>
      <c r="VF47" s="58" t="s">
        <v>250</v>
      </c>
      <c r="VG47" s="58" t="s">
        <v>247</v>
      </c>
      <c r="VH47" s="58" t="s">
        <v>248</v>
      </c>
      <c r="VI47" s="58" t="s">
        <v>249</v>
      </c>
      <c r="VJ47" s="58" t="s">
        <v>250</v>
      </c>
      <c r="VK47" s="58" t="s">
        <v>247</v>
      </c>
      <c r="VL47" s="58" t="s">
        <v>248</v>
      </c>
      <c r="VM47" s="58" t="s">
        <v>249</v>
      </c>
      <c r="VN47" s="58" t="s">
        <v>250</v>
      </c>
      <c r="VO47" s="58" t="s">
        <v>247</v>
      </c>
      <c r="VP47" s="58" t="s">
        <v>248</v>
      </c>
      <c r="VQ47" s="58" t="s">
        <v>249</v>
      </c>
      <c r="VR47" s="58" t="s">
        <v>250</v>
      </c>
      <c r="VS47" s="58" t="s">
        <v>247</v>
      </c>
      <c r="VT47" s="58" t="s">
        <v>248</v>
      </c>
      <c r="VU47" s="58" t="s">
        <v>249</v>
      </c>
      <c r="VV47" s="58" t="s">
        <v>250</v>
      </c>
      <c r="VW47" s="58" t="s">
        <v>247</v>
      </c>
      <c r="VX47" s="58" t="s">
        <v>248</v>
      </c>
      <c r="VY47" s="58" t="s">
        <v>249</v>
      </c>
      <c r="VZ47" s="58" t="s">
        <v>250</v>
      </c>
      <c r="WA47" s="58" t="s">
        <v>247</v>
      </c>
      <c r="WB47" s="58" t="s">
        <v>248</v>
      </c>
      <c r="WC47" s="58" t="s">
        <v>249</v>
      </c>
      <c r="WD47" s="58" t="s">
        <v>250</v>
      </c>
      <c r="WE47" s="58" t="s">
        <v>247</v>
      </c>
      <c r="WF47" s="58" t="s">
        <v>248</v>
      </c>
      <c r="WG47" s="58" t="s">
        <v>249</v>
      </c>
      <c r="WH47" s="58" t="s">
        <v>250</v>
      </c>
      <c r="WI47" s="58" t="s">
        <v>247</v>
      </c>
      <c r="WJ47" s="58" t="s">
        <v>248</v>
      </c>
      <c r="WK47" s="58" t="s">
        <v>249</v>
      </c>
      <c r="WL47" s="58" t="s">
        <v>250</v>
      </c>
      <c r="WM47" s="58" t="s">
        <v>247</v>
      </c>
      <c r="WN47" s="58" t="s">
        <v>248</v>
      </c>
      <c r="WO47" s="58" t="s">
        <v>249</v>
      </c>
      <c r="WP47" s="58" t="s">
        <v>250</v>
      </c>
      <c r="WQ47" s="58" t="s">
        <v>247</v>
      </c>
      <c r="WR47" s="58" t="s">
        <v>248</v>
      </c>
      <c r="WS47" s="58" t="s">
        <v>249</v>
      </c>
      <c r="WT47" s="58" t="s">
        <v>250</v>
      </c>
      <c r="WU47" s="58" t="s">
        <v>247</v>
      </c>
      <c r="WV47" s="58" t="s">
        <v>248</v>
      </c>
      <c r="WW47" s="58" t="s">
        <v>249</v>
      </c>
      <c r="WX47" s="58" t="s">
        <v>250</v>
      </c>
      <c r="WY47" s="58" t="s">
        <v>247</v>
      </c>
      <c r="WZ47" s="58" t="s">
        <v>248</v>
      </c>
      <c r="XA47" s="58" t="s">
        <v>249</v>
      </c>
      <c r="XB47" s="58" t="s">
        <v>250</v>
      </c>
      <c r="XC47" s="58" t="s">
        <v>247</v>
      </c>
      <c r="XD47" s="58" t="s">
        <v>248</v>
      </c>
      <c r="XE47" s="58" t="s">
        <v>249</v>
      </c>
      <c r="XF47" s="58" t="s">
        <v>250</v>
      </c>
      <c r="XG47" s="58" t="s">
        <v>247</v>
      </c>
      <c r="XH47" s="58" t="s">
        <v>248</v>
      </c>
      <c r="XI47" s="58" t="s">
        <v>249</v>
      </c>
      <c r="XJ47" s="58" t="s">
        <v>250</v>
      </c>
      <c r="XK47" s="58" t="s">
        <v>247</v>
      </c>
      <c r="XL47" s="58" t="s">
        <v>248</v>
      </c>
      <c r="XM47" s="58" t="s">
        <v>249</v>
      </c>
      <c r="XN47" s="58" t="s">
        <v>250</v>
      </c>
      <c r="XO47" s="58" t="s">
        <v>247</v>
      </c>
      <c r="XP47" s="58" t="s">
        <v>248</v>
      </c>
      <c r="XQ47" s="58" t="s">
        <v>249</v>
      </c>
      <c r="XR47" s="58" t="s">
        <v>250</v>
      </c>
      <c r="XS47" s="58" t="s">
        <v>247</v>
      </c>
      <c r="XT47" s="58" t="s">
        <v>248</v>
      </c>
      <c r="XU47" s="58" t="s">
        <v>249</v>
      </c>
      <c r="XV47" s="58" t="s">
        <v>250</v>
      </c>
      <c r="XW47" s="58" t="s">
        <v>247</v>
      </c>
      <c r="XX47" s="58" t="s">
        <v>248</v>
      </c>
      <c r="XY47" s="58" t="s">
        <v>249</v>
      </c>
      <c r="XZ47" s="58" t="s">
        <v>250</v>
      </c>
      <c r="YA47" s="58" t="s">
        <v>247</v>
      </c>
      <c r="YB47" s="58" t="s">
        <v>248</v>
      </c>
      <c r="YC47" s="58" t="s">
        <v>249</v>
      </c>
      <c r="YD47" s="58" t="s">
        <v>250</v>
      </c>
      <c r="YE47" s="58" t="s">
        <v>247</v>
      </c>
      <c r="YF47" s="58" t="s">
        <v>248</v>
      </c>
      <c r="YG47" s="58" t="s">
        <v>249</v>
      </c>
      <c r="YH47" s="58" t="s">
        <v>250</v>
      </c>
      <c r="YI47" s="58" t="s">
        <v>247</v>
      </c>
      <c r="YJ47" s="58" t="s">
        <v>248</v>
      </c>
      <c r="YK47" s="58" t="s">
        <v>249</v>
      </c>
      <c r="YL47" s="58" t="s">
        <v>250</v>
      </c>
      <c r="YM47" s="58" t="s">
        <v>247</v>
      </c>
      <c r="YN47" s="58" t="s">
        <v>248</v>
      </c>
      <c r="YO47" s="58" t="s">
        <v>249</v>
      </c>
      <c r="YP47" s="58" t="s">
        <v>250</v>
      </c>
      <c r="YQ47" s="58" t="s">
        <v>247</v>
      </c>
      <c r="YR47" s="58" t="s">
        <v>248</v>
      </c>
      <c r="YS47" s="58" t="s">
        <v>249</v>
      </c>
      <c r="YT47" s="58" t="s">
        <v>250</v>
      </c>
      <c r="YU47" s="58" t="s">
        <v>247</v>
      </c>
      <c r="YV47" s="58" t="s">
        <v>248</v>
      </c>
      <c r="YW47" s="58" t="s">
        <v>249</v>
      </c>
      <c r="YX47" s="58" t="s">
        <v>250</v>
      </c>
      <c r="YY47" s="58" t="s">
        <v>247</v>
      </c>
      <c r="YZ47" s="58" t="s">
        <v>248</v>
      </c>
      <c r="ZA47" s="58" t="s">
        <v>249</v>
      </c>
      <c r="ZB47" s="58" t="s">
        <v>250</v>
      </c>
      <c r="ZC47" s="58" t="s">
        <v>247</v>
      </c>
      <c r="ZD47" s="58" t="s">
        <v>248</v>
      </c>
      <c r="ZE47" s="58" t="s">
        <v>249</v>
      </c>
      <c r="ZF47" s="58" t="s">
        <v>250</v>
      </c>
      <c r="ZG47" s="58" t="s">
        <v>247</v>
      </c>
      <c r="ZH47" s="58" t="s">
        <v>248</v>
      </c>
      <c r="ZI47" s="58" t="s">
        <v>249</v>
      </c>
      <c r="ZJ47" s="58" t="s">
        <v>250</v>
      </c>
      <c r="ZK47" s="58" t="s">
        <v>247</v>
      </c>
      <c r="ZL47" s="58" t="s">
        <v>248</v>
      </c>
      <c r="ZM47" s="58" t="s">
        <v>249</v>
      </c>
      <c r="ZN47" s="58" t="s">
        <v>250</v>
      </c>
      <c r="ZO47" s="58" t="s">
        <v>247</v>
      </c>
      <c r="ZP47" s="58" t="s">
        <v>248</v>
      </c>
      <c r="ZQ47" s="58" t="s">
        <v>249</v>
      </c>
      <c r="ZR47" s="58" t="s">
        <v>250</v>
      </c>
      <c r="ZS47" s="58" t="s">
        <v>247</v>
      </c>
      <c r="ZT47" s="58" t="s">
        <v>248</v>
      </c>
      <c r="ZU47" s="58" t="s">
        <v>249</v>
      </c>
      <c r="ZV47" s="58" t="s">
        <v>250</v>
      </c>
      <c r="ZW47" s="58" t="s">
        <v>247</v>
      </c>
      <c r="ZX47" s="58" t="s">
        <v>248</v>
      </c>
      <c r="ZY47" s="58" t="s">
        <v>249</v>
      </c>
      <c r="ZZ47" s="58" t="s">
        <v>250</v>
      </c>
      <c r="AAA47" s="58" t="s">
        <v>247</v>
      </c>
      <c r="AAB47" s="58" t="s">
        <v>248</v>
      </c>
      <c r="AAC47" s="58" t="s">
        <v>249</v>
      </c>
      <c r="AAD47" s="58" t="s">
        <v>250</v>
      </c>
      <c r="AAE47" s="58" t="s">
        <v>247</v>
      </c>
      <c r="AAF47" s="58" t="s">
        <v>248</v>
      </c>
      <c r="AAG47" s="58" t="s">
        <v>249</v>
      </c>
      <c r="AAH47" s="58" t="s">
        <v>250</v>
      </c>
      <c r="AAI47" s="58" t="s">
        <v>247</v>
      </c>
      <c r="AAJ47" s="58" t="s">
        <v>248</v>
      </c>
      <c r="AAK47" s="58" t="s">
        <v>249</v>
      </c>
      <c r="AAL47" s="58" t="s">
        <v>250</v>
      </c>
      <c r="AAM47" s="58" t="s">
        <v>247</v>
      </c>
      <c r="AAN47" s="58" t="s">
        <v>248</v>
      </c>
      <c r="AAO47" s="58" t="s">
        <v>249</v>
      </c>
      <c r="AAP47" s="58" t="s">
        <v>250</v>
      </c>
      <c r="AAQ47" s="58" t="s">
        <v>247</v>
      </c>
      <c r="AAR47" s="58" t="s">
        <v>248</v>
      </c>
      <c r="AAS47" s="58" t="s">
        <v>249</v>
      </c>
      <c r="AAT47" s="58" t="s">
        <v>250</v>
      </c>
      <c r="AAU47" s="58" t="s">
        <v>247</v>
      </c>
      <c r="AAV47" s="58" t="s">
        <v>248</v>
      </c>
      <c r="AAW47" s="58" t="s">
        <v>249</v>
      </c>
      <c r="AAX47" s="58" t="s">
        <v>250</v>
      </c>
      <c r="AAY47" s="58" t="s">
        <v>247</v>
      </c>
      <c r="AAZ47" s="58" t="s">
        <v>248</v>
      </c>
      <c r="ABA47" s="58" t="s">
        <v>249</v>
      </c>
      <c r="ABB47" s="58" t="s">
        <v>250</v>
      </c>
      <c r="ABC47" s="58" t="s">
        <v>247</v>
      </c>
      <c r="ABD47" s="58" t="s">
        <v>248</v>
      </c>
      <c r="ABE47" s="58" t="s">
        <v>249</v>
      </c>
      <c r="ABF47" s="58" t="s">
        <v>250</v>
      </c>
      <c r="ABG47" s="58" t="s">
        <v>247</v>
      </c>
      <c r="ABH47" s="58" t="s">
        <v>248</v>
      </c>
      <c r="ABI47" s="58" t="s">
        <v>249</v>
      </c>
      <c r="ABJ47" s="58" t="s">
        <v>250</v>
      </c>
      <c r="ABK47" s="58" t="s">
        <v>247</v>
      </c>
      <c r="ABL47" s="58" t="s">
        <v>248</v>
      </c>
      <c r="ABM47" s="58" t="s">
        <v>249</v>
      </c>
      <c r="ABN47" s="58" t="s">
        <v>250</v>
      </c>
      <c r="ABO47" s="58" t="s">
        <v>247</v>
      </c>
      <c r="ABP47" s="58" t="s">
        <v>248</v>
      </c>
      <c r="ABQ47" s="58" t="s">
        <v>249</v>
      </c>
      <c r="ABR47" s="58" t="s">
        <v>250</v>
      </c>
      <c r="ABS47" s="58" t="s">
        <v>247</v>
      </c>
      <c r="ABT47" s="58" t="s">
        <v>248</v>
      </c>
      <c r="ABU47" s="58" t="s">
        <v>249</v>
      </c>
      <c r="ABV47" s="58" t="s">
        <v>250</v>
      </c>
      <c r="ABW47" s="58" t="s">
        <v>247</v>
      </c>
      <c r="ABX47" s="58" t="s">
        <v>248</v>
      </c>
      <c r="ABY47" s="58" t="s">
        <v>249</v>
      </c>
      <c r="ABZ47" s="58" t="s">
        <v>250</v>
      </c>
      <c r="ACA47" s="58" t="s">
        <v>247</v>
      </c>
      <c r="ACB47" s="58" t="s">
        <v>248</v>
      </c>
      <c r="ACC47" s="58" t="s">
        <v>249</v>
      </c>
      <c r="ACD47" s="58" t="s">
        <v>250</v>
      </c>
      <c r="ACE47" s="58" t="s">
        <v>247</v>
      </c>
      <c r="ACF47" s="58" t="s">
        <v>248</v>
      </c>
      <c r="ACG47" s="58" t="s">
        <v>249</v>
      </c>
      <c r="ACH47" s="58" t="s">
        <v>250</v>
      </c>
      <c r="ACI47" s="58" t="s">
        <v>247</v>
      </c>
      <c r="ACJ47" s="58" t="s">
        <v>248</v>
      </c>
      <c r="ACK47" s="58" t="s">
        <v>249</v>
      </c>
      <c r="ACL47" s="58" t="s">
        <v>250</v>
      </c>
      <c r="ACM47" s="58" t="s">
        <v>247</v>
      </c>
      <c r="ACN47" s="58" t="s">
        <v>248</v>
      </c>
      <c r="ACO47" s="58" t="s">
        <v>249</v>
      </c>
      <c r="ACP47" s="58" t="s">
        <v>250</v>
      </c>
      <c r="ACQ47" s="58" t="s">
        <v>247</v>
      </c>
      <c r="ACR47" s="58" t="s">
        <v>248</v>
      </c>
      <c r="ACS47" s="58" t="s">
        <v>249</v>
      </c>
      <c r="ACT47" s="58" t="s">
        <v>250</v>
      </c>
      <c r="ACU47" s="58" t="s">
        <v>247</v>
      </c>
      <c r="ACV47" s="58" t="s">
        <v>248</v>
      </c>
      <c r="ACW47" s="58" t="s">
        <v>249</v>
      </c>
      <c r="ACX47" s="58" t="s">
        <v>250</v>
      </c>
      <c r="ACY47" s="58" t="s">
        <v>247</v>
      </c>
      <c r="ACZ47" s="58" t="s">
        <v>248</v>
      </c>
      <c r="ADA47" s="58" t="s">
        <v>249</v>
      </c>
      <c r="ADB47" s="58" t="s">
        <v>250</v>
      </c>
      <c r="ADC47" s="58" t="s">
        <v>247</v>
      </c>
      <c r="ADD47" s="58" t="s">
        <v>248</v>
      </c>
      <c r="ADE47" s="58" t="s">
        <v>249</v>
      </c>
      <c r="ADF47" s="58" t="s">
        <v>250</v>
      </c>
      <c r="ADG47" s="58" t="s">
        <v>247</v>
      </c>
      <c r="ADH47" s="58" t="s">
        <v>248</v>
      </c>
      <c r="ADI47" s="58" t="s">
        <v>249</v>
      </c>
      <c r="ADJ47" s="58" t="s">
        <v>250</v>
      </c>
      <c r="ADK47" s="58" t="s">
        <v>247</v>
      </c>
      <c r="ADL47" s="58" t="s">
        <v>248</v>
      </c>
      <c r="ADM47" s="58" t="s">
        <v>249</v>
      </c>
      <c r="ADN47" s="58" t="s">
        <v>250</v>
      </c>
      <c r="ADO47" s="58" t="s">
        <v>247</v>
      </c>
      <c r="ADP47" s="58" t="s">
        <v>248</v>
      </c>
      <c r="ADQ47" s="58" t="s">
        <v>249</v>
      </c>
      <c r="ADR47" s="58" t="s">
        <v>250</v>
      </c>
      <c r="ADS47" s="58" t="s">
        <v>247</v>
      </c>
      <c r="ADT47" s="58" t="s">
        <v>248</v>
      </c>
      <c r="ADU47" s="58" t="s">
        <v>249</v>
      </c>
      <c r="ADV47" s="58" t="s">
        <v>250</v>
      </c>
      <c r="ADW47" s="58" t="s">
        <v>247</v>
      </c>
      <c r="ADX47" s="58" t="s">
        <v>248</v>
      </c>
      <c r="ADY47" s="58" t="s">
        <v>249</v>
      </c>
      <c r="ADZ47" s="58" t="s">
        <v>250</v>
      </c>
      <c r="AEA47" s="58" t="s">
        <v>247</v>
      </c>
      <c r="AEB47" s="58" t="s">
        <v>248</v>
      </c>
      <c r="AEC47" s="58" t="s">
        <v>249</v>
      </c>
      <c r="AED47" s="58" t="s">
        <v>250</v>
      </c>
      <c r="AEE47" s="58" t="s">
        <v>247</v>
      </c>
      <c r="AEF47" s="58" t="s">
        <v>248</v>
      </c>
      <c r="AEG47" s="58" t="s">
        <v>249</v>
      </c>
      <c r="AEH47" s="58" t="s">
        <v>250</v>
      </c>
      <c r="AEI47" s="58" t="s">
        <v>247</v>
      </c>
      <c r="AEJ47" s="58" t="s">
        <v>248</v>
      </c>
      <c r="AEK47" s="58" t="s">
        <v>249</v>
      </c>
      <c r="AEL47" s="58" t="s">
        <v>250</v>
      </c>
      <c r="AEM47" s="58" t="s">
        <v>247</v>
      </c>
      <c r="AEN47" s="58" t="s">
        <v>248</v>
      </c>
      <c r="AEO47" s="58" t="s">
        <v>249</v>
      </c>
      <c r="AEP47" s="58" t="s">
        <v>250</v>
      </c>
      <c r="AEQ47" s="58" t="s">
        <v>247</v>
      </c>
      <c r="AER47" s="58" t="s">
        <v>248</v>
      </c>
      <c r="AES47" s="58" t="s">
        <v>249</v>
      </c>
      <c r="AET47" s="58" t="s">
        <v>250</v>
      </c>
      <c r="AEU47" s="58" t="s">
        <v>247</v>
      </c>
      <c r="AEV47" s="58" t="s">
        <v>248</v>
      </c>
      <c r="AEW47" s="58" t="s">
        <v>249</v>
      </c>
      <c r="AEX47" s="58" t="s">
        <v>250</v>
      </c>
      <c r="AEY47" s="58" t="s">
        <v>247</v>
      </c>
      <c r="AEZ47" s="58" t="s">
        <v>248</v>
      </c>
      <c r="AFA47" s="58" t="s">
        <v>249</v>
      </c>
      <c r="AFB47" s="58" t="s">
        <v>250</v>
      </c>
      <c r="AFC47" s="58" t="s">
        <v>247</v>
      </c>
      <c r="AFD47" s="58" t="s">
        <v>248</v>
      </c>
      <c r="AFE47" s="58" t="s">
        <v>249</v>
      </c>
      <c r="AFF47" s="58" t="s">
        <v>250</v>
      </c>
      <c r="AFG47" s="58" t="s">
        <v>247</v>
      </c>
      <c r="AFH47" s="58" t="s">
        <v>248</v>
      </c>
      <c r="AFI47" s="58" t="s">
        <v>249</v>
      </c>
      <c r="AFJ47" s="58" t="s">
        <v>250</v>
      </c>
      <c r="AFK47" s="58" t="s">
        <v>247</v>
      </c>
      <c r="AFL47" s="58" t="s">
        <v>248</v>
      </c>
      <c r="AFM47" s="58" t="s">
        <v>249</v>
      </c>
      <c r="AFN47" s="58" t="s">
        <v>250</v>
      </c>
      <c r="AFO47" s="58" t="s">
        <v>247</v>
      </c>
      <c r="AFP47" s="58" t="s">
        <v>248</v>
      </c>
      <c r="AFQ47" s="58" t="s">
        <v>249</v>
      </c>
      <c r="AFR47" s="58" t="s">
        <v>250</v>
      </c>
      <c r="AFS47" s="58" t="s">
        <v>247</v>
      </c>
      <c r="AFT47" s="58" t="s">
        <v>248</v>
      </c>
      <c r="AFU47" s="58" t="s">
        <v>249</v>
      </c>
      <c r="AFV47" s="58" t="s">
        <v>250</v>
      </c>
      <c r="AFW47" s="58" t="s">
        <v>247</v>
      </c>
      <c r="AFX47" s="58" t="s">
        <v>248</v>
      </c>
      <c r="AFY47" s="58" t="s">
        <v>249</v>
      </c>
      <c r="AFZ47" s="58" t="s">
        <v>250</v>
      </c>
      <c r="AGA47" s="58" t="s">
        <v>247</v>
      </c>
      <c r="AGB47" s="58" t="s">
        <v>248</v>
      </c>
      <c r="AGC47" s="58" t="s">
        <v>249</v>
      </c>
      <c r="AGD47" s="58" t="s">
        <v>250</v>
      </c>
      <c r="AGE47" s="58" t="s">
        <v>247</v>
      </c>
      <c r="AGF47" s="58" t="s">
        <v>248</v>
      </c>
      <c r="AGG47" s="58" t="s">
        <v>249</v>
      </c>
      <c r="AGH47" s="58" t="s">
        <v>250</v>
      </c>
      <c r="AGI47" s="58" t="s">
        <v>247</v>
      </c>
      <c r="AGJ47" s="58" t="s">
        <v>248</v>
      </c>
      <c r="AGK47" s="58" t="s">
        <v>249</v>
      </c>
      <c r="AGL47" s="58" t="s">
        <v>250</v>
      </c>
      <c r="AGM47" s="58" t="s">
        <v>247</v>
      </c>
      <c r="AGN47" s="58" t="s">
        <v>248</v>
      </c>
      <c r="AGO47" s="58" t="s">
        <v>249</v>
      </c>
      <c r="AGP47" s="58" t="s">
        <v>250</v>
      </c>
      <c r="AGQ47" s="58" t="s">
        <v>247</v>
      </c>
      <c r="AGR47" s="58" t="s">
        <v>248</v>
      </c>
      <c r="AGS47" s="58" t="s">
        <v>249</v>
      </c>
      <c r="AGT47" s="58" t="s">
        <v>250</v>
      </c>
      <c r="AGU47" s="58" t="s">
        <v>247</v>
      </c>
      <c r="AGV47" s="58" t="s">
        <v>248</v>
      </c>
      <c r="AGW47" s="58" t="s">
        <v>249</v>
      </c>
      <c r="AGX47" s="58" t="s">
        <v>250</v>
      </c>
      <c r="AGY47" s="58" t="s">
        <v>247</v>
      </c>
      <c r="AGZ47" s="58" t="s">
        <v>248</v>
      </c>
      <c r="AHA47" s="58" t="s">
        <v>249</v>
      </c>
      <c r="AHB47" s="58" t="s">
        <v>250</v>
      </c>
      <c r="AHC47" s="58" t="s">
        <v>247</v>
      </c>
      <c r="AHD47" s="58" t="s">
        <v>248</v>
      </c>
      <c r="AHE47" s="58" t="s">
        <v>249</v>
      </c>
      <c r="AHF47" s="58" t="s">
        <v>250</v>
      </c>
      <c r="AHG47" s="58" t="s">
        <v>247</v>
      </c>
      <c r="AHH47" s="58" t="s">
        <v>248</v>
      </c>
      <c r="AHI47" s="58" t="s">
        <v>249</v>
      </c>
      <c r="AHJ47" s="58" t="s">
        <v>250</v>
      </c>
      <c r="AHK47" s="58" t="s">
        <v>247</v>
      </c>
      <c r="AHL47" s="58" t="s">
        <v>248</v>
      </c>
      <c r="AHM47" s="58" t="s">
        <v>249</v>
      </c>
      <c r="AHN47" s="58" t="s">
        <v>250</v>
      </c>
      <c r="AHO47" s="58" t="s">
        <v>247</v>
      </c>
      <c r="AHP47" s="58" t="s">
        <v>248</v>
      </c>
      <c r="AHQ47" s="58" t="s">
        <v>249</v>
      </c>
      <c r="AHR47" s="58" t="s">
        <v>250</v>
      </c>
      <c r="AHS47" s="58" t="s">
        <v>247</v>
      </c>
      <c r="AHT47" s="58" t="s">
        <v>248</v>
      </c>
      <c r="AHU47" s="58" t="s">
        <v>249</v>
      </c>
      <c r="AHV47" s="58" t="s">
        <v>250</v>
      </c>
      <c r="AHW47" s="58" t="s">
        <v>247</v>
      </c>
      <c r="AHX47" s="58" t="s">
        <v>248</v>
      </c>
      <c r="AHY47" s="58" t="s">
        <v>249</v>
      </c>
      <c r="AHZ47" s="58" t="s">
        <v>250</v>
      </c>
      <c r="AIA47" s="58" t="s">
        <v>247</v>
      </c>
      <c r="AIB47" s="58" t="s">
        <v>248</v>
      </c>
      <c r="AIC47" s="58" t="s">
        <v>249</v>
      </c>
      <c r="AID47" s="58" t="s">
        <v>250</v>
      </c>
      <c r="AIE47" s="58" t="s">
        <v>247</v>
      </c>
      <c r="AIF47" s="58" t="s">
        <v>248</v>
      </c>
      <c r="AIG47" s="58" t="s">
        <v>249</v>
      </c>
      <c r="AIH47" s="58" t="s">
        <v>250</v>
      </c>
      <c r="AII47" s="58" t="s">
        <v>247</v>
      </c>
      <c r="AIJ47" s="58" t="s">
        <v>248</v>
      </c>
      <c r="AIK47" s="58" t="s">
        <v>249</v>
      </c>
      <c r="AIL47" s="58" t="s">
        <v>250</v>
      </c>
      <c r="AIM47" s="58" t="s">
        <v>247</v>
      </c>
      <c r="AIN47" s="58" t="s">
        <v>248</v>
      </c>
      <c r="AIO47" s="58" t="s">
        <v>249</v>
      </c>
      <c r="AIP47" s="58" t="s">
        <v>250</v>
      </c>
      <c r="AIQ47" s="58" t="s">
        <v>247</v>
      </c>
      <c r="AIR47" s="58" t="s">
        <v>248</v>
      </c>
      <c r="AIS47" s="58" t="s">
        <v>249</v>
      </c>
      <c r="AIT47" s="58" t="s">
        <v>250</v>
      </c>
      <c r="AIU47" s="58" t="s">
        <v>247</v>
      </c>
      <c r="AIV47" s="58" t="s">
        <v>248</v>
      </c>
      <c r="AIW47" s="58" t="s">
        <v>249</v>
      </c>
      <c r="AIX47" s="58" t="s">
        <v>250</v>
      </c>
      <c r="AIY47" s="58" t="s">
        <v>247</v>
      </c>
      <c r="AIZ47" s="58" t="s">
        <v>248</v>
      </c>
      <c r="AJA47" s="58" t="s">
        <v>249</v>
      </c>
      <c r="AJB47" s="58" t="s">
        <v>250</v>
      </c>
      <c r="AJC47" s="58" t="s">
        <v>247</v>
      </c>
      <c r="AJD47" s="58" t="s">
        <v>248</v>
      </c>
      <c r="AJE47" s="58" t="s">
        <v>249</v>
      </c>
      <c r="AJF47" s="58" t="s">
        <v>250</v>
      </c>
      <c r="AJG47" s="58" t="s">
        <v>247</v>
      </c>
      <c r="AJH47" s="58" t="s">
        <v>248</v>
      </c>
      <c r="AJI47" s="58" t="s">
        <v>249</v>
      </c>
      <c r="AJJ47" s="58" t="s">
        <v>250</v>
      </c>
      <c r="AJK47" s="58" t="s">
        <v>247</v>
      </c>
      <c r="AJL47" s="58" t="s">
        <v>248</v>
      </c>
      <c r="AJM47" s="58" t="s">
        <v>249</v>
      </c>
      <c r="AJN47" s="58" t="s">
        <v>250</v>
      </c>
      <c r="AJO47" s="58" t="s">
        <v>247</v>
      </c>
      <c r="AJP47" s="58" t="s">
        <v>248</v>
      </c>
      <c r="AJQ47" s="58" t="s">
        <v>249</v>
      </c>
      <c r="AJR47" s="58" t="s">
        <v>250</v>
      </c>
      <c r="AJS47" s="58" t="s">
        <v>247</v>
      </c>
      <c r="AJT47" s="58" t="s">
        <v>248</v>
      </c>
      <c r="AJU47" s="58" t="s">
        <v>249</v>
      </c>
      <c r="AJV47" s="58" t="s">
        <v>250</v>
      </c>
      <c r="AJW47" s="58" t="s">
        <v>247</v>
      </c>
      <c r="AJX47" s="58" t="s">
        <v>248</v>
      </c>
      <c r="AJY47" s="58" t="s">
        <v>249</v>
      </c>
      <c r="AJZ47" s="58" t="s">
        <v>250</v>
      </c>
      <c r="AKA47" s="58" t="s">
        <v>247</v>
      </c>
      <c r="AKB47" s="58" t="s">
        <v>248</v>
      </c>
      <c r="AKC47" s="58" t="s">
        <v>249</v>
      </c>
      <c r="AKD47" s="58" t="s">
        <v>250</v>
      </c>
      <c r="AKE47" s="58" t="s">
        <v>247</v>
      </c>
      <c r="AKF47" s="58" t="s">
        <v>248</v>
      </c>
      <c r="AKG47" s="58" t="s">
        <v>249</v>
      </c>
      <c r="AKH47" s="58" t="s">
        <v>250</v>
      </c>
      <c r="AKI47" s="58" t="s">
        <v>247</v>
      </c>
      <c r="AKJ47" s="58" t="s">
        <v>248</v>
      </c>
      <c r="AKK47" s="58" t="s">
        <v>249</v>
      </c>
      <c r="AKL47" s="58" t="s">
        <v>250</v>
      </c>
      <c r="AKM47" s="58" t="s">
        <v>247</v>
      </c>
      <c r="AKN47" s="58" t="s">
        <v>248</v>
      </c>
      <c r="AKO47" s="58" t="s">
        <v>249</v>
      </c>
      <c r="AKP47" s="58" t="s">
        <v>250</v>
      </c>
      <c r="AKQ47" s="58" t="s">
        <v>247</v>
      </c>
      <c r="AKR47" s="58" t="s">
        <v>248</v>
      </c>
      <c r="AKS47" s="58" t="s">
        <v>249</v>
      </c>
      <c r="AKT47" s="58" t="s">
        <v>250</v>
      </c>
      <c r="AKU47" s="58" t="s">
        <v>247</v>
      </c>
      <c r="AKV47" s="58" t="s">
        <v>248</v>
      </c>
      <c r="AKW47" s="58" t="s">
        <v>249</v>
      </c>
      <c r="AKX47" s="58" t="s">
        <v>250</v>
      </c>
      <c r="AKY47" s="58" t="s">
        <v>247</v>
      </c>
      <c r="AKZ47" s="58" t="s">
        <v>248</v>
      </c>
      <c r="ALA47" s="58" t="s">
        <v>249</v>
      </c>
      <c r="ALB47" s="58" t="s">
        <v>250</v>
      </c>
      <c r="ALC47" s="58" t="s">
        <v>247</v>
      </c>
      <c r="ALD47" s="58" t="s">
        <v>248</v>
      </c>
      <c r="ALE47" s="58" t="s">
        <v>249</v>
      </c>
      <c r="ALF47" s="58" t="s">
        <v>250</v>
      </c>
      <c r="ALG47" s="58" t="s">
        <v>247</v>
      </c>
      <c r="ALH47" s="58" t="s">
        <v>248</v>
      </c>
      <c r="ALI47" s="58" t="s">
        <v>249</v>
      </c>
      <c r="ALJ47" s="58" t="s">
        <v>250</v>
      </c>
      <c r="ALK47" s="58" t="s">
        <v>247</v>
      </c>
      <c r="ALL47" s="58" t="s">
        <v>248</v>
      </c>
      <c r="ALM47" s="58" t="s">
        <v>249</v>
      </c>
      <c r="ALN47" s="58" t="s">
        <v>250</v>
      </c>
      <c r="ALO47" s="58" t="s">
        <v>247</v>
      </c>
      <c r="ALP47" s="58" t="s">
        <v>248</v>
      </c>
      <c r="ALQ47" s="58" t="s">
        <v>249</v>
      </c>
      <c r="ALR47" s="58" t="s">
        <v>250</v>
      </c>
      <c r="ALS47" s="58" t="s">
        <v>247</v>
      </c>
      <c r="ALT47" s="58" t="s">
        <v>248</v>
      </c>
      <c r="ALU47" s="58" t="s">
        <v>249</v>
      </c>
      <c r="ALV47" s="58" t="s">
        <v>250</v>
      </c>
      <c r="ALW47" s="58" t="s">
        <v>247</v>
      </c>
      <c r="ALX47" s="58" t="s">
        <v>248</v>
      </c>
      <c r="ALY47" s="58" t="s">
        <v>249</v>
      </c>
      <c r="ALZ47" s="58" t="s">
        <v>250</v>
      </c>
      <c r="AMA47" s="58" t="s">
        <v>247</v>
      </c>
      <c r="AMB47" s="58" t="s">
        <v>248</v>
      </c>
      <c r="AMC47" s="58" t="s">
        <v>249</v>
      </c>
      <c r="AMD47" s="58" t="s">
        <v>250</v>
      </c>
      <c r="AME47" s="58" t="s">
        <v>247</v>
      </c>
      <c r="AMF47" s="58" t="s">
        <v>248</v>
      </c>
      <c r="AMG47" s="58" t="s">
        <v>249</v>
      </c>
      <c r="AMH47" s="58" t="s">
        <v>250</v>
      </c>
      <c r="AMI47" s="58" t="s">
        <v>247</v>
      </c>
      <c r="AMJ47" s="58" t="s">
        <v>248</v>
      </c>
      <c r="AMK47" s="58" t="s">
        <v>249</v>
      </c>
      <c r="AML47" s="58" t="s">
        <v>250</v>
      </c>
      <c r="AMM47" s="58" t="s">
        <v>247</v>
      </c>
      <c r="AMN47" s="58" t="s">
        <v>248</v>
      </c>
      <c r="AMO47" s="58" t="s">
        <v>249</v>
      </c>
      <c r="AMP47" s="58" t="s">
        <v>250</v>
      </c>
      <c r="AMQ47" s="58" t="s">
        <v>247</v>
      </c>
      <c r="AMR47" s="58" t="s">
        <v>248</v>
      </c>
      <c r="AMS47" s="58" t="s">
        <v>249</v>
      </c>
      <c r="AMT47" s="58" t="s">
        <v>250</v>
      </c>
      <c r="AMU47" s="58" t="s">
        <v>247</v>
      </c>
      <c r="AMV47" s="58" t="s">
        <v>248</v>
      </c>
      <c r="AMW47" s="58" t="s">
        <v>249</v>
      </c>
      <c r="AMX47" s="58" t="s">
        <v>250</v>
      </c>
      <c r="AMY47" s="58" t="s">
        <v>247</v>
      </c>
      <c r="AMZ47" s="58" t="s">
        <v>248</v>
      </c>
      <c r="ANA47" s="58" t="s">
        <v>249</v>
      </c>
      <c r="ANB47" s="58" t="s">
        <v>250</v>
      </c>
      <c r="ANC47" s="58" t="s">
        <v>247</v>
      </c>
      <c r="AND47" s="58" t="s">
        <v>248</v>
      </c>
      <c r="ANE47" s="58" t="s">
        <v>249</v>
      </c>
      <c r="ANF47" s="58" t="s">
        <v>250</v>
      </c>
      <c r="ANG47" s="58" t="s">
        <v>247</v>
      </c>
      <c r="ANH47" s="58" t="s">
        <v>248</v>
      </c>
      <c r="ANI47" s="58" t="s">
        <v>249</v>
      </c>
      <c r="ANJ47" s="58" t="s">
        <v>250</v>
      </c>
      <c r="ANK47" s="58" t="s">
        <v>247</v>
      </c>
      <c r="ANL47" s="58" t="s">
        <v>248</v>
      </c>
      <c r="ANM47" s="58" t="s">
        <v>249</v>
      </c>
      <c r="ANN47" s="58" t="s">
        <v>250</v>
      </c>
      <c r="ANO47" s="58" t="s">
        <v>247</v>
      </c>
      <c r="ANP47" s="58" t="s">
        <v>248</v>
      </c>
      <c r="ANQ47" s="58" t="s">
        <v>249</v>
      </c>
      <c r="ANR47" s="58" t="s">
        <v>250</v>
      </c>
      <c r="ANS47" s="58" t="s">
        <v>247</v>
      </c>
      <c r="ANT47" s="58" t="s">
        <v>248</v>
      </c>
      <c r="ANU47" s="58" t="s">
        <v>249</v>
      </c>
      <c r="ANV47" s="58" t="s">
        <v>250</v>
      </c>
      <c r="ANW47" s="58" t="s">
        <v>247</v>
      </c>
      <c r="ANX47" s="58" t="s">
        <v>248</v>
      </c>
      <c r="ANY47" s="58" t="s">
        <v>249</v>
      </c>
      <c r="ANZ47" s="58" t="s">
        <v>250</v>
      </c>
      <c r="AOA47" s="58" t="s">
        <v>247</v>
      </c>
      <c r="AOB47" s="58" t="s">
        <v>248</v>
      </c>
      <c r="AOC47" s="58" t="s">
        <v>249</v>
      </c>
      <c r="AOD47" s="58" t="s">
        <v>250</v>
      </c>
      <c r="AOE47" s="58" t="s">
        <v>247</v>
      </c>
      <c r="AOF47" s="58" t="s">
        <v>248</v>
      </c>
      <c r="AOG47" s="58" t="s">
        <v>249</v>
      </c>
      <c r="AOH47" s="58" t="s">
        <v>250</v>
      </c>
      <c r="AOI47" s="58" t="s">
        <v>247</v>
      </c>
      <c r="AOJ47" s="58" t="s">
        <v>248</v>
      </c>
      <c r="AOK47" s="58" t="s">
        <v>249</v>
      </c>
      <c r="AOL47" s="58" t="s">
        <v>250</v>
      </c>
      <c r="AOM47" s="58" t="s">
        <v>247</v>
      </c>
      <c r="AON47" s="58" t="s">
        <v>248</v>
      </c>
      <c r="AOO47" s="58" t="s">
        <v>249</v>
      </c>
      <c r="AOP47" s="58" t="s">
        <v>250</v>
      </c>
      <c r="AOQ47" s="58" t="s">
        <v>247</v>
      </c>
      <c r="AOR47" s="58" t="s">
        <v>248</v>
      </c>
      <c r="AOS47" s="58" t="s">
        <v>249</v>
      </c>
      <c r="AOT47" s="58" t="s">
        <v>250</v>
      </c>
      <c r="AOU47" s="58" t="s">
        <v>247</v>
      </c>
      <c r="AOV47" s="58" t="s">
        <v>248</v>
      </c>
      <c r="AOW47" s="58" t="s">
        <v>249</v>
      </c>
      <c r="AOX47" s="58" t="s">
        <v>250</v>
      </c>
      <c r="AOY47" s="58" t="s">
        <v>247</v>
      </c>
      <c r="AOZ47" s="58" t="s">
        <v>248</v>
      </c>
      <c r="APA47" s="58" t="s">
        <v>249</v>
      </c>
      <c r="APB47" s="58" t="s">
        <v>250</v>
      </c>
      <c r="APC47" s="58" t="s">
        <v>247</v>
      </c>
      <c r="APD47" s="58" t="s">
        <v>248</v>
      </c>
      <c r="APE47" s="58" t="s">
        <v>249</v>
      </c>
      <c r="APF47" s="58" t="s">
        <v>250</v>
      </c>
      <c r="APG47" s="58" t="s">
        <v>247</v>
      </c>
      <c r="APH47" s="58" t="s">
        <v>248</v>
      </c>
      <c r="API47" s="58" t="s">
        <v>249</v>
      </c>
      <c r="APJ47" s="58" t="s">
        <v>250</v>
      </c>
      <c r="APK47" s="58" t="s">
        <v>247</v>
      </c>
      <c r="APL47" s="58" t="s">
        <v>248</v>
      </c>
      <c r="APM47" s="58" t="s">
        <v>249</v>
      </c>
      <c r="APN47" s="58" t="s">
        <v>250</v>
      </c>
      <c r="APO47" s="58" t="s">
        <v>247</v>
      </c>
      <c r="APP47" s="58" t="s">
        <v>248</v>
      </c>
      <c r="APQ47" s="58" t="s">
        <v>249</v>
      </c>
      <c r="APR47" s="58" t="s">
        <v>250</v>
      </c>
      <c r="APS47" s="58" t="s">
        <v>247</v>
      </c>
      <c r="APT47" s="58" t="s">
        <v>248</v>
      </c>
      <c r="APU47" s="58" t="s">
        <v>249</v>
      </c>
      <c r="APV47" s="58" t="s">
        <v>250</v>
      </c>
      <c r="APW47" s="58" t="s">
        <v>247</v>
      </c>
      <c r="APX47" s="58" t="s">
        <v>248</v>
      </c>
      <c r="APY47" s="58" t="s">
        <v>249</v>
      </c>
      <c r="APZ47" s="58" t="s">
        <v>250</v>
      </c>
      <c r="AQA47" s="58" t="s">
        <v>247</v>
      </c>
      <c r="AQB47" s="58" t="s">
        <v>248</v>
      </c>
      <c r="AQC47" s="58" t="s">
        <v>249</v>
      </c>
      <c r="AQD47" s="58" t="s">
        <v>250</v>
      </c>
      <c r="AQE47" s="58" t="s">
        <v>247</v>
      </c>
      <c r="AQF47" s="58" t="s">
        <v>248</v>
      </c>
      <c r="AQG47" s="58" t="s">
        <v>249</v>
      </c>
      <c r="AQH47" s="58" t="s">
        <v>250</v>
      </c>
      <c r="AQI47" s="58" t="s">
        <v>247</v>
      </c>
      <c r="AQJ47" s="58" t="s">
        <v>248</v>
      </c>
      <c r="AQK47" s="58" t="s">
        <v>249</v>
      </c>
      <c r="AQL47" s="58" t="s">
        <v>250</v>
      </c>
      <c r="AQM47" s="58" t="s">
        <v>247</v>
      </c>
      <c r="AQN47" s="58" t="s">
        <v>248</v>
      </c>
      <c r="AQO47" s="58" t="s">
        <v>249</v>
      </c>
      <c r="AQP47" s="58" t="s">
        <v>250</v>
      </c>
      <c r="AQQ47" s="58" t="s">
        <v>247</v>
      </c>
      <c r="AQR47" s="58" t="s">
        <v>248</v>
      </c>
      <c r="AQS47" s="58" t="s">
        <v>249</v>
      </c>
      <c r="AQT47" s="58" t="s">
        <v>250</v>
      </c>
      <c r="AQU47" s="58" t="s">
        <v>247</v>
      </c>
      <c r="AQV47" s="58" t="s">
        <v>248</v>
      </c>
      <c r="AQW47" s="58" t="s">
        <v>249</v>
      </c>
      <c r="AQX47" s="58" t="s">
        <v>250</v>
      </c>
      <c r="AQY47" s="58" t="s">
        <v>247</v>
      </c>
      <c r="AQZ47" s="58" t="s">
        <v>248</v>
      </c>
      <c r="ARA47" s="58" t="s">
        <v>249</v>
      </c>
      <c r="ARB47" s="58" t="s">
        <v>250</v>
      </c>
      <c r="ARC47" s="58" t="s">
        <v>247</v>
      </c>
      <c r="ARD47" s="58" t="s">
        <v>248</v>
      </c>
      <c r="ARE47" s="58" t="s">
        <v>249</v>
      </c>
      <c r="ARF47" s="58" t="s">
        <v>250</v>
      </c>
      <c r="ARG47" s="58" t="s">
        <v>247</v>
      </c>
      <c r="ARH47" s="58" t="s">
        <v>248</v>
      </c>
      <c r="ARI47" s="58" t="s">
        <v>249</v>
      </c>
      <c r="ARJ47" s="58" t="s">
        <v>250</v>
      </c>
      <c r="ARK47" s="58" t="s">
        <v>247</v>
      </c>
      <c r="ARL47" s="58" t="s">
        <v>248</v>
      </c>
      <c r="ARM47" s="58" t="s">
        <v>249</v>
      </c>
      <c r="ARN47" s="58" t="s">
        <v>250</v>
      </c>
      <c r="ARO47" s="58" t="s">
        <v>247</v>
      </c>
      <c r="ARP47" s="58" t="s">
        <v>248</v>
      </c>
      <c r="ARQ47" s="58" t="s">
        <v>249</v>
      </c>
      <c r="ARR47" s="58" t="s">
        <v>250</v>
      </c>
      <c r="ARS47" s="58" t="s">
        <v>247</v>
      </c>
      <c r="ART47" s="58" t="s">
        <v>248</v>
      </c>
      <c r="ARU47" s="58" t="s">
        <v>249</v>
      </c>
      <c r="ARV47" s="58" t="s">
        <v>250</v>
      </c>
      <c r="ARW47" s="58" t="s">
        <v>247</v>
      </c>
      <c r="ARX47" s="58" t="s">
        <v>248</v>
      </c>
      <c r="ARY47" s="58" t="s">
        <v>249</v>
      </c>
      <c r="ARZ47" s="58" t="s">
        <v>250</v>
      </c>
      <c r="ASA47" s="58" t="s">
        <v>247</v>
      </c>
      <c r="ASB47" s="58" t="s">
        <v>248</v>
      </c>
      <c r="ASC47" s="58" t="s">
        <v>249</v>
      </c>
      <c r="ASD47" s="58" t="s">
        <v>250</v>
      </c>
      <c r="ASE47" s="58" t="s">
        <v>247</v>
      </c>
      <c r="ASF47" s="58" t="s">
        <v>248</v>
      </c>
      <c r="ASG47" s="58" t="s">
        <v>249</v>
      </c>
      <c r="ASH47" s="58" t="s">
        <v>250</v>
      </c>
      <c r="ASI47" s="58" t="s">
        <v>247</v>
      </c>
      <c r="ASJ47" s="58" t="s">
        <v>248</v>
      </c>
      <c r="ASK47" s="58" t="s">
        <v>249</v>
      </c>
      <c r="ASL47" s="58" t="s">
        <v>250</v>
      </c>
      <c r="ASM47" s="58" t="s">
        <v>247</v>
      </c>
      <c r="ASN47" s="58" t="s">
        <v>248</v>
      </c>
      <c r="ASO47" s="58" t="s">
        <v>249</v>
      </c>
      <c r="ASP47" s="58" t="s">
        <v>250</v>
      </c>
      <c r="ASQ47" s="58" t="s">
        <v>247</v>
      </c>
      <c r="ASR47" s="58" t="s">
        <v>248</v>
      </c>
      <c r="ASS47" s="58" t="s">
        <v>249</v>
      </c>
      <c r="AST47" s="58" t="s">
        <v>250</v>
      </c>
      <c r="ASU47" s="58" t="s">
        <v>247</v>
      </c>
      <c r="ASV47" s="58" t="s">
        <v>248</v>
      </c>
      <c r="ASW47" s="58" t="s">
        <v>249</v>
      </c>
      <c r="ASX47" s="58" t="s">
        <v>250</v>
      </c>
      <c r="ASY47" s="58" t="s">
        <v>247</v>
      </c>
      <c r="ASZ47" s="58" t="s">
        <v>248</v>
      </c>
      <c r="ATA47" s="58" t="s">
        <v>249</v>
      </c>
      <c r="ATB47" s="58" t="s">
        <v>250</v>
      </c>
      <c r="ATC47" s="58" t="s">
        <v>247</v>
      </c>
      <c r="ATD47" s="58" t="s">
        <v>248</v>
      </c>
      <c r="ATE47" s="58" t="s">
        <v>249</v>
      </c>
      <c r="ATF47" s="58" t="s">
        <v>250</v>
      </c>
      <c r="ATG47" s="58" t="s">
        <v>247</v>
      </c>
      <c r="ATH47" s="58" t="s">
        <v>248</v>
      </c>
      <c r="ATI47" s="58" t="s">
        <v>249</v>
      </c>
      <c r="ATJ47" s="58" t="s">
        <v>250</v>
      </c>
      <c r="ATK47" s="58" t="s">
        <v>247</v>
      </c>
      <c r="ATL47" s="58" t="s">
        <v>248</v>
      </c>
      <c r="ATM47" s="58" t="s">
        <v>249</v>
      </c>
      <c r="ATN47" s="58" t="s">
        <v>250</v>
      </c>
      <c r="ATO47" s="58" t="s">
        <v>247</v>
      </c>
      <c r="ATP47" s="58" t="s">
        <v>248</v>
      </c>
      <c r="ATQ47" s="58" t="s">
        <v>249</v>
      </c>
      <c r="ATR47" s="58" t="s">
        <v>250</v>
      </c>
      <c r="ATS47" s="58" t="s">
        <v>247</v>
      </c>
      <c r="ATT47" s="58" t="s">
        <v>248</v>
      </c>
      <c r="ATU47" s="58" t="s">
        <v>249</v>
      </c>
      <c r="ATV47" s="58" t="s">
        <v>250</v>
      </c>
      <c r="ATW47" s="58" t="s">
        <v>247</v>
      </c>
      <c r="ATX47" s="58" t="s">
        <v>248</v>
      </c>
      <c r="ATY47" s="58" t="s">
        <v>249</v>
      </c>
      <c r="ATZ47" s="58" t="s">
        <v>250</v>
      </c>
      <c r="AUA47" s="58" t="s">
        <v>247</v>
      </c>
      <c r="AUB47" s="58" t="s">
        <v>248</v>
      </c>
      <c r="AUC47" s="58" t="s">
        <v>249</v>
      </c>
      <c r="AUD47" s="58" t="s">
        <v>250</v>
      </c>
      <c r="AUE47" s="58" t="s">
        <v>247</v>
      </c>
      <c r="AUF47" s="58" t="s">
        <v>248</v>
      </c>
      <c r="AUG47" s="58" t="s">
        <v>249</v>
      </c>
      <c r="AUH47" s="58" t="s">
        <v>250</v>
      </c>
      <c r="AUI47" s="58" t="s">
        <v>247</v>
      </c>
      <c r="AUJ47" s="58" t="s">
        <v>248</v>
      </c>
      <c r="AUK47" s="58" t="s">
        <v>249</v>
      </c>
      <c r="AUL47" s="58" t="s">
        <v>250</v>
      </c>
      <c r="AUM47" s="58" t="s">
        <v>247</v>
      </c>
      <c r="AUN47" s="58" t="s">
        <v>248</v>
      </c>
      <c r="AUO47" s="58" t="s">
        <v>249</v>
      </c>
      <c r="AUP47" s="58" t="s">
        <v>250</v>
      </c>
      <c r="AUQ47" s="58" t="s">
        <v>247</v>
      </c>
      <c r="AUR47" s="58" t="s">
        <v>248</v>
      </c>
      <c r="AUS47" s="58" t="s">
        <v>249</v>
      </c>
      <c r="AUT47" s="58" t="s">
        <v>250</v>
      </c>
      <c r="AUU47" s="58" t="s">
        <v>247</v>
      </c>
      <c r="AUV47" s="58" t="s">
        <v>248</v>
      </c>
      <c r="AUW47" s="58" t="s">
        <v>249</v>
      </c>
      <c r="AUX47" s="58" t="s">
        <v>250</v>
      </c>
      <c r="AUY47" s="58" t="s">
        <v>247</v>
      </c>
      <c r="AUZ47" s="58" t="s">
        <v>248</v>
      </c>
      <c r="AVA47" s="58" t="s">
        <v>249</v>
      </c>
      <c r="AVB47" s="58" t="s">
        <v>250</v>
      </c>
      <c r="AVC47" s="58" t="s">
        <v>247</v>
      </c>
      <c r="AVD47" s="58" t="s">
        <v>248</v>
      </c>
      <c r="AVE47" s="58" t="s">
        <v>249</v>
      </c>
      <c r="AVF47" s="58" t="s">
        <v>250</v>
      </c>
      <c r="AVG47" s="58" t="s">
        <v>247</v>
      </c>
      <c r="AVH47" s="58" t="s">
        <v>248</v>
      </c>
      <c r="AVI47" s="58" t="s">
        <v>249</v>
      </c>
      <c r="AVJ47" s="58" t="s">
        <v>250</v>
      </c>
      <c r="AVK47" s="58" t="s">
        <v>247</v>
      </c>
      <c r="AVL47" s="58" t="s">
        <v>248</v>
      </c>
      <c r="AVM47" s="58" t="s">
        <v>249</v>
      </c>
      <c r="AVN47" s="58" t="s">
        <v>250</v>
      </c>
      <c r="AVO47" s="58" t="s">
        <v>247</v>
      </c>
      <c r="AVP47" s="58" t="s">
        <v>248</v>
      </c>
      <c r="AVQ47" s="58" t="s">
        <v>249</v>
      </c>
      <c r="AVR47" s="58" t="s">
        <v>250</v>
      </c>
      <c r="AVS47" s="58" t="s">
        <v>247</v>
      </c>
      <c r="AVT47" s="58" t="s">
        <v>248</v>
      </c>
      <c r="AVU47" s="58" t="s">
        <v>249</v>
      </c>
      <c r="AVV47" s="58" t="s">
        <v>250</v>
      </c>
      <c r="AVW47" s="58" t="s">
        <v>247</v>
      </c>
      <c r="AVX47" s="58" t="s">
        <v>248</v>
      </c>
      <c r="AVY47" s="58" t="s">
        <v>249</v>
      </c>
      <c r="AVZ47" s="58" t="s">
        <v>250</v>
      </c>
      <c r="AWA47" s="58" t="s">
        <v>247</v>
      </c>
      <c r="AWB47" s="58" t="s">
        <v>248</v>
      </c>
      <c r="AWC47" s="58" t="s">
        <v>249</v>
      </c>
      <c r="AWD47" s="58" t="s">
        <v>250</v>
      </c>
      <c r="AWE47" s="58" t="s">
        <v>247</v>
      </c>
      <c r="AWF47" s="58" t="s">
        <v>248</v>
      </c>
      <c r="AWG47" s="58" t="s">
        <v>249</v>
      </c>
      <c r="AWH47" s="58" t="s">
        <v>250</v>
      </c>
      <c r="AWI47" s="58" t="s">
        <v>247</v>
      </c>
      <c r="AWJ47" s="58" t="s">
        <v>248</v>
      </c>
      <c r="AWK47" s="58" t="s">
        <v>249</v>
      </c>
      <c r="AWL47" s="58" t="s">
        <v>250</v>
      </c>
      <c r="AWM47" s="58" t="s">
        <v>247</v>
      </c>
      <c r="AWN47" s="58" t="s">
        <v>248</v>
      </c>
      <c r="AWO47" s="58" t="s">
        <v>249</v>
      </c>
      <c r="AWP47" s="58" t="s">
        <v>250</v>
      </c>
      <c r="AWQ47" s="58" t="s">
        <v>247</v>
      </c>
      <c r="AWR47" s="58" t="s">
        <v>248</v>
      </c>
      <c r="AWS47" s="58" t="s">
        <v>249</v>
      </c>
      <c r="AWT47" s="58" t="s">
        <v>250</v>
      </c>
      <c r="AWU47" s="58" t="s">
        <v>247</v>
      </c>
      <c r="AWV47" s="58" t="s">
        <v>248</v>
      </c>
      <c r="AWW47" s="58" t="s">
        <v>249</v>
      </c>
      <c r="AWX47" s="58" t="s">
        <v>250</v>
      </c>
      <c r="AWY47" s="58" t="s">
        <v>247</v>
      </c>
      <c r="AWZ47" s="58" t="s">
        <v>248</v>
      </c>
      <c r="AXA47" s="58" t="s">
        <v>249</v>
      </c>
      <c r="AXB47" s="58" t="s">
        <v>250</v>
      </c>
      <c r="AXC47" s="58" t="s">
        <v>247</v>
      </c>
      <c r="AXD47" s="58" t="s">
        <v>248</v>
      </c>
      <c r="AXE47" s="58" t="s">
        <v>249</v>
      </c>
      <c r="AXF47" s="58" t="s">
        <v>250</v>
      </c>
      <c r="AXG47" s="58" t="s">
        <v>247</v>
      </c>
      <c r="AXH47" s="58" t="s">
        <v>248</v>
      </c>
      <c r="AXI47" s="58" t="s">
        <v>249</v>
      </c>
      <c r="AXJ47" s="58" t="s">
        <v>250</v>
      </c>
      <c r="AXK47" s="58" t="s">
        <v>247</v>
      </c>
      <c r="AXL47" s="58" t="s">
        <v>248</v>
      </c>
      <c r="AXM47" s="58" t="s">
        <v>249</v>
      </c>
      <c r="AXN47" s="58" t="s">
        <v>250</v>
      </c>
      <c r="AXO47" s="58" t="s">
        <v>247</v>
      </c>
      <c r="AXP47" s="58" t="s">
        <v>248</v>
      </c>
      <c r="AXQ47" s="58" t="s">
        <v>249</v>
      </c>
      <c r="AXR47" s="58" t="s">
        <v>250</v>
      </c>
      <c r="AXS47" s="58" t="s">
        <v>247</v>
      </c>
      <c r="AXT47" s="58" t="s">
        <v>248</v>
      </c>
      <c r="AXU47" s="58" t="s">
        <v>249</v>
      </c>
      <c r="AXV47" s="58" t="s">
        <v>250</v>
      </c>
      <c r="AXW47" s="58" t="s">
        <v>247</v>
      </c>
      <c r="AXX47" s="58" t="s">
        <v>248</v>
      </c>
      <c r="AXY47" s="58" t="s">
        <v>249</v>
      </c>
      <c r="AXZ47" s="58" t="s">
        <v>250</v>
      </c>
      <c r="AYA47" s="58" t="s">
        <v>247</v>
      </c>
      <c r="AYB47" s="58" t="s">
        <v>248</v>
      </c>
      <c r="AYC47" s="58" t="s">
        <v>249</v>
      </c>
      <c r="AYD47" s="58" t="s">
        <v>250</v>
      </c>
      <c r="AYE47" s="58" t="s">
        <v>247</v>
      </c>
      <c r="AYF47" s="58" t="s">
        <v>248</v>
      </c>
      <c r="AYG47" s="58" t="s">
        <v>249</v>
      </c>
      <c r="AYH47" s="58" t="s">
        <v>250</v>
      </c>
      <c r="AYI47" s="58" t="s">
        <v>247</v>
      </c>
      <c r="AYJ47" s="58" t="s">
        <v>248</v>
      </c>
      <c r="AYK47" s="58" t="s">
        <v>249</v>
      </c>
      <c r="AYL47" s="58" t="s">
        <v>250</v>
      </c>
      <c r="AYM47" s="58" t="s">
        <v>247</v>
      </c>
      <c r="AYN47" s="58" t="s">
        <v>248</v>
      </c>
      <c r="AYO47" s="58" t="s">
        <v>249</v>
      </c>
      <c r="AYP47" s="58" t="s">
        <v>250</v>
      </c>
      <c r="AYQ47" s="58" t="s">
        <v>247</v>
      </c>
      <c r="AYR47" s="58" t="s">
        <v>248</v>
      </c>
      <c r="AYS47" s="58" t="s">
        <v>249</v>
      </c>
      <c r="AYT47" s="58" t="s">
        <v>250</v>
      </c>
      <c r="AYU47" s="58" t="s">
        <v>247</v>
      </c>
      <c r="AYV47" s="58" t="s">
        <v>248</v>
      </c>
      <c r="AYW47" s="58" t="s">
        <v>249</v>
      </c>
      <c r="AYX47" s="58" t="s">
        <v>250</v>
      </c>
      <c r="AYY47" s="58" t="s">
        <v>247</v>
      </c>
      <c r="AYZ47" s="58" t="s">
        <v>248</v>
      </c>
      <c r="AZA47" s="58" t="s">
        <v>249</v>
      </c>
      <c r="AZB47" s="58" t="s">
        <v>250</v>
      </c>
      <c r="AZC47" s="58" t="s">
        <v>247</v>
      </c>
      <c r="AZD47" s="58" t="s">
        <v>248</v>
      </c>
      <c r="AZE47" s="58" t="s">
        <v>249</v>
      </c>
      <c r="AZF47" s="58" t="s">
        <v>250</v>
      </c>
      <c r="AZG47" s="58" t="s">
        <v>247</v>
      </c>
      <c r="AZH47" s="58" t="s">
        <v>248</v>
      </c>
      <c r="AZI47" s="58" t="s">
        <v>249</v>
      </c>
      <c r="AZJ47" s="58" t="s">
        <v>250</v>
      </c>
      <c r="AZK47" s="58" t="s">
        <v>247</v>
      </c>
      <c r="AZL47" s="58" t="s">
        <v>248</v>
      </c>
      <c r="AZM47" s="58" t="s">
        <v>249</v>
      </c>
      <c r="AZN47" s="58" t="s">
        <v>250</v>
      </c>
      <c r="AZO47" s="58" t="s">
        <v>247</v>
      </c>
      <c r="AZP47" s="58" t="s">
        <v>248</v>
      </c>
      <c r="AZQ47" s="58" t="s">
        <v>249</v>
      </c>
      <c r="AZR47" s="58" t="s">
        <v>250</v>
      </c>
      <c r="AZS47" s="58" t="s">
        <v>247</v>
      </c>
      <c r="AZT47" s="58" t="s">
        <v>248</v>
      </c>
      <c r="AZU47" s="58" t="s">
        <v>249</v>
      </c>
      <c r="AZV47" s="58" t="s">
        <v>250</v>
      </c>
      <c r="AZW47" s="58" t="s">
        <v>247</v>
      </c>
      <c r="AZX47" s="58" t="s">
        <v>248</v>
      </c>
      <c r="AZY47" s="58" t="s">
        <v>249</v>
      </c>
      <c r="AZZ47" s="58" t="s">
        <v>250</v>
      </c>
      <c r="BAA47" s="58" t="s">
        <v>247</v>
      </c>
      <c r="BAB47" s="58" t="s">
        <v>248</v>
      </c>
      <c r="BAC47" s="58" t="s">
        <v>249</v>
      </c>
      <c r="BAD47" s="58" t="s">
        <v>250</v>
      </c>
      <c r="BAE47" s="58" t="s">
        <v>247</v>
      </c>
      <c r="BAF47" s="58" t="s">
        <v>248</v>
      </c>
      <c r="BAG47" s="58" t="s">
        <v>249</v>
      </c>
      <c r="BAH47" s="58" t="s">
        <v>250</v>
      </c>
      <c r="BAI47" s="58" t="s">
        <v>247</v>
      </c>
      <c r="BAJ47" s="58" t="s">
        <v>248</v>
      </c>
      <c r="BAK47" s="58" t="s">
        <v>249</v>
      </c>
      <c r="BAL47" s="58" t="s">
        <v>250</v>
      </c>
      <c r="BAM47" s="58" t="s">
        <v>247</v>
      </c>
      <c r="BAN47" s="58" t="s">
        <v>248</v>
      </c>
      <c r="BAO47" s="58" t="s">
        <v>249</v>
      </c>
      <c r="BAP47" s="58" t="s">
        <v>250</v>
      </c>
      <c r="BAQ47" s="58" t="s">
        <v>247</v>
      </c>
      <c r="BAR47" s="58" t="s">
        <v>248</v>
      </c>
      <c r="BAS47" s="58" t="s">
        <v>249</v>
      </c>
      <c r="BAT47" s="58" t="s">
        <v>250</v>
      </c>
      <c r="BAU47" s="58" t="s">
        <v>247</v>
      </c>
      <c r="BAV47" s="58" t="s">
        <v>248</v>
      </c>
      <c r="BAW47" s="58" t="s">
        <v>249</v>
      </c>
      <c r="BAX47" s="58" t="s">
        <v>250</v>
      </c>
      <c r="BAY47" s="58" t="s">
        <v>247</v>
      </c>
      <c r="BAZ47" s="58" t="s">
        <v>248</v>
      </c>
      <c r="BBA47" s="58" t="s">
        <v>249</v>
      </c>
      <c r="BBB47" s="58" t="s">
        <v>250</v>
      </c>
      <c r="BBC47" s="58" t="s">
        <v>247</v>
      </c>
      <c r="BBD47" s="58" t="s">
        <v>248</v>
      </c>
      <c r="BBE47" s="58" t="s">
        <v>249</v>
      </c>
      <c r="BBF47" s="58" t="s">
        <v>250</v>
      </c>
      <c r="BBG47" s="58" t="s">
        <v>247</v>
      </c>
      <c r="BBH47" s="58" t="s">
        <v>248</v>
      </c>
      <c r="BBI47" s="58" t="s">
        <v>249</v>
      </c>
      <c r="BBJ47" s="58" t="s">
        <v>250</v>
      </c>
      <c r="BBK47" s="58" t="s">
        <v>247</v>
      </c>
      <c r="BBL47" s="58" t="s">
        <v>248</v>
      </c>
      <c r="BBM47" s="58" t="s">
        <v>249</v>
      </c>
      <c r="BBN47" s="58" t="s">
        <v>250</v>
      </c>
      <c r="BBO47" s="58" t="s">
        <v>247</v>
      </c>
      <c r="BBP47" s="58" t="s">
        <v>248</v>
      </c>
      <c r="BBQ47" s="58" t="s">
        <v>249</v>
      </c>
      <c r="BBR47" s="58" t="s">
        <v>250</v>
      </c>
      <c r="BBS47" s="58" t="s">
        <v>247</v>
      </c>
      <c r="BBT47" s="58" t="s">
        <v>248</v>
      </c>
      <c r="BBU47" s="58" t="s">
        <v>249</v>
      </c>
      <c r="BBV47" s="58" t="s">
        <v>250</v>
      </c>
      <c r="BBW47" s="58" t="s">
        <v>247</v>
      </c>
      <c r="BBX47" s="58" t="s">
        <v>248</v>
      </c>
      <c r="BBY47" s="58" t="s">
        <v>249</v>
      </c>
      <c r="BBZ47" s="58" t="s">
        <v>250</v>
      </c>
      <c r="BCA47" s="58" t="s">
        <v>247</v>
      </c>
      <c r="BCB47" s="58" t="s">
        <v>248</v>
      </c>
      <c r="BCC47" s="58" t="s">
        <v>249</v>
      </c>
      <c r="BCD47" s="58" t="s">
        <v>250</v>
      </c>
      <c r="BCE47" s="58" t="s">
        <v>247</v>
      </c>
      <c r="BCF47" s="58" t="s">
        <v>248</v>
      </c>
      <c r="BCG47" s="58" t="s">
        <v>249</v>
      </c>
      <c r="BCH47" s="58" t="s">
        <v>250</v>
      </c>
      <c r="BCI47" s="58" t="s">
        <v>247</v>
      </c>
      <c r="BCJ47" s="58" t="s">
        <v>248</v>
      </c>
      <c r="BCK47" s="58" t="s">
        <v>249</v>
      </c>
      <c r="BCL47" s="58" t="s">
        <v>250</v>
      </c>
      <c r="BCM47" s="58" t="s">
        <v>247</v>
      </c>
      <c r="BCN47" s="58" t="s">
        <v>248</v>
      </c>
      <c r="BCO47" s="58" t="s">
        <v>249</v>
      </c>
      <c r="BCP47" s="58" t="s">
        <v>250</v>
      </c>
      <c r="BCQ47" s="58" t="s">
        <v>247</v>
      </c>
      <c r="BCR47" s="58" t="s">
        <v>248</v>
      </c>
      <c r="BCS47" s="58" t="s">
        <v>249</v>
      </c>
      <c r="BCT47" s="58" t="s">
        <v>250</v>
      </c>
      <c r="BCU47" s="58" t="s">
        <v>247</v>
      </c>
      <c r="BCV47" s="58" t="s">
        <v>248</v>
      </c>
      <c r="BCW47" s="58" t="s">
        <v>249</v>
      </c>
      <c r="BCX47" s="58" t="s">
        <v>250</v>
      </c>
      <c r="BCY47" s="58" t="s">
        <v>247</v>
      </c>
      <c r="BCZ47" s="58" t="s">
        <v>248</v>
      </c>
      <c r="BDA47" s="58" t="s">
        <v>249</v>
      </c>
      <c r="BDB47" s="58" t="s">
        <v>250</v>
      </c>
      <c r="BDC47" s="58" t="s">
        <v>247</v>
      </c>
      <c r="BDD47" s="58" t="s">
        <v>248</v>
      </c>
      <c r="BDE47" s="58" t="s">
        <v>249</v>
      </c>
      <c r="BDF47" s="58" t="s">
        <v>250</v>
      </c>
      <c r="BDG47" s="58" t="s">
        <v>247</v>
      </c>
      <c r="BDH47" s="58" t="s">
        <v>248</v>
      </c>
      <c r="BDI47" s="58" t="s">
        <v>249</v>
      </c>
      <c r="BDJ47" s="58" t="s">
        <v>250</v>
      </c>
      <c r="BDK47" s="58" t="s">
        <v>247</v>
      </c>
      <c r="BDL47" s="58" t="s">
        <v>248</v>
      </c>
      <c r="BDM47" s="58" t="s">
        <v>249</v>
      </c>
      <c r="BDN47" s="58" t="s">
        <v>250</v>
      </c>
      <c r="BDO47" s="58" t="s">
        <v>247</v>
      </c>
      <c r="BDP47" s="58" t="s">
        <v>248</v>
      </c>
      <c r="BDQ47" s="58" t="s">
        <v>249</v>
      </c>
      <c r="BDR47" s="58" t="s">
        <v>250</v>
      </c>
      <c r="BDS47" s="58" t="s">
        <v>247</v>
      </c>
      <c r="BDT47" s="58" t="s">
        <v>248</v>
      </c>
      <c r="BDU47" s="58" t="s">
        <v>249</v>
      </c>
      <c r="BDV47" s="58" t="s">
        <v>250</v>
      </c>
      <c r="BDW47" s="58" t="s">
        <v>247</v>
      </c>
      <c r="BDX47" s="58" t="s">
        <v>248</v>
      </c>
      <c r="BDY47" s="58" t="s">
        <v>249</v>
      </c>
      <c r="BDZ47" s="58" t="s">
        <v>250</v>
      </c>
      <c r="BEA47" s="58" t="s">
        <v>247</v>
      </c>
      <c r="BEB47" s="58" t="s">
        <v>248</v>
      </c>
      <c r="BEC47" s="58" t="s">
        <v>249</v>
      </c>
      <c r="BED47" s="58" t="s">
        <v>250</v>
      </c>
      <c r="BEE47" s="58" t="s">
        <v>247</v>
      </c>
      <c r="BEF47" s="58" t="s">
        <v>248</v>
      </c>
      <c r="BEG47" s="58" t="s">
        <v>249</v>
      </c>
      <c r="BEH47" s="58" t="s">
        <v>250</v>
      </c>
      <c r="BEI47" s="58" t="s">
        <v>247</v>
      </c>
      <c r="BEJ47" s="58" t="s">
        <v>248</v>
      </c>
      <c r="BEK47" s="58" t="s">
        <v>249</v>
      </c>
      <c r="BEL47" s="58" t="s">
        <v>250</v>
      </c>
      <c r="BEM47" s="58" t="s">
        <v>247</v>
      </c>
      <c r="BEN47" s="58" t="s">
        <v>248</v>
      </c>
      <c r="BEO47" s="58" t="s">
        <v>249</v>
      </c>
      <c r="BEP47" s="58" t="s">
        <v>250</v>
      </c>
      <c r="BEQ47" s="58" t="s">
        <v>247</v>
      </c>
      <c r="BER47" s="58" t="s">
        <v>248</v>
      </c>
      <c r="BES47" s="58" t="s">
        <v>249</v>
      </c>
      <c r="BET47" s="58" t="s">
        <v>250</v>
      </c>
      <c r="BEU47" s="58" t="s">
        <v>247</v>
      </c>
      <c r="BEV47" s="58" t="s">
        <v>248</v>
      </c>
      <c r="BEW47" s="58" t="s">
        <v>249</v>
      </c>
      <c r="BEX47" s="58" t="s">
        <v>250</v>
      </c>
      <c r="BEY47" s="58" t="s">
        <v>247</v>
      </c>
      <c r="BEZ47" s="58" t="s">
        <v>248</v>
      </c>
      <c r="BFA47" s="58" t="s">
        <v>249</v>
      </c>
      <c r="BFB47" s="58" t="s">
        <v>250</v>
      </c>
      <c r="BFC47" s="58" t="s">
        <v>247</v>
      </c>
      <c r="BFD47" s="58" t="s">
        <v>248</v>
      </c>
      <c r="BFE47" s="58" t="s">
        <v>249</v>
      </c>
      <c r="BFF47" s="58" t="s">
        <v>250</v>
      </c>
      <c r="BFG47" s="58" t="s">
        <v>247</v>
      </c>
      <c r="BFH47" s="58" t="s">
        <v>248</v>
      </c>
      <c r="BFI47" s="58" t="s">
        <v>249</v>
      </c>
      <c r="BFJ47" s="58" t="s">
        <v>250</v>
      </c>
      <c r="BFK47" s="58" t="s">
        <v>247</v>
      </c>
      <c r="BFL47" s="58" t="s">
        <v>248</v>
      </c>
      <c r="BFM47" s="58" t="s">
        <v>249</v>
      </c>
      <c r="BFN47" s="58" t="s">
        <v>250</v>
      </c>
      <c r="BFO47" s="58" t="s">
        <v>247</v>
      </c>
      <c r="BFP47" s="58" t="s">
        <v>248</v>
      </c>
      <c r="BFQ47" s="58" t="s">
        <v>249</v>
      </c>
      <c r="BFR47" s="58" t="s">
        <v>250</v>
      </c>
      <c r="BFS47" s="58" t="s">
        <v>247</v>
      </c>
      <c r="BFT47" s="58" t="s">
        <v>248</v>
      </c>
      <c r="BFU47" s="58" t="s">
        <v>249</v>
      </c>
      <c r="BFV47" s="58" t="s">
        <v>250</v>
      </c>
      <c r="BFW47" s="58" t="s">
        <v>247</v>
      </c>
      <c r="BFX47" s="58" t="s">
        <v>248</v>
      </c>
      <c r="BFY47" s="58" t="s">
        <v>249</v>
      </c>
      <c r="BFZ47" s="58" t="s">
        <v>250</v>
      </c>
      <c r="BGA47" s="58" t="s">
        <v>247</v>
      </c>
      <c r="BGB47" s="58" t="s">
        <v>248</v>
      </c>
      <c r="BGC47" s="58" t="s">
        <v>249</v>
      </c>
      <c r="BGD47" s="58" t="s">
        <v>250</v>
      </c>
      <c r="BGE47" s="58" t="s">
        <v>247</v>
      </c>
      <c r="BGF47" s="58" t="s">
        <v>248</v>
      </c>
      <c r="BGG47" s="58" t="s">
        <v>249</v>
      </c>
      <c r="BGH47" s="58" t="s">
        <v>250</v>
      </c>
      <c r="BGI47" s="58" t="s">
        <v>247</v>
      </c>
      <c r="BGJ47" s="58" t="s">
        <v>248</v>
      </c>
      <c r="BGK47" s="58" t="s">
        <v>249</v>
      </c>
      <c r="BGL47" s="58" t="s">
        <v>250</v>
      </c>
      <c r="BGM47" s="58" t="s">
        <v>247</v>
      </c>
      <c r="BGN47" s="58" t="s">
        <v>248</v>
      </c>
      <c r="BGO47" s="58" t="s">
        <v>249</v>
      </c>
      <c r="BGP47" s="58" t="s">
        <v>250</v>
      </c>
      <c r="BGQ47" s="58" t="s">
        <v>247</v>
      </c>
      <c r="BGR47" s="58" t="s">
        <v>248</v>
      </c>
      <c r="BGS47" s="58" t="s">
        <v>249</v>
      </c>
      <c r="BGT47" s="58" t="s">
        <v>250</v>
      </c>
      <c r="BGU47" s="58" t="s">
        <v>247</v>
      </c>
      <c r="BGV47" s="58" t="s">
        <v>248</v>
      </c>
      <c r="BGW47" s="58" t="s">
        <v>249</v>
      </c>
      <c r="BGX47" s="58" t="s">
        <v>250</v>
      </c>
      <c r="BGY47" s="58" t="s">
        <v>247</v>
      </c>
      <c r="BGZ47" s="58" t="s">
        <v>248</v>
      </c>
      <c r="BHA47" s="58" t="s">
        <v>249</v>
      </c>
      <c r="BHB47" s="58" t="s">
        <v>250</v>
      </c>
      <c r="BHC47" s="58" t="s">
        <v>247</v>
      </c>
      <c r="BHD47" s="58" t="s">
        <v>248</v>
      </c>
      <c r="BHE47" s="58" t="s">
        <v>249</v>
      </c>
      <c r="BHF47" s="58" t="s">
        <v>250</v>
      </c>
      <c r="BHG47" s="58" t="s">
        <v>247</v>
      </c>
      <c r="BHH47" s="58" t="s">
        <v>248</v>
      </c>
      <c r="BHI47" s="58" t="s">
        <v>249</v>
      </c>
      <c r="BHJ47" s="58" t="s">
        <v>250</v>
      </c>
      <c r="BHK47" s="58" t="s">
        <v>247</v>
      </c>
      <c r="BHL47" s="58" t="s">
        <v>248</v>
      </c>
      <c r="BHM47" s="58" t="s">
        <v>249</v>
      </c>
      <c r="BHN47" s="58" t="s">
        <v>250</v>
      </c>
      <c r="BHO47" s="58" t="s">
        <v>247</v>
      </c>
      <c r="BHP47" s="58" t="s">
        <v>248</v>
      </c>
      <c r="BHQ47" s="58" t="s">
        <v>249</v>
      </c>
      <c r="BHR47" s="58" t="s">
        <v>250</v>
      </c>
      <c r="BHS47" s="58" t="s">
        <v>247</v>
      </c>
      <c r="BHT47" s="58" t="s">
        <v>248</v>
      </c>
      <c r="BHU47" s="58" t="s">
        <v>249</v>
      </c>
      <c r="BHV47" s="58" t="s">
        <v>250</v>
      </c>
      <c r="BHW47" s="58" t="s">
        <v>247</v>
      </c>
      <c r="BHX47" s="58" t="s">
        <v>248</v>
      </c>
      <c r="BHY47" s="58" t="s">
        <v>249</v>
      </c>
      <c r="BHZ47" s="58" t="s">
        <v>250</v>
      </c>
      <c r="BIA47" s="58" t="s">
        <v>247</v>
      </c>
      <c r="BIB47" s="58" t="s">
        <v>248</v>
      </c>
      <c r="BIC47" s="58" t="s">
        <v>249</v>
      </c>
      <c r="BID47" s="58" t="s">
        <v>250</v>
      </c>
      <c r="BIE47" s="58" t="s">
        <v>247</v>
      </c>
      <c r="BIF47" s="58" t="s">
        <v>248</v>
      </c>
      <c r="BIG47" s="58" t="s">
        <v>249</v>
      </c>
      <c r="BIH47" s="58" t="s">
        <v>250</v>
      </c>
      <c r="BII47" s="58" t="s">
        <v>247</v>
      </c>
      <c r="BIJ47" s="58" t="s">
        <v>248</v>
      </c>
      <c r="BIK47" s="58" t="s">
        <v>249</v>
      </c>
      <c r="BIL47" s="58" t="s">
        <v>250</v>
      </c>
      <c r="BIM47" s="58" t="s">
        <v>247</v>
      </c>
      <c r="BIN47" s="58" t="s">
        <v>248</v>
      </c>
      <c r="BIO47" s="58" t="s">
        <v>249</v>
      </c>
      <c r="BIP47" s="58" t="s">
        <v>250</v>
      </c>
      <c r="BIQ47" s="58" t="s">
        <v>247</v>
      </c>
      <c r="BIR47" s="58" t="s">
        <v>248</v>
      </c>
      <c r="BIS47" s="58" t="s">
        <v>249</v>
      </c>
      <c r="BIT47" s="58" t="s">
        <v>250</v>
      </c>
      <c r="BIU47" s="58" t="s">
        <v>247</v>
      </c>
      <c r="BIV47" s="58" t="s">
        <v>248</v>
      </c>
      <c r="BIW47" s="58" t="s">
        <v>249</v>
      </c>
      <c r="BIX47" s="58" t="s">
        <v>250</v>
      </c>
      <c r="BIY47" s="58" t="s">
        <v>247</v>
      </c>
      <c r="BIZ47" s="58" t="s">
        <v>248</v>
      </c>
      <c r="BJA47" s="58" t="s">
        <v>249</v>
      </c>
      <c r="BJB47" s="58" t="s">
        <v>250</v>
      </c>
      <c r="BJC47" s="58" t="s">
        <v>247</v>
      </c>
      <c r="BJD47" s="58" t="s">
        <v>248</v>
      </c>
      <c r="BJE47" s="58" t="s">
        <v>249</v>
      </c>
      <c r="BJF47" s="58" t="s">
        <v>250</v>
      </c>
      <c r="BJG47" s="58" t="s">
        <v>247</v>
      </c>
      <c r="BJH47" s="58" t="s">
        <v>248</v>
      </c>
      <c r="BJI47" s="58" t="s">
        <v>249</v>
      </c>
      <c r="BJJ47" s="58" t="s">
        <v>250</v>
      </c>
      <c r="BJK47" s="58" t="s">
        <v>247</v>
      </c>
      <c r="BJL47" s="58" t="s">
        <v>248</v>
      </c>
      <c r="BJM47" s="58" t="s">
        <v>249</v>
      </c>
      <c r="BJN47" s="58" t="s">
        <v>250</v>
      </c>
      <c r="BJO47" s="58" t="s">
        <v>247</v>
      </c>
      <c r="BJP47" s="58" t="s">
        <v>248</v>
      </c>
      <c r="BJQ47" s="58" t="s">
        <v>249</v>
      </c>
      <c r="BJR47" s="58" t="s">
        <v>250</v>
      </c>
      <c r="BJS47" s="58" t="s">
        <v>247</v>
      </c>
      <c r="BJT47" s="58" t="s">
        <v>248</v>
      </c>
      <c r="BJU47" s="58" t="s">
        <v>249</v>
      </c>
      <c r="BJV47" s="58" t="s">
        <v>250</v>
      </c>
      <c r="BJW47" s="58" t="s">
        <v>247</v>
      </c>
      <c r="BJX47" s="58" t="s">
        <v>248</v>
      </c>
      <c r="BJY47" s="58" t="s">
        <v>249</v>
      </c>
      <c r="BJZ47" s="58" t="s">
        <v>250</v>
      </c>
      <c r="BKA47" s="58" t="s">
        <v>247</v>
      </c>
      <c r="BKB47" s="58" t="s">
        <v>248</v>
      </c>
      <c r="BKC47" s="58" t="s">
        <v>249</v>
      </c>
      <c r="BKD47" s="58" t="s">
        <v>250</v>
      </c>
      <c r="BKE47" s="58" t="s">
        <v>247</v>
      </c>
      <c r="BKF47" s="58" t="s">
        <v>248</v>
      </c>
      <c r="BKG47" s="58" t="s">
        <v>249</v>
      </c>
      <c r="BKH47" s="58" t="s">
        <v>250</v>
      </c>
      <c r="BKI47" s="58" t="s">
        <v>247</v>
      </c>
      <c r="BKJ47" s="58" t="s">
        <v>248</v>
      </c>
      <c r="BKK47" s="58" t="s">
        <v>249</v>
      </c>
      <c r="BKL47" s="58" t="s">
        <v>250</v>
      </c>
      <c r="BKM47" s="58" t="s">
        <v>247</v>
      </c>
      <c r="BKN47" s="58" t="s">
        <v>248</v>
      </c>
      <c r="BKO47" s="58" t="s">
        <v>249</v>
      </c>
      <c r="BKP47" s="58" t="s">
        <v>250</v>
      </c>
      <c r="BKQ47" s="58" t="s">
        <v>247</v>
      </c>
      <c r="BKR47" s="58" t="s">
        <v>248</v>
      </c>
      <c r="BKS47" s="58" t="s">
        <v>249</v>
      </c>
      <c r="BKT47" s="58" t="s">
        <v>250</v>
      </c>
      <c r="BKU47" s="58" t="s">
        <v>247</v>
      </c>
      <c r="BKV47" s="58" t="s">
        <v>248</v>
      </c>
      <c r="BKW47" s="58" t="s">
        <v>249</v>
      </c>
      <c r="BKX47" s="58" t="s">
        <v>250</v>
      </c>
      <c r="BKY47" s="58" t="s">
        <v>247</v>
      </c>
      <c r="BKZ47" s="58" t="s">
        <v>248</v>
      </c>
      <c r="BLA47" s="58" t="s">
        <v>249</v>
      </c>
      <c r="BLB47" s="58" t="s">
        <v>250</v>
      </c>
      <c r="BLC47" s="58" t="s">
        <v>247</v>
      </c>
      <c r="BLD47" s="58" t="s">
        <v>248</v>
      </c>
      <c r="BLE47" s="58" t="s">
        <v>249</v>
      </c>
      <c r="BLF47" s="58" t="s">
        <v>250</v>
      </c>
      <c r="BLG47" s="58" t="s">
        <v>247</v>
      </c>
      <c r="BLH47" s="58" t="s">
        <v>248</v>
      </c>
      <c r="BLI47" s="58" t="s">
        <v>249</v>
      </c>
      <c r="BLJ47" s="58" t="s">
        <v>250</v>
      </c>
      <c r="BLK47" s="58" t="s">
        <v>247</v>
      </c>
      <c r="BLL47" s="58" t="s">
        <v>248</v>
      </c>
      <c r="BLM47" s="58" t="s">
        <v>249</v>
      </c>
      <c r="BLN47" s="58" t="s">
        <v>250</v>
      </c>
      <c r="BLO47" s="58" t="s">
        <v>247</v>
      </c>
      <c r="BLP47" s="58" t="s">
        <v>248</v>
      </c>
      <c r="BLQ47" s="58" t="s">
        <v>249</v>
      </c>
      <c r="BLR47" s="58" t="s">
        <v>250</v>
      </c>
      <c r="BLS47" s="58" t="s">
        <v>247</v>
      </c>
      <c r="BLT47" s="58" t="s">
        <v>248</v>
      </c>
      <c r="BLU47" s="58" t="s">
        <v>249</v>
      </c>
      <c r="BLV47" s="58" t="s">
        <v>250</v>
      </c>
      <c r="BLW47" s="58" t="s">
        <v>247</v>
      </c>
      <c r="BLX47" s="58" t="s">
        <v>248</v>
      </c>
      <c r="BLY47" s="58" t="s">
        <v>249</v>
      </c>
      <c r="BLZ47" s="58" t="s">
        <v>250</v>
      </c>
      <c r="BMA47" s="58" t="s">
        <v>247</v>
      </c>
      <c r="BMB47" s="58" t="s">
        <v>248</v>
      </c>
      <c r="BMC47" s="58" t="s">
        <v>249</v>
      </c>
      <c r="BMD47" s="58" t="s">
        <v>250</v>
      </c>
      <c r="BME47" s="58" t="s">
        <v>247</v>
      </c>
      <c r="BMF47" s="58" t="s">
        <v>248</v>
      </c>
      <c r="BMG47" s="58" t="s">
        <v>249</v>
      </c>
      <c r="BMH47" s="58" t="s">
        <v>250</v>
      </c>
      <c r="BMI47" s="58" t="s">
        <v>247</v>
      </c>
      <c r="BMJ47" s="58" t="s">
        <v>248</v>
      </c>
      <c r="BMK47" s="58" t="s">
        <v>249</v>
      </c>
      <c r="BML47" s="58" t="s">
        <v>250</v>
      </c>
      <c r="BMM47" s="58" t="s">
        <v>247</v>
      </c>
      <c r="BMN47" s="58" t="s">
        <v>248</v>
      </c>
      <c r="BMO47" s="58" t="s">
        <v>249</v>
      </c>
      <c r="BMP47" s="58" t="s">
        <v>250</v>
      </c>
      <c r="BMQ47" s="58" t="s">
        <v>247</v>
      </c>
      <c r="BMR47" s="58" t="s">
        <v>248</v>
      </c>
      <c r="BMS47" s="58" t="s">
        <v>249</v>
      </c>
      <c r="BMT47" s="58" t="s">
        <v>250</v>
      </c>
      <c r="BMU47" s="58" t="s">
        <v>247</v>
      </c>
      <c r="BMV47" s="58" t="s">
        <v>248</v>
      </c>
      <c r="BMW47" s="58" t="s">
        <v>249</v>
      </c>
      <c r="BMX47" s="58" t="s">
        <v>250</v>
      </c>
      <c r="BMY47" s="58" t="s">
        <v>247</v>
      </c>
      <c r="BMZ47" s="58" t="s">
        <v>248</v>
      </c>
      <c r="BNA47" s="58" t="s">
        <v>249</v>
      </c>
      <c r="BNB47" s="58" t="s">
        <v>250</v>
      </c>
      <c r="BNC47" s="58" t="s">
        <v>247</v>
      </c>
      <c r="BND47" s="58" t="s">
        <v>248</v>
      </c>
      <c r="BNE47" s="58" t="s">
        <v>249</v>
      </c>
      <c r="BNF47" s="58" t="s">
        <v>250</v>
      </c>
      <c r="BNG47" s="58" t="s">
        <v>247</v>
      </c>
      <c r="BNH47" s="58" t="s">
        <v>248</v>
      </c>
      <c r="BNI47" s="58" t="s">
        <v>249</v>
      </c>
      <c r="BNJ47" s="58" t="s">
        <v>250</v>
      </c>
      <c r="BNK47" s="58" t="s">
        <v>247</v>
      </c>
      <c r="BNL47" s="58" t="s">
        <v>248</v>
      </c>
      <c r="BNM47" s="58" t="s">
        <v>249</v>
      </c>
      <c r="BNN47" s="58" t="s">
        <v>250</v>
      </c>
      <c r="BNO47" s="58" t="s">
        <v>247</v>
      </c>
      <c r="BNP47" s="58" t="s">
        <v>248</v>
      </c>
      <c r="BNQ47" s="58" t="s">
        <v>249</v>
      </c>
      <c r="BNR47" s="58" t="s">
        <v>250</v>
      </c>
      <c r="BNS47" s="58" t="s">
        <v>247</v>
      </c>
      <c r="BNT47" s="58" t="s">
        <v>248</v>
      </c>
      <c r="BNU47" s="58" t="s">
        <v>249</v>
      </c>
      <c r="BNV47" s="58" t="s">
        <v>250</v>
      </c>
      <c r="BNW47" s="58" t="s">
        <v>247</v>
      </c>
      <c r="BNX47" s="58" t="s">
        <v>248</v>
      </c>
      <c r="BNY47" s="58" t="s">
        <v>249</v>
      </c>
      <c r="BNZ47" s="58" t="s">
        <v>250</v>
      </c>
      <c r="BOA47" s="58" t="s">
        <v>247</v>
      </c>
      <c r="BOB47" s="58" t="s">
        <v>248</v>
      </c>
      <c r="BOC47" s="58" t="s">
        <v>249</v>
      </c>
      <c r="BOD47" s="58" t="s">
        <v>250</v>
      </c>
      <c r="BOE47" s="58" t="s">
        <v>247</v>
      </c>
      <c r="BOF47" s="58" t="s">
        <v>248</v>
      </c>
      <c r="BOG47" s="58" t="s">
        <v>249</v>
      </c>
      <c r="BOH47" s="58" t="s">
        <v>250</v>
      </c>
      <c r="BOI47" s="58" t="s">
        <v>247</v>
      </c>
      <c r="BOJ47" s="58" t="s">
        <v>248</v>
      </c>
      <c r="BOK47" s="58" t="s">
        <v>249</v>
      </c>
      <c r="BOL47" s="58" t="s">
        <v>250</v>
      </c>
      <c r="BOM47" s="58" t="s">
        <v>247</v>
      </c>
      <c r="BON47" s="58" t="s">
        <v>248</v>
      </c>
      <c r="BOO47" s="58" t="s">
        <v>249</v>
      </c>
      <c r="BOP47" s="58" t="s">
        <v>250</v>
      </c>
      <c r="BOQ47" s="58" t="s">
        <v>247</v>
      </c>
      <c r="BOR47" s="58" t="s">
        <v>248</v>
      </c>
      <c r="BOS47" s="58" t="s">
        <v>249</v>
      </c>
      <c r="BOT47" s="58" t="s">
        <v>250</v>
      </c>
      <c r="BOU47" s="58" t="s">
        <v>247</v>
      </c>
      <c r="BOV47" s="58" t="s">
        <v>248</v>
      </c>
      <c r="BOW47" s="58" t="s">
        <v>249</v>
      </c>
      <c r="BOX47" s="58" t="s">
        <v>250</v>
      </c>
      <c r="BOY47" s="58" t="s">
        <v>247</v>
      </c>
      <c r="BOZ47" s="58" t="s">
        <v>248</v>
      </c>
      <c r="BPA47" s="58" t="s">
        <v>249</v>
      </c>
      <c r="BPB47" s="58" t="s">
        <v>250</v>
      </c>
      <c r="BPC47" s="58" t="s">
        <v>247</v>
      </c>
      <c r="BPD47" s="58" t="s">
        <v>248</v>
      </c>
      <c r="BPE47" s="58" t="s">
        <v>249</v>
      </c>
      <c r="BPF47" s="58" t="s">
        <v>250</v>
      </c>
      <c r="BPG47" s="58" t="s">
        <v>247</v>
      </c>
      <c r="BPH47" s="58" t="s">
        <v>248</v>
      </c>
      <c r="BPI47" s="58" t="s">
        <v>249</v>
      </c>
      <c r="BPJ47" s="58" t="s">
        <v>250</v>
      </c>
      <c r="BPK47" s="58" t="s">
        <v>247</v>
      </c>
      <c r="BPL47" s="58" t="s">
        <v>248</v>
      </c>
      <c r="BPM47" s="58" t="s">
        <v>249</v>
      </c>
      <c r="BPN47" s="58" t="s">
        <v>250</v>
      </c>
      <c r="BPO47" s="58" t="s">
        <v>247</v>
      </c>
      <c r="BPP47" s="58" t="s">
        <v>248</v>
      </c>
      <c r="BPQ47" s="58" t="s">
        <v>249</v>
      </c>
      <c r="BPR47" s="58" t="s">
        <v>250</v>
      </c>
      <c r="BPS47" s="58" t="s">
        <v>247</v>
      </c>
      <c r="BPT47" s="58" t="s">
        <v>248</v>
      </c>
      <c r="BPU47" s="58" t="s">
        <v>249</v>
      </c>
      <c r="BPV47" s="58" t="s">
        <v>250</v>
      </c>
      <c r="BPW47" s="58" t="s">
        <v>247</v>
      </c>
      <c r="BPX47" s="58" t="s">
        <v>248</v>
      </c>
      <c r="BPY47" s="58" t="s">
        <v>249</v>
      </c>
      <c r="BPZ47" s="58" t="s">
        <v>250</v>
      </c>
      <c r="BQA47" s="58" t="s">
        <v>247</v>
      </c>
      <c r="BQB47" s="58" t="s">
        <v>248</v>
      </c>
      <c r="BQC47" s="58" t="s">
        <v>249</v>
      </c>
      <c r="BQD47" s="58" t="s">
        <v>250</v>
      </c>
      <c r="BQE47" s="58" t="s">
        <v>247</v>
      </c>
      <c r="BQF47" s="58" t="s">
        <v>248</v>
      </c>
      <c r="BQG47" s="58" t="s">
        <v>249</v>
      </c>
      <c r="BQH47" s="58" t="s">
        <v>250</v>
      </c>
      <c r="BQI47" s="58" t="s">
        <v>247</v>
      </c>
      <c r="BQJ47" s="58" t="s">
        <v>248</v>
      </c>
      <c r="BQK47" s="58" t="s">
        <v>249</v>
      </c>
      <c r="BQL47" s="58" t="s">
        <v>250</v>
      </c>
      <c r="BQM47" s="58" t="s">
        <v>247</v>
      </c>
      <c r="BQN47" s="58" t="s">
        <v>248</v>
      </c>
      <c r="BQO47" s="58" t="s">
        <v>249</v>
      </c>
      <c r="BQP47" s="58" t="s">
        <v>250</v>
      </c>
      <c r="BQQ47" s="58" t="s">
        <v>247</v>
      </c>
      <c r="BQR47" s="58" t="s">
        <v>248</v>
      </c>
      <c r="BQS47" s="58" t="s">
        <v>249</v>
      </c>
      <c r="BQT47" s="58" t="s">
        <v>250</v>
      </c>
      <c r="BQU47" s="58" t="s">
        <v>247</v>
      </c>
      <c r="BQV47" s="58" t="s">
        <v>248</v>
      </c>
      <c r="BQW47" s="58" t="s">
        <v>249</v>
      </c>
      <c r="BQX47" s="58" t="s">
        <v>250</v>
      </c>
      <c r="BQY47" s="58" t="s">
        <v>247</v>
      </c>
      <c r="BQZ47" s="58" t="s">
        <v>248</v>
      </c>
      <c r="BRA47" s="58" t="s">
        <v>249</v>
      </c>
      <c r="BRB47" s="58" t="s">
        <v>250</v>
      </c>
      <c r="BRC47" s="58" t="s">
        <v>247</v>
      </c>
      <c r="BRD47" s="58" t="s">
        <v>248</v>
      </c>
      <c r="BRE47" s="58" t="s">
        <v>249</v>
      </c>
      <c r="BRF47" s="58" t="s">
        <v>250</v>
      </c>
      <c r="BRG47" s="58" t="s">
        <v>247</v>
      </c>
      <c r="BRH47" s="58" t="s">
        <v>248</v>
      </c>
      <c r="BRI47" s="58" t="s">
        <v>249</v>
      </c>
      <c r="BRJ47" s="58" t="s">
        <v>250</v>
      </c>
      <c r="BRK47" s="58" t="s">
        <v>247</v>
      </c>
      <c r="BRL47" s="58" t="s">
        <v>248</v>
      </c>
      <c r="BRM47" s="58" t="s">
        <v>249</v>
      </c>
      <c r="BRN47" s="58" t="s">
        <v>250</v>
      </c>
      <c r="BRO47" s="58" t="s">
        <v>247</v>
      </c>
      <c r="BRP47" s="58" t="s">
        <v>248</v>
      </c>
      <c r="BRQ47" s="58" t="s">
        <v>249</v>
      </c>
      <c r="BRR47" s="58" t="s">
        <v>250</v>
      </c>
      <c r="BRS47" s="58" t="s">
        <v>247</v>
      </c>
      <c r="BRT47" s="58" t="s">
        <v>248</v>
      </c>
      <c r="BRU47" s="58" t="s">
        <v>249</v>
      </c>
      <c r="BRV47" s="58" t="s">
        <v>250</v>
      </c>
      <c r="BRW47" s="58" t="s">
        <v>247</v>
      </c>
      <c r="BRX47" s="58" t="s">
        <v>248</v>
      </c>
      <c r="BRY47" s="58" t="s">
        <v>249</v>
      </c>
      <c r="BRZ47" s="58" t="s">
        <v>250</v>
      </c>
      <c r="BSA47" s="58" t="s">
        <v>247</v>
      </c>
      <c r="BSB47" s="58" t="s">
        <v>248</v>
      </c>
      <c r="BSC47" s="58" t="s">
        <v>249</v>
      </c>
      <c r="BSD47" s="58" t="s">
        <v>250</v>
      </c>
      <c r="BSE47" s="58" t="s">
        <v>247</v>
      </c>
      <c r="BSF47" s="58" t="s">
        <v>248</v>
      </c>
      <c r="BSG47" s="58" t="s">
        <v>249</v>
      </c>
      <c r="BSH47" s="58" t="s">
        <v>250</v>
      </c>
      <c r="BSI47" s="58" t="s">
        <v>247</v>
      </c>
      <c r="BSJ47" s="58" t="s">
        <v>248</v>
      </c>
      <c r="BSK47" s="58" t="s">
        <v>249</v>
      </c>
      <c r="BSL47" s="58" t="s">
        <v>250</v>
      </c>
      <c r="BSM47" s="58" t="s">
        <v>247</v>
      </c>
      <c r="BSN47" s="58" t="s">
        <v>248</v>
      </c>
      <c r="BSO47" s="58" t="s">
        <v>249</v>
      </c>
      <c r="BSP47" s="58" t="s">
        <v>250</v>
      </c>
      <c r="BSQ47" s="58" t="s">
        <v>247</v>
      </c>
      <c r="BSR47" s="58" t="s">
        <v>248</v>
      </c>
      <c r="BSS47" s="58" t="s">
        <v>249</v>
      </c>
      <c r="BST47" s="58" t="s">
        <v>250</v>
      </c>
      <c r="BSU47" s="58" t="s">
        <v>247</v>
      </c>
      <c r="BSV47" s="58" t="s">
        <v>248</v>
      </c>
      <c r="BSW47" s="58" t="s">
        <v>249</v>
      </c>
      <c r="BSX47" s="58" t="s">
        <v>250</v>
      </c>
      <c r="BSY47" s="58" t="s">
        <v>247</v>
      </c>
      <c r="BSZ47" s="58" t="s">
        <v>248</v>
      </c>
      <c r="BTA47" s="58" t="s">
        <v>249</v>
      </c>
      <c r="BTB47" s="58" t="s">
        <v>250</v>
      </c>
      <c r="BTC47" s="58" t="s">
        <v>247</v>
      </c>
      <c r="BTD47" s="58" t="s">
        <v>248</v>
      </c>
      <c r="BTE47" s="58" t="s">
        <v>249</v>
      </c>
      <c r="BTF47" s="58" t="s">
        <v>250</v>
      </c>
      <c r="BTG47" s="58" t="s">
        <v>247</v>
      </c>
      <c r="BTH47" s="58" t="s">
        <v>248</v>
      </c>
      <c r="BTI47" s="58" t="s">
        <v>249</v>
      </c>
      <c r="BTJ47" s="58" t="s">
        <v>250</v>
      </c>
      <c r="BTK47" s="58" t="s">
        <v>247</v>
      </c>
      <c r="BTL47" s="58" t="s">
        <v>248</v>
      </c>
      <c r="BTM47" s="58" t="s">
        <v>249</v>
      </c>
      <c r="BTN47" s="58" t="s">
        <v>250</v>
      </c>
      <c r="BTO47" s="58" t="s">
        <v>247</v>
      </c>
      <c r="BTP47" s="58" t="s">
        <v>248</v>
      </c>
      <c r="BTQ47" s="58" t="s">
        <v>249</v>
      </c>
      <c r="BTR47" s="58" t="s">
        <v>250</v>
      </c>
      <c r="BTS47" s="58" t="s">
        <v>247</v>
      </c>
      <c r="BTT47" s="58" t="s">
        <v>248</v>
      </c>
      <c r="BTU47" s="58" t="s">
        <v>249</v>
      </c>
      <c r="BTV47" s="58" t="s">
        <v>250</v>
      </c>
      <c r="BTW47" s="58" t="s">
        <v>247</v>
      </c>
      <c r="BTX47" s="58" t="s">
        <v>248</v>
      </c>
      <c r="BTY47" s="58" t="s">
        <v>249</v>
      </c>
      <c r="BTZ47" s="58" t="s">
        <v>250</v>
      </c>
      <c r="BUA47" s="58" t="s">
        <v>247</v>
      </c>
      <c r="BUB47" s="58" t="s">
        <v>248</v>
      </c>
      <c r="BUC47" s="58" t="s">
        <v>249</v>
      </c>
      <c r="BUD47" s="58" t="s">
        <v>250</v>
      </c>
      <c r="BUE47" s="58" t="s">
        <v>247</v>
      </c>
      <c r="BUF47" s="58" t="s">
        <v>248</v>
      </c>
      <c r="BUG47" s="58" t="s">
        <v>249</v>
      </c>
      <c r="BUH47" s="58" t="s">
        <v>250</v>
      </c>
      <c r="BUI47" s="58" t="s">
        <v>247</v>
      </c>
      <c r="BUJ47" s="58" t="s">
        <v>248</v>
      </c>
      <c r="BUK47" s="58" t="s">
        <v>249</v>
      </c>
      <c r="BUL47" s="58" t="s">
        <v>250</v>
      </c>
      <c r="BUM47" s="58" t="s">
        <v>247</v>
      </c>
      <c r="BUN47" s="58" t="s">
        <v>248</v>
      </c>
      <c r="BUO47" s="58" t="s">
        <v>249</v>
      </c>
      <c r="BUP47" s="58" t="s">
        <v>250</v>
      </c>
      <c r="BUQ47" s="58" t="s">
        <v>247</v>
      </c>
      <c r="BUR47" s="58" t="s">
        <v>248</v>
      </c>
      <c r="BUS47" s="58" t="s">
        <v>249</v>
      </c>
      <c r="BUT47" s="58" t="s">
        <v>250</v>
      </c>
      <c r="BUU47" s="58" t="s">
        <v>247</v>
      </c>
      <c r="BUV47" s="58" t="s">
        <v>248</v>
      </c>
      <c r="BUW47" s="58" t="s">
        <v>249</v>
      </c>
      <c r="BUX47" s="58" t="s">
        <v>250</v>
      </c>
      <c r="BUY47" s="58" t="s">
        <v>247</v>
      </c>
      <c r="BUZ47" s="58" t="s">
        <v>248</v>
      </c>
      <c r="BVA47" s="58" t="s">
        <v>249</v>
      </c>
      <c r="BVB47" s="58" t="s">
        <v>250</v>
      </c>
      <c r="BVC47" s="58" t="s">
        <v>247</v>
      </c>
      <c r="BVD47" s="58" t="s">
        <v>248</v>
      </c>
      <c r="BVE47" s="58" t="s">
        <v>249</v>
      </c>
      <c r="BVF47" s="58" t="s">
        <v>250</v>
      </c>
      <c r="BVG47" s="58" t="s">
        <v>247</v>
      </c>
      <c r="BVH47" s="58" t="s">
        <v>248</v>
      </c>
      <c r="BVI47" s="58" t="s">
        <v>249</v>
      </c>
      <c r="BVJ47" s="58" t="s">
        <v>250</v>
      </c>
      <c r="BVK47" s="58" t="s">
        <v>247</v>
      </c>
      <c r="BVL47" s="58" t="s">
        <v>248</v>
      </c>
      <c r="BVM47" s="58" t="s">
        <v>249</v>
      </c>
      <c r="BVN47" s="58" t="s">
        <v>250</v>
      </c>
      <c r="BVO47" s="58" t="s">
        <v>247</v>
      </c>
      <c r="BVP47" s="58" t="s">
        <v>248</v>
      </c>
      <c r="BVQ47" s="58" t="s">
        <v>249</v>
      </c>
      <c r="BVR47" s="58" t="s">
        <v>250</v>
      </c>
      <c r="BVS47" s="58" t="s">
        <v>247</v>
      </c>
      <c r="BVT47" s="58" t="s">
        <v>248</v>
      </c>
      <c r="BVU47" s="58" t="s">
        <v>249</v>
      </c>
      <c r="BVV47" s="58" t="s">
        <v>250</v>
      </c>
      <c r="BVW47" s="58" t="s">
        <v>247</v>
      </c>
      <c r="BVX47" s="58" t="s">
        <v>248</v>
      </c>
      <c r="BVY47" s="58" t="s">
        <v>249</v>
      </c>
      <c r="BVZ47" s="58" t="s">
        <v>250</v>
      </c>
      <c r="BWA47" s="58" t="s">
        <v>247</v>
      </c>
      <c r="BWB47" s="58" t="s">
        <v>248</v>
      </c>
      <c r="BWC47" s="58" t="s">
        <v>249</v>
      </c>
      <c r="BWD47" s="58" t="s">
        <v>250</v>
      </c>
      <c r="BWE47" s="58" t="s">
        <v>247</v>
      </c>
      <c r="BWF47" s="58" t="s">
        <v>248</v>
      </c>
      <c r="BWG47" s="58" t="s">
        <v>249</v>
      </c>
      <c r="BWH47" s="58" t="s">
        <v>250</v>
      </c>
      <c r="BWI47" s="58" t="s">
        <v>247</v>
      </c>
      <c r="BWJ47" s="58" t="s">
        <v>248</v>
      </c>
      <c r="BWK47" s="58" t="s">
        <v>249</v>
      </c>
      <c r="BWL47" s="58" t="s">
        <v>250</v>
      </c>
      <c r="BWM47" s="58" t="s">
        <v>247</v>
      </c>
      <c r="BWN47" s="58" t="s">
        <v>248</v>
      </c>
      <c r="BWO47" s="58" t="s">
        <v>249</v>
      </c>
      <c r="BWP47" s="58" t="s">
        <v>250</v>
      </c>
      <c r="BWQ47" s="58" t="s">
        <v>247</v>
      </c>
      <c r="BWR47" s="58" t="s">
        <v>248</v>
      </c>
      <c r="BWS47" s="58" t="s">
        <v>249</v>
      </c>
      <c r="BWT47" s="58" t="s">
        <v>250</v>
      </c>
      <c r="BWU47" s="58" t="s">
        <v>247</v>
      </c>
      <c r="BWV47" s="58" t="s">
        <v>248</v>
      </c>
      <c r="BWW47" s="58" t="s">
        <v>249</v>
      </c>
      <c r="BWX47" s="58" t="s">
        <v>250</v>
      </c>
      <c r="BWY47" s="58" t="s">
        <v>247</v>
      </c>
      <c r="BWZ47" s="58" t="s">
        <v>248</v>
      </c>
      <c r="BXA47" s="58" t="s">
        <v>249</v>
      </c>
      <c r="BXB47" s="58" t="s">
        <v>250</v>
      </c>
      <c r="BXC47" s="58" t="s">
        <v>247</v>
      </c>
      <c r="BXD47" s="58" t="s">
        <v>248</v>
      </c>
      <c r="BXE47" s="58" t="s">
        <v>249</v>
      </c>
      <c r="BXF47" s="58" t="s">
        <v>250</v>
      </c>
      <c r="BXG47" s="58" t="s">
        <v>247</v>
      </c>
      <c r="BXH47" s="58" t="s">
        <v>248</v>
      </c>
      <c r="BXI47" s="58" t="s">
        <v>249</v>
      </c>
      <c r="BXJ47" s="58" t="s">
        <v>250</v>
      </c>
      <c r="BXK47" s="58" t="s">
        <v>247</v>
      </c>
      <c r="BXL47" s="58" t="s">
        <v>248</v>
      </c>
      <c r="BXM47" s="58" t="s">
        <v>249</v>
      </c>
      <c r="BXN47" s="58" t="s">
        <v>250</v>
      </c>
      <c r="BXO47" s="58" t="s">
        <v>247</v>
      </c>
      <c r="BXP47" s="58" t="s">
        <v>248</v>
      </c>
      <c r="BXQ47" s="58" t="s">
        <v>249</v>
      </c>
      <c r="BXR47" s="58" t="s">
        <v>250</v>
      </c>
      <c r="BXS47" s="58" t="s">
        <v>247</v>
      </c>
      <c r="BXT47" s="58" t="s">
        <v>248</v>
      </c>
      <c r="BXU47" s="58" t="s">
        <v>249</v>
      </c>
      <c r="BXV47" s="58" t="s">
        <v>250</v>
      </c>
      <c r="BXW47" s="58" t="s">
        <v>247</v>
      </c>
      <c r="BXX47" s="58" t="s">
        <v>248</v>
      </c>
      <c r="BXY47" s="58" t="s">
        <v>249</v>
      </c>
      <c r="BXZ47" s="58" t="s">
        <v>250</v>
      </c>
      <c r="BYA47" s="58" t="s">
        <v>247</v>
      </c>
      <c r="BYB47" s="58" t="s">
        <v>248</v>
      </c>
      <c r="BYC47" s="58" t="s">
        <v>249</v>
      </c>
      <c r="BYD47" s="58" t="s">
        <v>250</v>
      </c>
      <c r="BYE47" s="58" t="s">
        <v>247</v>
      </c>
      <c r="BYF47" s="58" t="s">
        <v>248</v>
      </c>
      <c r="BYG47" s="58" t="s">
        <v>249</v>
      </c>
      <c r="BYH47" s="58" t="s">
        <v>250</v>
      </c>
      <c r="BYI47" s="58" t="s">
        <v>247</v>
      </c>
      <c r="BYJ47" s="58" t="s">
        <v>248</v>
      </c>
      <c r="BYK47" s="58" t="s">
        <v>249</v>
      </c>
      <c r="BYL47" s="58" t="s">
        <v>250</v>
      </c>
      <c r="BYM47" s="58" t="s">
        <v>247</v>
      </c>
      <c r="BYN47" s="58" t="s">
        <v>248</v>
      </c>
      <c r="BYO47" s="58" t="s">
        <v>249</v>
      </c>
      <c r="BYP47" s="58" t="s">
        <v>250</v>
      </c>
      <c r="BYQ47" s="58" t="s">
        <v>247</v>
      </c>
      <c r="BYR47" s="58" t="s">
        <v>248</v>
      </c>
      <c r="BYS47" s="58" t="s">
        <v>249</v>
      </c>
      <c r="BYT47" s="58" t="s">
        <v>250</v>
      </c>
      <c r="BYU47" s="58" t="s">
        <v>247</v>
      </c>
      <c r="BYV47" s="58" t="s">
        <v>248</v>
      </c>
      <c r="BYW47" s="58" t="s">
        <v>249</v>
      </c>
      <c r="BYX47" s="58" t="s">
        <v>250</v>
      </c>
      <c r="BYY47" s="58" t="s">
        <v>247</v>
      </c>
      <c r="BYZ47" s="58" t="s">
        <v>248</v>
      </c>
      <c r="BZA47" s="58" t="s">
        <v>249</v>
      </c>
      <c r="BZB47" s="58" t="s">
        <v>250</v>
      </c>
      <c r="BZC47" s="58" t="s">
        <v>247</v>
      </c>
      <c r="BZD47" s="58" t="s">
        <v>248</v>
      </c>
      <c r="BZE47" s="58" t="s">
        <v>249</v>
      </c>
      <c r="BZF47" s="58" t="s">
        <v>250</v>
      </c>
      <c r="BZG47" s="58" t="s">
        <v>247</v>
      </c>
      <c r="BZH47" s="58" t="s">
        <v>248</v>
      </c>
      <c r="BZI47" s="58" t="s">
        <v>249</v>
      </c>
      <c r="BZJ47" s="58" t="s">
        <v>250</v>
      </c>
      <c r="BZK47" s="58" t="s">
        <v>247</v>
      </c>
      <c r="BZL47" s="58" t="s">
        <v>248</v>
      </c>
      <c r="BZM47" s="58" t="s">
        <v>249</v>
      </c>
      <c r="BZN47" s="58" t="s">
        <v>250</v>
      </c>
      <c r="BZO47" s="58" t="s">
        <v>247</v>
      </c>
      <c r="BZP47" s="58" t="s">
        <v>248</v>
      </c>
      <c r="BZQ47" s="58" t="s">
        <v>249</v>
      </c>
      <c r="BZR47" s="58" t="s">
        <v>250</v>
      </c>
      <c r="BZS47" s="58" t="s">
        <v>247</v>
      </c>
      <c r="BZT47" s="58" t="s">
        <v>248</v>
      </c>
      <c r="BZU47" s="58" t="s">
        <v>249</v>
      </c>
      <c r="BZV47" s="58" t="s">
        <v>250</v>
      </c>
      <c r="BZW47" s="58" t="s">
        <v>247</v>
      </c>
      <c r="BZX47" s="58" t="s">
        <v>248</v>
      </c>
      <c r="BZY47" s="58" t="s">
        <v>249</v>
      </c>
      <c r="BZZ47" s="58" t="s">
        <v>250</v>
      </c>
      <c r="CAA47" s="58" t="s">
        <v>247</v>
      </c>
      <c r="CAB47" s="58" t="s">
        <v>248</v>
      </c>
      <c r="CAC47" s="58" t="s">
        <v>249</v>
      </c>
      <c r="CAD47" s="58" t="s">
        <v>250</v>
      </c>
      <c r="CAE47" s="58" t="s">
        <v>247</v>
      </c>
      <c r="CAF47" s="58" t="s">
        <v>248</v>
      </c>
      <c r="CAG47" s="58" t="s">
        <v>249</v>
      </c>
      <c r="CAH47" s="58" t="s">
        <v>250</v>
      </c>
      <c r="CAI47" s="58" t="s">
        <v>247</v>
      </c>
      <c r="CAJ47" s="58" t="s">
        <v>248</v>
      </c>
      <c r="CAK47" s="58" t="s">
        <v>249</v>
      </c>
      <c r="CAL47" s="58" t="s">
        <v>250</v>
      </c>
      <c r="CAM47" s="58" t="s">
        <v>247</v>
      </c>
      <c r="CAN47" s="58" t="s">
        <v>248</v>
      </c>
      <c r="CAO47" s="58" t="s">
        <v>249</v>
      </c>
      <c r="CAP47" s="58" t="s">
        <v>250</v>
      </c>
      <c r="CAQ47" s="58" t="s">
        <v>247</v>
      </c>
      <c r="CAR47" s="58" t="s">
        <v>248</v>
      </c>
      <c r="CAS47" s="58" t="s">
        <v>249</v>
      </c>
      <c r="CAT47" s="58" t="s">
        <v>250</v>
      </c>
      <c r="CAU47" s="58" t="s">
        <v>247</v>
      </c>
      <c r="CAV47" s="58" t="s">
        <v>248</v>
      </c>
      <c r="CAW47" s="58" t="s">
        <v>249</v>
      </c>
      <c r="CAX47" s="58" t="s">
        <v>250</v>
      </c>
      <c r="CAY47" s="58" t="s">
        <v>247</v>
      </c>
      <c r="CAZ47" s="58" t="s">
        <v>248</v>
      </c>
      <c r="CBA47" s="58" t="s">
        <v>249</v>
      </c>
      <c r="CBB47" s="58" t="s">
        <v>250</v>
      </c>
      <c r="CBC47" s="58" t="s">
        <v>247</v>
      </c>
      <c r="CBD47" s="58" t="s">
        <v>248</v>
      </c>
      <c r="CBE47" s="58" t="s">
        <v>249</v>
      </c>
      <c r="CBF47" s="58" t="s">
        <v>250</v>
      </c>
      <c r="CBG47" s="58" t="s">
        <v>247</v>
      </c>
      <c r="CBH47" s="58" t="s">
        <v>248</v>
      </c>
      <c r="CBI47" s="58" t="s">
        <v>249</v>
      </c>
      <c r="CBJ47" s="58" t="s">
        <v>250</v>
      </c>
      <c r="CBK47" s="58" t="s">
        <v>247</v>
      </c>
      <c r="CBL47" s="58" t="s">
        <v>248</v>
      </c>
      <c r="CBM47" s="58" t="s">
        <v>249</v>
      </c>
      <c r="CBN47" s="58" t="s">
        <v>250</v>
      </c>
      <c r="CBO47" s="58" t="s">
        <v>247</v>
      </c>
      <c r="CBP47" s="58" t="s">
        <v>248</v>
      </c>
      <c r="CBQ47" s="58" t="s">
        <v>249</v>
      </c>
      <c r="CBR47" s="58" t="s">
        <v>250</v>
      </c>
      <c r="CBS47" s="58" t="s">
        <v>247</v>
      </c>
      <c r="CBT47" s="58" t="s">
        <v>248</v>
      </c>
      <c r="CBU47" s="58" t="s">
        <v>249</v>
      </c>
      <c r="CBV47" s="58" t="s">
        <v>250</v>
      </c>
      <c r="CBW47" s="58" t="s">
        <v>247</v>
      </c>
      <c r="CBX47" s="58" t="s">
        <v>248</v>
      </c>
      <c r="CBY47" s="58" t="s">
        <v>249</v>
      </c>
      <c r="CBZ47" s="58" t="s">
        <v>250</v>
      </c>
      <c r="CCA47" s="58" t="s">
        <v>247</v>
      </c>
      <c r="CCB47" s="58" t="s">
        <v>248</v>
      </c>
      <c r="CCC47" s="58" t="s">
        <v>249</v>
      </c>
      <c r="CCD47" s="58" t="s">
        <v>250</v>
      </c>
      <c r="CCE47" s="58" t="s">
        <v>247</v>
      </c>
      <c r="CCF47" s="58" t="s">
        <v>248</v>
      </c>
      <c r="CCG47" s="58" t="s">
        <v>249</v>
      </c>
      <c r="CCH47" s="58" t="s">
        <v>250</v>
      </c>
      <c r="CCI47" s="58" t="s">
        <v>247</v>
      </c>
      <c r="CCJ47" s="58" t="s">
        <v>248</v>
      </c>
      <c r="CCK47" s="58" t="s">
        <v>249</v>
      </c>
      <c r="CCL47" s="58" t="s">
        <v>250</v>
      </c>
      <c r="CCM47" s="58" t="s">
        <v>247</v>
      </c>
      <c r="CCN47" s="58" t="s">
        <v>248</v>
      </c>
      <c r="CCO47" s="58" t="s">
        <v>249</v>
      </c>
      <c r="CCP47" s="58" t="s">
        <v>250</v>
      </c>
      <c r="CCQ47" s="58" t="s">
        <v>247</v>
      </c>
      <c r="CCR47" s="58" t="s">
        <v>248</v>
      </c>
      <c r="CCS47" s="58" t="s">
        <v>249</v>
      </c>
      <c r="CCT47" s="58" t="s">
        <v>250</v>
      </c>
      <c r="CCU47" s="58" t="s">
        <v>247</v>
      </c>
      <c r="CCV47" s="58" t="s">
        <v>248</v>
      </c>
      <c r="CCW47" s="58" t="s">
        <v>249</v>
      </c>
      <c r="CCX47" s="58" t="s">
        <v>250</v>
      </c>
      <c r="CCY47" s="58" t="s">
        <v>247</v>
      </c>
      <c r="CCZ47" s="58" t="s">
        <v>248</v>
      </c>
      <c r="CDA47" s="58" t="s">
        <v>249</v>
      </c>
      <c r="CDB47" s="58" t="s">
        <v>250</v>
      </c>
      <c r="CDC47" s="58" t="s">
        <v>247</v>
      </c>
      <c r="CDD47" s="58" t="s">
        <v>248</v>
      </c>
      <c r="CDE47" s="58" t="s">
        <v>249</v>
      </c>
      <c r="CDF47" s="58" t="s">
        <v>250</v>
      </c>
      <c r="CDG47" s="58" t="s">
        <v>247</v>
      </c>
      <c r="CDH47" s="58" t="s">
        <v>248</v>
      </c>
      <c r="CDI47" s="58" t="s">
        <v>249</v>
      </c>
      <c r="CDJ47" s="58" t="s">
        <v>250</v>
      </c>
      <c r="CDK47" s="58" t="s">
        <v>247</v>
      </c>
      <c r="CDL47" s="58" t="s">
        <v>248</v>
      </c>
      <c r="CDM47" s="58" t="s">
        <v>249</v>
      </c>
      <c r="CDN47" s="58" t="s">
        <v>250</v>
      </c>
      <c r="CDO47" s="58" t="s">
        <v>247</v>
      </c>
      <c r="CDP47" s="58" t="s">
        <v>248</v>
      </c>
      <c r="CDQ47" s="58" t="s">
        <v>249</v>
      </c>
      <c r="CDR47" s="58" t="s">
        <v>250</v>
      </c>
      <c r="CDS47" s="58" t="s">
        <v>247</v>
      </c>
      <c r="CDT47" s="58" t="s">
        <v>248</v>
      </c>
      <c r="CDU47" s="58" t="s">
        <v>249</v>
      </c>
      <c r="CDV47" s="58" t="s">
        <v>250</v>
      </c>
      <c r="CDW47" s="58" t="s">
        <v>247</v>
      </c>
      <c r="CDX47" s="58" t="s">
        <v>248</v>
      </c>
      <c r="CDY47" s="58" t="s">
        <v>249</v>
      </c>
      <c r="CDZ47" s="58" t="s">
        <v>250</v>
      </c>
      <c r="CEA47" s="58" t="s">
        <v>247</v>
      </c>
      <c r="CEB47" s="58" t="s">
        <v>248</v>
      </c>
      <c r="CEC47" s="58" t="s">
        <v>249</v>
      </c>
      <c r="CED47" s="58" t="s">
        <v>250</v>
      </c>
      <c r="CEE47" s="58" t="s">
        <v>247</v>
      </c>
      <c r="CEF47" s="58" t="s">
        <v>248</v>
      </c>
      <c r="CEG47" s="58" t="s">
        <v>249</v>
      </c>
      <c r="CEH47" s="58" t="s">
        <v>250</v>
      </c>
      <c r="CEI47" s="58" t="s">
        <v>247</v>
      </c>
      <c r="CEJ47" s="58" t="s">
        <v>248</v>
      </c>
      <c r="CEK47" s="58" t="s">
        <v>249</v>
      </c>
      <c r="CEL47" s="58" t="s">
        <v>250</v>
      </c>
      <c r="CEM47" s="58" t="s">
        <v>247</v>
      </c>
      <c r="CEN47" s="58" t="s">
        <v>248</v>
      </c>
      <c r="CEO47" s="58" t="s">
        <v>249</v>
      </c>
      <c r="CEP47" s="58" t="s">
        <v>250</v>
      </c>
      <c r="CEQ47" s="58" t="s">
        <v>247</v>
      </c>
      <c r="CER47" s="58" t="s">
        <v>248</v>
      </c>
      <c r="CES47" s="58" t="s">
        <v>249</v>
      </c>
      <c r="CET47" s="58" t="s">
        <v>250</v>
      </c>
      <c r="CEU47" s="58" t="s">
        <v>247</v>
      </c>
      <c r="CEV47" s="58" t="s">
        <v>248</v>
      </c>
      <c r="CEW47" s="58" t="s">
        <v>249</v>
      </c>
      <c r="CEX47" s="58" t="s">
        <v>250</v>
      </c>
      <c r="CEY47" s="58" t="s">
        <v>247</v>
      </c>
      <c r="CEZ47" s="58" t="s">
        <v>248</v>
      </c>
      <c r="CFA47" s="58" t="s">
        <v>249</v>
      </c>
      <c r="CFB47" s="58" t="s">
        <v>250</v>
      </c>
      <c r="CFC47" s="58" t="s">
        <v>247</v>
      </c>
      <c r="CFD47" s="58" t="s">
        <v>248</v>
      </c>
      <c r="CFE47" s="58" t="s">
        <v>249</v>
      </c>
      <c r="CFF47" s="58" t="s">
        <v>250</v>
      </c>
      <c r="CFG47" s="58" t="s">
        <v>247</v>
      </c>
      <c r="CFH47" s="58" t="s">
        <v>248</v>
      </c>
      <c r="CFI47" s="58" t="s">
        <v>249</v>
      </c>
      <c r="CFJ47" s="58" t="s">
        <v>250</v>
      </c>
      <c r="CFK47" s="58" t="s">
        <v>247</v>
      </c>
      <c r="CFL47" s="58" t="s">
        <v>248</v>
      </c>
      <c r="CFM47" s="58" t="s">
        <v>249</v>
      </c>
      <c r="CFN47" s="58" t="s">
        <v>250</v>
      </c>
      <c r="CFO47" s="58" t="s">
        <v>247</v>
      </c>
      <c r="CFP47" s="58" t="s">
        <v>248</v>
      </c>
      <c r="CFQ47" s="58" t="s">
        <v>249</v>
      </c>
      <c r="CFR47" s="58" t="s">
        <v>250</v>
      </c>
      <c r="CFS47" s="58" t="s">
        <v>247</v>
      </c>
      <c r="CFT47" s="58" t="s">
        <v>248</v>
      </c>
      <c r="CFU47" s="58" t="s">
        <v>249</v>
      </c>
      <c r="CFV47" s="58" t="s">
        <v>250</v>
      </c>
      <c r="CFW47" s="58" t="s">
        <v>247</v>
      </c>
      <c r="CFX47" s="58" t="s">
        <v>248</v>
      </c>
      <c r="CFY47" s="58" t="s">
        <v>249</v>
      </c>
      <c r="CFZ47" s="58" t="s">
        <v>250</v>
      </c>
      <c r="CGA47" s="58" t="s">
        <v>247</v>
      </c>
      <c r="CGB47" s="58" t="s">
        <v>248</v>
      </c>
      <c r="CGC47" s="58" t="s">
        <v>249</v>
      </c>
      <c r="CGD47" s="58" t="s">
        <v>250</v>
      </c>
      <c r="CGE47" s="58" t="s">
        <v>247</v>
      </c>
      <c r="CGF47" s="58" t="s">
        <v>248</v>
      </c>
      <c r="CGG47" s="58" t="s">
        <v>249</v>
      </c>
      <c r="CGH47" s="58" t="s">
        <v>250</v>
      </c>
      <c r="CGI47" s="58" t="s">
        <v>247</v>
      </c>
      <c r="CGJ47" s="58" t="s">
        <v>248</v>
      </c>
      <c r="CGK47" s="58" t="s">
        <v>249</v>
      </c>
      <c r="CGL47" s="58" t="s">
        <v>250</v>
      </c>
      <c r="CGM47" s="58" t="s">
        <v>247</v>
      </c>
      <c r="CGN47" s="58" t="s">
        <v>248</v>
      </c>
      <c r="CGO47" s="58" t="s">
        <v>249</v>
      </c>
      <c r="CGP47" s="58" t="s">
        <v>250</v>
      </c>
      <c r="CGQ47" s="58" t="s">
        <v>247</v>
      </c>
      <c r="CGR47" s="58" t="s">
        <v>248</v>
      </c>
      <c r="CGS47" s="58" t="s">
        <v>249</v>
      </c>
      <c r="CGT47" s="58" t="s">
        <v>250</v>
      </c>
      <c r="CGU47" s="58" t="s">
        <v>247</v>
      </c>
      <c r="CGV47" s="58" t="s">
        <v>248</v>
      </c>
      <c r="CGW47" s="58" t="s">
        <v>249</v>
      </c>
      <c r="CGX47" s="58" t="s">
        <v>250</v>
      </c>
      <c r="CGY47" s="58" t="s">
        <v>247</v>
      </c>
      <c r="CGZ47" s="58" t="s">
        <v>248</v>
      </c>
      <c r="CHA47" s="58" t="s">
        <v>249</v>
      </c>
      <c r="CHB47" s="58" t="s">
        <v>250</v>
      </c>
      <c r="CHC47" s="58" t="s">
        <v>247</v>
      </c>
      <c r="CHD47" s="58" t="s">
        <v>248</v>
      </c>
      <c r="CHE47" s="58" t="s">
        <v>249</v>
      </c>
      <c r="CHF47" s="58" t="s">
        <v>250</v>
      </c>
      <c r="CHG47" s="58" t="s">
        <v>247</v>
      </c>
      <c r="CHH47" s="58" t="s">
        <v>248</v>
      </c>
      <c r="CHI47" s="58" t="s">
        <v>249</v>
      </c>
      <c r="CHJ47" s="58" t="s">
        <v>250</v>
      </c>
      <c r="CHK47" s="58" t="s">
        <v>247</v>
      </c>
      <c r="CHL47" s="58" t="s">
        <v>248</v>
      </c>
      <c r="CHM47" s="58" t="s">
        <v>249</v>
      </c>
      <c r="CHN47" s="58" t="s">
        <v>250</v>
      </c>
      <c r="CHO47" s="58" t="s">
        <v>247</v>
      </c>
      <c r="CHP47" s="58" t="s">
        <v>248</v>
      </c>
      <c r="CHQ47" s="58" t="s">
        <v>249</v>
      </c>
      <c r="CHR47" s="58" t="s">
        <v>250</v>
      </c>
      <c r="CHS47" s="58" t="s">
        <v>247</v>
      </c>
      <c r="CHT47" s="58" t="s">
        <v>248</v>
      </c>
      <c r="CHU47" s="58" t="s">
        <v>249</v>
      </c>
      <c r="CHV47" s="58" t="s">
        <v>250</v>
      </c>
      <c r="CHW47" s="58" t="s">
        <v>247</v>
      </c>
      <c r="CHX47" s="58" t="s">
        <v>248</v>
      </c>
      <c r="CHY47" s="58" t="s">
        <v>249</v>
      </c>
      <c r="CHZ47" s="58" t="s">
        <v>250</v>
      </c>
      <c r="CIA47" s="58" t="s">
        <v>247</v>
      </c>
      <c r="CIB47" s="58" t="s">
        <v>248</v>
      </c>
      <c r="CIC47" s="58" t="s">
        <v>249</v>
      </c>
      <c r="CID47" s="58" t="s">
        <v>250</v>
      </c>
      <c r="CIE47" s="58" t="s">
        <v>247</v>
      </c>
      <c r="CIF47" s="58" t="s">
        <v>248</v>
      </c>
      <c r="CIG47" s="58" t="s">
        <v>249</v>
      </c>
      <c r="CIH47" s="58" t="s">
        <v>250</v>
      </c>
      <c r="CII47" s="58" t="s">
        <v>247</v>
      </c>
      <c r="CIJ47" s="58" t="s">
        <v>248</v>
      </c>
      <c r="CIK47" s="58" t="s">
        <v>249</v>
      </c>
      <c r="CIL47" s="58" t="s">
        <v>250</v>
      </c>
      <c r="CIM47" s="58" t="s">
        <v>247</v>
      </c>
      <c r="CIN47" s="58" t="s">
        <v>248</v>
      </c>
      <c r="CIO47" s="58" t="s">
        <v>249</v>
      </c>
      <c r="CIP47" s="58" t="s">
        <v>250</v>
      </c>
      <c r="CIQ47" s="58" t="s">
        <v>247</v>
      </c>
      <c r="CIR47" s="58" t="s">
        <v>248</v>
      </c>
      <c r="CIS47" s="58" t="s">
        <v>249</v>
      </c>
      <c r="CIT47" s="58" t="s">
        <v>250</v>
      </c>
      <c r="CIU47" s="58" t="s">
        <v>247</v>
      </c>
      <c r="CIV47" s="58" t="s">
        <v>248</v>
      </c>
      <c r="CIW47" s="58" t="s">
        <v>249</v>
      </c>
      <c r="CIX47" s="58" t="s">
        <v>250</v>
      </c>
      <c r="CIY47" s="58" t="s">
        <v>247</v>
      </c>
      <c r="CIZ47" s="58" t="s">
        <v>248</v>
      </c>
      <c r="CJA47" s="58" t="s">
        <v>249</v>
      </c>
      <c r="CJB47" s="58" t="s">
        <v>250</v>
      </c>
      <c r="CJC47" s="58" t="s">
        <v>247</v>
      </c>
      <c r="CJD47" s="58" t="s">
        <v>248</v>
      </c>
      <c r="CJE47" s="58" t="s">
        <v>249</v>
      </c>
      <c r="CJF47" s="58" t="s">
        <v>250</v>
      </c>
      <c r="CJG47" s="58" t="s">
        <v>247</v>
      </c>
      <c r="CJH47" s="58" t="s">
        <v>248</v>
      </c>
      <c r="CJI47" s="58" t="s">
        <v>249</v>
      </c>
      <c r="CJJ47" s="58" t="s">
        <v>250</v>
      </c>
      <c r="CJK47" s="58" t="s">
        <v>247</v>
      </c>
      <c r="CJL47" s="58" t="s">
        <v>248</v>
      </c>
      <c r="CJM47" s="58" t="s">
        <v>249</v>
      </c>
      <c r="CJN47" s="58" t="s">
        <v>250</v>
      </c>
      <c r="CJO47" s="58" t="s">
        <v>247</v>
      </c>
      <c r="CJP47" s="58" t="s">
        <v>248</v>
      </c>
      <c r="CJQ47" s="58" t="s">
        <v>249</v>
      </c>
      <c r="CJR47" s="58" t="s">
        <v>250</v>
      </c>
      <c r="CJS47" s="58" t="s">
        <v>247</v>
      </c>
      <c r="CJT47" s="58" t="s">
        <v>248</v>
      </c>
      <c r="CJU47" s="58" t="s">
        <v>249</v>
      </c>
      <c r="CJV47" s="58" t="s">
        <v>250</v>
      </c>
      <c r="CJW47" s="58" t="s">
        <v>247</v>
      </c>
      <c r="CJX47" s="58" t="s">
        <v>248</v>
      </c>
      <c r="CJY47" s="58" t="s">
        <v>249</v>
      </c>
      <c r="CJZ47" s="58" t="s">
        <v>250</v>
      </c>
      <c r="CKA47" s="58" t="s">
        <v>247</v>
      </c>
      <c r="CKB47" s="58" t="s">
        <v>248</v>
      </c>
      <c r="CKC47" s="58" t="s">
        <v>249</v>
      </c>
      <c r="CKD47" s="58" t="s">
        <v>250</v>
      </c>
      <c r="CKE47" s="58" t="s">
        <v>247</v>
      </c>
      <c r="CKF47" s="58" t="s">
        <v>248</v>
      </c>
      <c r="CKG47" s="58" t="s">
        <v>249</v>
      </c>
      <c r="CKH47" s="58" t="s">
        <v>250</v>
      </c>
      <c r="CKI47" s="58" t="s">
        <v>247</v>
      </c>
      <c r="CKJ47" s="58" t="s">
        <v>248</v>
      </c>
      <c r="CKK47" s="58" t="s">
        <v>249</v>
      </c>
      <c r="CKL47" s="58" t="s">
        <v>250</v>
      </c>
      <c r="CKM47" s="58" t="s">
        <v>247</v>
      </c>
      <c r="CKN47" s="58" t="s">
        <v>248</v>
      </c>
      <c r="CKO47" s="58" t="s">
        <v>249</v>
      </c>
      <c r="CKP47" s="58" t="s">
        <v>250</v>
      </c>
      <c r="CKQ47" s="58" t="s">
        <v>247</v>
      </c>
      <c r="CKR47" s="58" t="s">
        <v>248</v>
      </c>
      <c r="CKS47" s="58" t="s">
        <v>249</v>
      </c>
      <c r="CKT47" s="58" t="s">
        <v>250</v>
      </c>
      <c r="CKU47" s="58" t="s">
        <v>247</v>
      </c>
      <c r="CKV47" s="58" t="s">
        <v>248</v>
      </c>
      <c r="CKW47" s="58" t="s">
        <v>249</v>
      </c>
      <c r="CKX47" s="58" t="s">
        <v>250</v>
      </c>
      <c r="CKY47" s="58" t="s">
        <v>247</v>
      </c>
      <c r="CKZ47" s="58" t="s">
        <v>248</v>
      </c>
      <c r="CLA47" s="58" t="s">
        <v>249</v>
      </c>
      <c r="CLB47" s="58" t="s">
        <v>250</v>
      </c>
      <c r="CLC47" s="58" t="s">
        <v>247</v>
      </c>
      <c r="CLD47" s="58" t="s">
        <v>248</v>
      </c>
      <c r="CLE47" s="58" t="s">
        <v>249</v>
      </c>
      <c r="CLF47" s="58" t="s">
        <v>250</v>
      </c>
      <c r="CLG47" s="58" t="s">
        <v>247</v>
      </c>
      <c r="CLH47" s="58" t="s">
        <v>248</v>
      </c>
      <c r="CLI47" s="58" t="s">
        <v>249</v>
      </c>
      <c r="CLJ47" s="58" t="s">
        <v>250</v>
      </c>
      <c r="CLK47" s="58" t="s">
        <v>247</v>
      </c>
      <c r="CLL47" s="58" t="s">
        <v>248</v>
      </c>
      <c r="CLM47" s="58" t="s">
        <v>249</v>
      </c>
      <c r="CLN47" s="58" t="s">
        <v>250</v>
      </c>
      <c r="CLO47" s="58" t="s">
        <v>247</v>
      </c>
      <c r="CLP47" s="58" t="s">
        <v>248</v>
      </c>
      <c r="CLQ47" s="58" t="s">
        <v>249</v>
      </c>
      <c r="CLR47" s="58" t="s">
        <v>250</v>
      </c>
      <c r="CLS47" s="58" t="s">
        <v>247</v>
      </c>
      <c r="CLT47" s="58" t="s">
        <v>248</v>
      </c>
      <c r="CLU47" s="58" t="s">
        <v>249</v>
      </c>
      <c r="CLV47" s="58" t="s">
        <v>250</v>
      </c>
      <c r="CLW47" s="58" t="s">
        <v>247</v>
      </c>
      <c r="CLX47" s="58" t="s">
        <v>248</v>
      </c>
      <c r="CLY47" s="58" t="s">
        <v>249</v>
      </c>
      <c r="CLZ47" s="58" t="s">
        <v>250</v>
      </c>
      <c r="CMA47" s="58" t="s">
        <v>247</v>
      </c>
      <c r="CMB47" s="58" t="s">
        <v>248</v>
      </c>
      <c r="CMC47" s="58" t="s">
        <v>249</v>
      </c>
      <c r="CMD47" s="58" t="s">
        <v>250</v>
      </c>
      <c r="CME47" s="58" t="s">
        <v>247</v>
      </c>
      <c r="CMF47" s="58" t="s">
        <v>248</v>
      </c>
      <c r="CMG47" s="58" t="s">
        <v>249</v>
      </c>
      <c r="CMH47" s="58" t="s">
        <v>250</v>
      </c>
      <c r="CMI47" s="58" t="s">
        <v>247</v>
      </c>
      <c r="CMJ47" s="58" t="s">
        <v>248</v>
      </c>
      <c r="CMK47" s="58" t="s">
        <v>249</v>
      </c>
      <c r="CML47" s="58" t="s">
        <v>250</v>
      </c>
      <c r="CMM47" s="58" t="s">
        <v>247</v>
      </c>
      <c r="CMN47" s="58" t="s">
        <v>248</v>
      </c>
      <c r="CMO47" s="58" t="s">
        <v>249</v>
      </c>
      <c r="CMP47" s="58" t="s">
        <v>250</v>
      </c>
      <c r="CMQ47" s="58" t="s">
        <v>247</v>
      </c>
      <c r="CMR47" s="58" t="s">
        <v>248</v>
      </c>
      <c r="CMS47" s="58" t="s">
        <v>249</v>
      </c>
      <c r="CMT47" s="58" t="s">
        <v>250</v>
      </c>
      <c r="CMU47" s="58" t="s">
        <v>247</v>
      </c>
      <c r="CMV47" s="58" t="s">
        <v>248</v>
      </c>
      <c r="CMW47" s="58" t="s">
        <v>249</v>
      </c>
      <c r="CMX47" s="58" t="s">
        <v>250</v>
      </c>
      <c r="CMY47" s="58" t="s">
        <v>247</v>
      </c>
      <c r="CMZ47" s="58" t="s">
        <v>248</v>
      </c>
      <c r="CNA47" s="58" t="s">
        <v>249</v>
      </c>
      <c r="CNB47" s="58" t="s">
        <v>250</v>
      </c>
      <c r="CNC47" s="58" t="s">
        <v>247</v>
      </c>
      <c r="CND47" s="58" t="s">
        <v>248</v>
      </c>
      <c r="CNE47" s="58" t="s">
        <v>249</v>
      </c>
      <c r="CNF47" s="58" t="s">
        <v>250</v>
      </c>
      <c r="CNG47" s="58" t="s">
        <v>247</v>
      </c>
      <c r="CNH47" s="58" t="s">
        <v>248</v>
      </c>
      <c r="CNI47" s="58" t="s">
        <v>249</v>
      </c>
      <c r="CNJ47" s="58" t="s">
        <v>250</v>
      </c>
      <c r="CNK47" s="58" t="s">
        <v>247</v>
      </c>
      <c r="CNL47" s="58" t="s">
        <v>248</v>
      </c>
      <c r="CNM47" s="58" t="s">
        <v>249</v>
      </c>
      <c r="CNN47" s="58" t="s">
        <v>250</v>
      </c>
      <c r="CNO47" s="58" t="s">
        <v>247</v>
      </c>
      <c r="CNP47" s="58" t="s">
        <v>248</v>
      </c>
      <c r="CNQ47" s="58" t="s">
        <v>249</v>
      </c>
      <c r="CNR47" s="58" t="s">
        <v>250</v>
      </c>
      <c r="CNS47" s="58" t="s">
        <v>247</v>
      </c>
      <c r="CNT47" s="58" t="s">
        <v>248</v>
      </c>
      <c r="CNU47" s="58" t="s">
        <v>249</v>
      </c>
      <c r="CNV47" s="58" t="s">
        <v>250</v>
      </c>
      <c r="CNW47" s="58" t="s">
        <v>247</v>
      </c>
      <c r="CNX47" s="58" t="s">
        <v>248</v>
      </c>
      <c r="CNY47" s="58" t="s">
        <v>249</v>
      </c>
      <c r="CNZ47" s="58" t="s">
        <v>250</v>
      </c>
      <c r="COA47" s="58" t="s">
        <v>247</v>
      </c>
      <c r="COB47" s="58" t="s">
        <v>248</v>
      </c>
      <c r="COC47" s="58" t="s">
        <v>249</v>
      </c>
      <c r="COD47" s="58" t="s">
        <v>250</v>
      </c>
      <c r="COE47" s="58" t="s">
        <v>247</v>
      </c>
      <c r="COF47" s="58" t="s">
        <v>248</v>
      </c>
      <c r="COG47" s="58" t="s">
        <v>249</v>
      </c>
      <c r="COH47" s="58" t="s">
        <v>250</v>
      </c>
      <c r="COI47" s="58" t="s">
        <v>247</v>
      </c>
      <c r="COJ47" s="58" t="s">
        <v>248</v>
      </c>
      <c r="COK47" s="58" t="s">
        <v>249</v>
      </c>
      <c r="COL47" s="58" t="s">
        <v>250</v>
      </c>
      <c r="COM47" s="58" t="s">
        <v>247</v>
      </c>
      <c r="CON47" s="58" t="s">
        <v>248</v>
      </c>
      <c r="COO47" s="58" t="s">
        <v>249</v>
      </c>
      <c r="COP47" s="58" t="s">
        <v>250</v>
      </c>
      <c r="COQ47" s="58" t="s">
        <v>247</v>
      </c>
      <c r="COR47" s="58" t="s">
        <v>248</v>
      </c>
      <c r="COS47" s="58" t="s">
        <v>249</v>
      </c>
      <c r="COT47" s="58" t="s">
        <v>250</v>
      </c>
      <c r="COU47" s="58" t="s">
        <v>247</v>
      </c>
      <c r="COV47" s="58" t="s">
        <v>248</v>
      </c>
      <c r="COW47" s="58" t="s">
        <v>249</v>
      </c>
      <c r="COX47" s="58" t="s">
        <v>250</v>
      </c>
      <c r="COY47" s="58" t="s">
        <v>247</v>
      </c>
      <c r="COZ47" s="58" t="s">
        <v>248</v>
      </c>
      <c r="CPA47" s="58" t="s">
        <v>249</v>
      </c>
      <c r="CPB47" s="58" t="s">
        <v>250</v>
      </c>
      <c r="CPC47" s="58" t="s">
        <v>247</v>
      </c>
      <c r="CPD47" s="58" t="s">
        <v>248</v>
      </c>
      <c r="CPE47" s="58" t="s">
        <v>249</v>
      </c>
      <c r="CPF47" s="58" t="s">
        <v>250</v>
      </c>
      <c r="CPG47" s="58" t="s">
        <v>247</v>
      </c>
      <c r="CPH47" s="58" t="s">
        <v>248</v>
      </c>
      <c r="CPI47" s="58" t="s">
        <v>249</v>
      </c>
      <c r="CPJ47" s="58" t="s">
        <v>250</v>
      </c>
      <c r="CPK47" s="58" t="s">
        <v>247</v>
      </c>
      <c r="CPL47" s="58" t="s">
        <v>248</v>
      </c>
      <c r="CPM47" s="58" t="s">
        <v>249</v>
      </c>
      <c r="CPN47" s="58" t="s">
        <v>250</v>
      </c>
      <c r="CPO47" s="58" t="s">
        <v>247</v>
      </c>
      <c r="CPP47" s="58" t="s">
        <v>248</v>
      </c>
      <c r="CPQ47" s="58" t="s">
        <v>249</v>
      </c>
      <c r="CPR47" s="58" t="s">
        <v>250</v>
      </c>
      <c r="CPS47" s="58" t="s">
        <v>247</v>
      </c>
      <c r="CPT47" s="58" t="s">
        <v>248</v>
      </c>
      <c r="CPU47" s="58" t="s">
        <v>249</v>
      </c>
      <c r="CPV47" s="58" t="s">
        <v>250</v>
      </c>
      <c r="CPW47" s="58" t="s">
        <v>247</v>
      </c>
      <c r="CPX47" s="58" t="s">
        <v>248</v>
      </c>
      <c r="CPY47" s="58" t="s">
        <v>249</v>
      </c>
      <c r="CPZ47" s="58" t="s">
        <v>250</v>
      </c>
      <c r="CQA47" s="58" t="s">
        <v>247</v>
      </c>
      <c r="CQB47" s="58" t="s">
        <v>248</v>
      </c>
      <c r="CQC47" s="58" t="s">
        <v>249</v>
      </c>
      <c r="CQD47" s="58" t="s">
        <v>250</v>
      </c>
      <c r="CQE47" s="58" t="s">
        <v>247</v>
      </c>
      <c r="CQF47" s="58" t="s">
        <v>248</v>
      </c>
      <c r="CQG47" s="58" t="s">
        <v>249</v>
      </c>
      <c r="CQH47" s="58" t="s">
        <v>250</v>
      </c>
      <c r="CQI47" s="58" t="s">
        <v>247</v>
      </c>
      <c r="CQJ47" s="58" t="s">
        <v>248</v>
      </c>
      <c r="CQK47" s="58" t="s">
        <v>249</v>
      </c>
      <c r="CQL47" s="58" t="s">
        <v>250</v>
      </c>
      <c r="CQM47" s="58" t="s">
        <v>247</v>
      </c>
      <c r="CQN47" s="58" t="s">
        <v>248</v>
      </c>
      <c r="CQO47" s="58" t="s">
        <v>249</v>
      </c>
      <c r="CQP47" s="58" t="s">
        <v>250</v>
      </c>
      <c r="CQQ47" s="58" t="s">
        <v>247</v>
      </c>
      <c r="CQR47" s="58" t="s">
        <v>248</v>
      </c>
      <c r="CQS47" s="58" t="s">
        <v>249</v>
      </c>
      <c r="CQT47" s="58" t="s">
        <v>250</v>
      </c>
      <c r="CQU47" s="58" t="s">
        <v>247</v>
      </c>
      <c r="CQV47" s="58" t="s">
        <v>248</v>
      </c>
      <c r="CQW47" s="58" t="s">
        <v>249</v>
      </c>
      <c r="CQX47" s="58" t="s">
        <v>250</v>
      </c>
      <c r="CQY47" s="58" t="s">
        <v>247</v>
      </c>
      <c r="CQZ47" s="58" t="s">
        <v>248</v>
      </c>
      <c r="CRA47" s="58" t="s">
        <v>249</v>
      </c>
      <c r="CRB47" s="58" t="s">
        <v>250</v>
      </c>
      <c r="CRC47" s="58" t="s">
        <v>247</v>
      </c>
      <c r="CRD47" s="58" t="s">
        <v>248</v>
      </c>
      <c r="CRE47" s="58" t="s">
        <v>249</v>
      </c>
      <c r="CRF47" s="58" t="s">
        <v>250</v>
      </c>
      <c r="CRG47" s="58" t="s">
        <v>247</v>
      </c>
      <c r="CRH47" s="58" t="s">
        <v>248</v>
      </c>
      <c r="CRI47" s="58" t="s">
        <v>249</v>
      </c>
      <c r="CRJ47" s="58" t="s">
        <v>250</v>
      </c>
      <c r="CRK47" s="58" t="s">
        <v>247</v>
      </c>
      <c r="CRL47" s="58" t="s">
        <v>248</v>
      </c>
      <c r="CRM47" s="58" t="s">
        <v>249</v>
      </c>
      <c r="CRN47" s="58" t="s">
        <v>250</v>
      </c>
      <c r="CRO47" s="58" t="s">
        <v>247</v>
      </c>
      <c r="CRP47" s="58" t="s">
        <v>248</v>
      </c>
      <c r="CRQ47" s="58" t="s">
        <v>249</v>
      </c>
      <c r="CRR47" s="58" t="s">
        <v>250</v>
      </c>
      <c r="CRS47" s="58" t="s">
        <v>247</v>
      </c>
      <c r="CRT47" s="58" t="s">
        <v>248</v>
      </c>
      <c r="CRU47" s="58" t="s">
        <v>249</v>
      </c>
      <c r="CRV47" s="58" t="s">
        <v>250</v>
      </c>
      <c r="CRW47" s="58" t="s">
        <v>247</v>
      </c>
      <c r="CRX47" s="58" t="s">
        <v>248</v>
      </c>
      <c r="CRY47" s="58" t="s">
        <v>249</v>
      </c>
      <c r="CRZ47" s="58" t="s">
        <v>250</v>
      </c>
      <c r="CSA47" s="58" t="s">
        <v>247</v>
      </c>
      <c r="CSB47" s="58" t="s">
        <v>248</v>
      </c>
      <c r="CSC47" s="58" t="s">
        <v>249</v>
      </c>
      <c r="CSD47" s="58" t="s">
        <v>250</v>
      </c>
      <c r="CSE47" s="58" t="s">
        <v>247</v>
      </c>
      <c r="CSF47" s="58" t="s">
        <v>248</v>
      </c>
      <c r="CSG47" s="58" t="s">
        <v>249</v>
      </c>
      <c r="CSH47" s="58" t="s">
        <v>250</v>
      </c>
      <c r="CSI47" s="58" t="s">
        <v>247</v>
      </c>
      <c r="CSJ47" s="58" t="s">
        <v>248</v>
      </c>
      <c r="CSK47" s="58" t="s">
        <v>249</v>
      </c>
      <c r="CSL47" s="58" t="s">
        <v>250</v>
      </c>
      <c r="CSM47" s="58" t="s">
        <v>247</v>
      </c>
      <c r="CSN47" s="58" t="s">
        <v>248</v>
      </c>
      <c r="CSO47" s="58" t="s">
        <v>249</v>
      </c>
      <c r="CSP47" s="58" t="s">
        <v>250</v>
      </c>
      <c r="CSQ47" s="58" t="s">
        <v>247</v>
      </c>
      <c r="CSR47" s="58" t="s">
        <v>248</v>
      </c>
      <c r="CSS47" s="58" t="s">
        <v>249</v>
      </c>
      <c r="CST47" s="58" t="s">
        <v>250</v>
      </c>
      <c r="CSU47" s="58" t="s">
        <v>247</v>
      </c>
      <c r="CSV47" s="58" t="s">
        <v>248</v>
      </c>
      <c r="CSW47" s="58" t="s">
        <v>249</v>
      </c>
      <c r="CSX47" s="58" t="s">
        <v>250</v>
      </c>
      <c r="CSY47" s="58" t="s">
        <v>247</v>
      </c>
      <c r="CSZ47" s="58" t="s">
        <v>248</v>
      </c>
      <c r="CTA47" s="58" t="s">
        <v>249</v>
      </c>
      <c r="CTB47" s="58" t="s">
        <v>250</v>
      </c>
      <c r="CTC47" s="58" t="s">
        <v>247</v>
      </c>
      <c r="CTD47" s="58" t="s">
        <v>248</v>
      </c>
      <c r="CTE47" s="58" t="s">
        <v>249</v>
      </c>
      <c r="CTF47" s="58" t="s">
        <v>250</v>
      </c>
      <c r="CTG47" s="58" t="s">
        <v>247</v>
      </c>
      <c r="CTH47" s="58" t="s">
        <v>248</v>
      </c>
      <c r="CTI47" s="58" t="s">
        <v>249</v>
      </c>
      <c r="CTJ47" s="58" t="s">
        <v>250</v>
      </c>
      <c r="CTK47" s="58" t="s">
        <v>247</v>
      </c>
      <c r="CTL47" s="58" t="s">
        <v>248</v>
      </c>
      <c r="CTM47" s="58" t="s">
        <v>249</v>
      </c>
      <c r="CTN47" s="58" t="s">
        <v>250</v>
      </c>
      <c r="CTO47" s="58" t="s">
        <v>247</v>
      </c>
      <c r="CTP47" s="58" t="s">
        <v>248</v>
      </c>
      <c r="CTQ47" s="58" t="s">
        <v>249</v>
      </c>
      <c r="CTR47" s="58" t="s">
        <v>250</v>
      </c>
      <c r="CTS47" s="58" t="s">
        <v>247</v>
      </c>
      <c r="CTT47" s="58" t="s">
        <v>248</v>
      </c>
      <c r="CTU47" s="58" t="s">
        <v>249</v>
      </c>
      <c r="CTV47" s="58" t="s">
        <v>250</v>
      </c>
      <c r="CTW47" s="58" t="s">
        <v>247</v>
      </c>
      <c r="CTX47" s="58" t="s">
        <v>248</v>
      </c>
      <c r="CTY47" s="58" t="s">
        <v>249</v>
      </c>
      <c r="CTZ47" s="58" t="s">
        <v>250</v>
      </c>
      <c r="CUA47" s="58" t="s">
        <v>247</v>
      </c>
      <c r="CUB47" s="58" t="s">
        <v>248</v>
      </c>
      <c r="CUC47" s="58" t="s">
        <v>249</v>
      </c>
      <c r="CUD47" s="58" t="s">
        <v>250</v>
      </c>
      <c r="CUE47" s="58" t="s">
        <v>247</v>
      </c>
      <c r="CUF47" s="58" t="s">
        <v>248</v>
      </c>
      <c r="CUG47" s="58" t="s">
        <v>249</v>
      </c>
      <c r="CUH47" s="58" t="s">
        <v>250</v>
      </c>
      <c r="CUI47" s="58" t="s">
        <v>247</v>
      </c>
      <c r="CUJ47" s="58" t="s">
        <v>248</v>
      </c>
      <c r="CUK47" s="58" t="s">
        <v>249</v>
      </c>
      <c r="CUL47" s="58" t="s">
        <v>250</v>
      </c>
      <c r="CUM47" s="58" t="s">
        <v>247</v>
      </c>
      <c r="CUN47" s="58" t="s">
        <v>248</v>
      </c>
      <c r="CUO47" s="58" t="s">
        <v>249</v>
      </c>
      <c r="CUP47" s="58" t="s">
        <v>250</v>
      </c>
      <c r="CUQ47" s="58" t="s">
        <v>247</v>
      </c>
      <c r="CUR47" s="58" t="s">
        <v>248</v>
      </c>
      <c r="CUS47" s="58" t="s">
        <v>249</v>
      </c>
      <c r="CUT47" s="58" t="s">
        <v>250</v>
      </c>
      <c r="CUU47" s="58" t="s">
        <v>247</v>
      </c>
      <c r="CUV47" s="58" t="s">
        <v>248</v>
      </c>
      <c r="CUW47" s="58" t="s">
        <v>249</v>
      </c>
      <c r="CUX47" s="58" t="s">
        <v>250</v>
      </c>
      <c r="CUY47" s="58" t="s">
        <v>247</v>
      </c>
      <c r="CUZ47" s="58" t="s">
        <v>248</v>
      </c>
      <c r="CVA47" s="58" t="s">
        <v>249</v>
      </c>
      <c r="CVB47" s="58" t="s">
        <v>250</v>
      </c>
      <c r="CVC47" s="58" t="s">
        <v>247</v>
      </c>
      <c r="CVD47" s="58" t="s">
        <v>248</v>
      </c>
      <c r="CVE47" s="58" t="s">
        <v>249</v>
      </c>
      <c r="CVF47" s="58" t="s">
        <v>250</v>
      </c>
      <c r="CVG47" s="58" t="s">
        <v>247</v>
      </c>
      <c r="CVH47" s="58" t="s">
        <v>248</v>
      </c>
      <c r="CVI47" s="58" t="s">
        <v>249</v>
      </c>
      <c r="CVJ47" s="58" t="s">
        <v>250</v>
      </c>
      <c r="CVK47" s="58" t="s">
        <v>247</v>
      </c>
      <c r="CVL47" s="58" t="s">
        <v>248</v>
      </c>
      <c r="CVM47" s="58" t="s">
        <v>249</v>
      </c>
      <c r="CVN47" s="58" t="s">
        <v>250</v>
      </c>
      <c r="CVO47" s="58" t="s">
        <v>247</v>
      </c>
      <c r="CVP47" s="58" t="s">
        <v>248</v>
      </c>
      <c r="CVQ47" s="58" t="s">
        <v>249</v>
      </c>
      <c r="CVR47" s="58" t="s">
        <v>250</v>
      </c>
      <c r="CVS47" s="58" t="s">
        <v>247</v>
      </c>
      <c r="CVT47" s="58" t="s">
        <v>248</v>
      </c>
      <c r="CVU47" s="58" t="s">
        <v>249</v>
      </c>
      <c r="CVV47" s="58" t="s">
        <v>250</v>
      </c>
      <c r="CVW47" s="58" t="s">
        <v>247</v>
      </c>
      <c r="CVX47" s="58" t="s">
        <v>248</v>
      </c>
      <c r="CVY47" s="58" t="s">
        <v>249</v>
      </c>
      <c r="CVZ47" s="58" t="s">
        <v>250</v>
      </c>
      <c r="CWA47" s="58" t="s">
        <v>247</v>
      </c>
      <c r="CWB47" s="58" t="s">
        <v>248</v>
      </c>
      <c r="CWC47" s="58" t="s">
        <v>249</v>
      </c>
      <c r="CWD47" s="58" t="s">
        <v>250</v>
      </c>
      <c r="CWE47" s="58" t="s">
        <v>247</v>
      </c>
      <c r="CWF47" s="58" t="s">
        <v>248</v>
      </c>
      <c r="CWG47" s="58" t="s">
        <v>249</v>
      </c>
      <c r="CWH47" s="58" t="s">
        <v>250</v>
      </c>
      <c r="CWI47" s="58" t="s">
        <v>247</v>
      </c>
      <c r="CWJ47" s="58" t="s">
        <v>248</v>
      </c>
      <c r="CWK47" s="58" t="s">
        <v>249</v>
      </c>
      <c r="CWL47" s="58" t="s">
        <v>250</v>
      </c>
      <c r="CWM47" s="58" t="s">
        <v>247</v>
      </c>
      <c r="CWN47" s="58" t="s">
        <v>248</v>
      </c>
      <c r="CWO47" s="58" t="s">
        <v>249</v>
      </c>
      <c r="CWP47" s="58" t="s">
        <v>250</v>
      </c>
      <c r="CWQ47" s="58" t="s">
        <v>247</v>
      </c>
      <c r="CWR47" s="58" t="s">
        <v>248</v>
      </c>
      <c r="CWS47" s="58" t="s">
        <v>249</v>
      </c>
      <c r="CWT47" s="58" t="s">
        <v>250</v>
      </c>
      <c r="CWU47" s="58" t="s">
        <v>247</v>
      </c>
      <c r="CWV47" s="58" t="s">
        <v>248</v>
      </c>
      <c r="CWW47" s="58" t="s">
        <v>249</v>
      </c>
      <c r="CWX47" s="58" t="s">
        <v>250</v>
      </c>
      <c r="CWY47" s="58" t="s">
        <v>247</v>
      </c>
      <c r="CWZ47" s="58" t="s">
        <v>248</v>
      </c>
      <c r="CXA47" s="58" t="s">
        <v>249</v>
      </c>
      <c r="CXB47" s="58" t="s">
        <v>250</v>
      </c>
      <c r="CXC47" s="58" t="s">
        <v>247</v>
      </c>
      <c r="CXD47" s="58" t="s">
        <v>248</v>
      </c>
      <c r="CXE47" s="58" t="s">
        <v>249</v>
      </c>
      <c r="CXF47" s="58" t="s">
        <v>250</v>
      </c>
      <c r="CXG47" s="58" t="s">
        <v>247</v>
      </c>
      <c r="CXH47" s="58" t="s">
        <v>248</v>
      </c>
      <c r="CXI47" s="58" t="s">
        <v>249</v>
      </c>
      <c r="CXJ47" s="58" t="s">
        <v>250</v>
      </c>
      <c r="CXK47" s="58" t="s">
        <v>247</v>
      </c>
      <c r="CXL47" s="58" t="s">
        <v>248</v>
      </c>
      <c r="CXM47" s="58" t="s">
        <v>249</v>
      </c>
      <c r="CXN47" s="58" t="s">
        <v>250</v>
      </c>
      <c r="CXO47" s="58" t="s">
        <v>247</v>
      </c>
      <c r="CXP47" s="58" t="s">
        <v>248</v>
      </c>
      <c r="CXQ47" s="58" t="s">
        <v>249</v>
      </c>
      <c r="CXR47" s="58" t="s">
        <v>250</v>
      </c>
      <c r="CXS47" s="58" t="s">
        <v>247</v>
      </c>
      <c r="CXT47" s="58" t="s">
        <v>248</v>
      </c>
      <c r="CXU47" s="58" t="s">
        <v>249</v>
      </c>
      <c r="CXV47" s="58" t="s">
        <v>250</v>
      </c>
      <c r="CXW47" s="58" t="s">
        <v>247</v>
      </c>
      <c r="CXX47" s="58" t="s">
        <v>248</v>
      </c>
      <c r="CXY47" s="58" t="s">
        <v>249</v>
      </c>
      <c r="CXZ47" s="58" t="s">
        <v>250</v>
      </c>
      <c r="CYA47" s="58" t="s">
        <v>247</v>
      </c>
      <c r="CYB47" s="58" t="s">
        <v>248</v>
      </c>
      <c r="CYC47" s="58" t="s">
        <v>249</v>
      </c>
      <c r="CYD47" s="58" t="s">
        <v>250</v>
      </c>
      <c r="CYE47" s="58" t="s">
        <v>247</v>
      </c>
      <c r="CYF47" s="58" t="s">
        <v>248</v>
      </c>
      <c r="CYG47" s="58" t="s">
        <v>249</v>
      </c>
      <c r="CYH47" s="58" t="s">
        <v>250</v>
      </c>
      <c r="CYI47" s="58" t="s">
        <v>247</v>
      </c>
      <c r="CYJ47" s="58" t="s">
        <v>248</v>
      </c>
      <c r="CYK47" s="58" t="s">
        <v>249</v>
      </c>
      <c r="CYL47" s="58" t="s">
        <v>250</v>
      </c>
      <c r="CYM47" s="58" t="s">
        <v>247</v>
      </c>
      <c r="CYN47" s="58" t="s">
        <v>248</v>
      </c>
      <c r="CYO47" s="58" t="s">
        <v>249</v>
      </c>
      <c r="CYP47" s="58" t="s">
        <v>250</v>
      </c>
      <c r="CYQ47" s="58" t="s">
        <v>247</v>
      </c>
      <c r="CYR47" s="58" t="s">
        <v>248</v>
      </c>
      <c r="CYS47" s="58" t="s">
        <v>249</v>
      </c>
      <c r="CYT47" s="58" t="s">
        <v>250</v>
      </c>
      <c r="CYU47" s="58" t="s">
        <v>247</v>
      </c>
      <c r="CYV47" s="58" t="s">
        <v>248</v>
      </c>
      <c r="CYW47" s="58" t="s">
        <v>249</v>
      </c>
      <c r="CYX47" s="58" t="s">
        <v>250</v>
      </c>
      <c r="CYY47" s="58" t="s">
        <v>247</v>
      </c>
      <c r="CYZ47" s="58" t="s">
        <v>248</v>
      </c>
      <c r="CZA47" s="58" t="s">
        <v>249</v>
      </c>
      <c r="CZB47" s="58" t="s">
        <v>250</v>
      </c>
      <c r="CZC47" s="58" t="s">
        <v>247</v>
      </c>
      <c r="CZD47" s="58" t="s">
        <v>248</v>
      </c>
      <c r="CZE47" s="58" t="s">
        <v>249</v>
      </c>
      <c r="CZF47" s="58" t="s">
        <v>250</v>
      </c>
      <c r="CZG47" s="58" t="s">
        <v>247</v>
      </c>
      <c r="CZH47" s="58" t="s">
        <v>248</v>
      </c>
      <c r="CZI47" s="58" t="s">
        <v>249</v>
      </c>
      <c r="CZJ47" s="58" t="s">
        <v>250</v>
      </c>
      <c r="CZK47" s="58" t="s">
        <v>247</v>
      </c>
      <c r="CZL47" s="58" t="s">
        <v>248</v>
      </c>
      <c r="CZM47" s="58" t="s">
        <v>249</v>
      </c>
      <c r="CZN47" s="58" t="s">
        <v>250</v>
      </c>
      <c r="CZO47" s="58" t="s">
        <v>247</v>
      </c>
      <c r="CZP47" s="58" t="s">
        <v>248</v>
      </c>
      <c r="CZQ47" s="58" t="s">
        <v>249</v>
      </c>
      <c r="CZR47" s="58" t="s">
        <v>250</v>
      </c>
      <c r="CZS47" s="58" t="s">
        <v>247</v>
      </c>
      <c r="CZT47" s="58" t="s">
        <v>248</v>
      </c>
      <c r="CZU47" s="58" t="s">
        <v>249</v>
      </c>
      <c r="CZV47" s="58" t="s">
        <v>250</v>
      </c>
      <c r="CZW47" s="58" t="s">
        <v>247</v>
      </c>
      <c r="CZX47" s="58" t="s">
        <v>248</v>
      </c>
      <c r="CZY47" s="58" t="s">
        <v>249</v>
      </c>
      <c r="CZZ47" s="58" t="s">
        <v>250</v>
      </c>
      <c r="DAA47" s="58" t="s">
        <v>247</v>
      </c>
      <c r="DAB47" s="58" t="s">
        <v>248</v>
      </c>
      <c r="DAC47" s="58" t="s">
        <v>249</v>
      </c>
      <c r="DAD47" s="58" t="s">
        <v>250</v>
      </c>
      <c r="DAE47" s="58" t="s">
        <v>247</v>
      </c>
      <c r="DAF47" s="58" t="s">
        <v>248</v>
      </c>
      <c r="DAG47" s="58" t="s">
        <v>249</v>
      </c>
      <c r="DAH47" s="58" t="s">
        <v>250</v>
      </c>
      <c r="DAI47" s="58" t="s">
        <v>247</v>
      </c>
      <c r="DAJ47" s="58" t="s">
        <v>248</v>
      </c>
      <c r="DAK47" s="58" t="s">
        <v>249</v>
      </c>
      <c r="DAL47" s="58" t="s">
        <v>250</v>
      </c>
      <c r="DAM47" s="58" t="s">
        <v>247</v>
      </c>
      <c r="DAN47" s="58" t="s">
        <v>248</v>
      </c>
      <c r="DAO47" s="58" t="s">
        <v>249</v>
      </c>
      <c r="DAP47" s="58" t="s">
        <v>250</v>
      </c>
      <c r="DAQ47" s="58" t="s">
        <v>247</v>
      </c>
      <c r="DAR47" s="58" t="s">
        <v>248</v>
      </c>
      <c r="DAS47" s="58" t="s">
        <v>249</v>
      </c>
      <c r="DAT47" s="58" t="s">
        <v>250</v>
      </c>
      <c r="DAU47" s="58" t="s">
        <v>247</v>
      </c>
      <c r="DAV47" s="58" t="s">
        <v>248</v>
      </c>
      <c r="DAW47" s="58" t="s">
        <v>249</v>
      </c>
      <c r="DAX47" s="58" t="s">
        <v>250</v>
      </c>
      <c r="DAY47" s="58" t="s">
        <v>247</v>
      </c>
      <c r="DAZ47" s="58" t="s">
        <v>248</v>
      </c>
      <c r="DBA47" s="58" t="s">
        <v>249</v>
      </c>
      <c r="DBB47" s="58" t="s">
        <v>250</v>
      </c>
      <c r="DBC47" s="58" t="s">
        <v>247</v>
      </c>
      <c r="DBD47" s="58" t="s">
        <v>248</v>
      </c>
      <c r="DBE47" s="58" t="s">
        <v>249</v>
      </c>
      <c r="DBF47" s="58" t="s">
        <v>250</v>
      </c>
      <c r="DBG47" s="58" t="s">
        <v>247</v>
      </c>
      <c r="DBH47" s="58" t="s">
        <v>248</v>
      </c>
      <c r="DBI47" s="58" t="s">
        <v>249</v>
      </c>
      <c r="DBJ47" s="58" t="s">
        <v>250</v>
      </c>
      <c r="DBK47" s="58" t="s">
        <v>247</v>
      </c>
      <c r="DBL47" s="58" t="s">
        <v>248</v>
      </c>
      <c r="DBM47" s="58" t="s">
        <v>249</v>
      </c>
      <c r="DBN47" s="58" t="s">
        <v>250</v>
      </c>
      <c r="DBO47" s="58" t="s">
        <v>247</v>
      </c>
      <c r="DBP47" s="58" t="s">
        <v>248</v>
      </c>
      <c r="DBQ47" s="58" t="s">
        <v>249</v>
      </c>
      <c r="DBR47" s="58" t="s">
        <v>250</v>
      </c>
      <c r="DBS47" s="58" t="s">
        <v>247</v>
      </c>
      <c r="DBT47" s="58" t="s">
        <v>248</v>
      </c>
      <c r="DBU47" s="58" t="s">
        <v>249</v>
      </c>
      <c r="DBV47" s="58" t="s">
        <v>250</v>
      </c>
      <c r="DBW47" s="58" t="s">
        <v>247</v>
      </c>
      <c r="DBX47" s="58" t="s">
        <v>248</v>
      </c>
      <c r="DBY47" s="58" t="s">
        <v>249</v>
      </c>
      <c r="DBZ47" s="58" t="s">
        <v>250</v>
      </c>
      <c r="DCA47" s="58" t="s">
        <v>247</v>
      </c>
      <c r="DCB47" s="58" t="s">
        <v>248</v>
      </c>
      <c r="DCC47" s="58" t="s">
        <v>249</v>
      </c>
      <c r="DCD47" s="58" t="s">
        <v>250</v>
      </c>
      <c r="DCE47" s="58" t="s">
        <v>247</v>
      </c>
      <c r="DCF47" s="58" t="s">
        <v>248</v>
      </c>
      <c r="DCG47" s="58" t="s">
        <v>249</v>
      </c>
      <c r="DCH47" s="58" t="s">
        <v>250</v>
      </c>
      <c r="DCI47" s="58" t="s">
        <v>247</v>
      </c>
      <c r="DCJ47" s="58" t="s">
        <v>248</v>
      </c>
      <c r="DCK47" s="58" t="s">
        <v>249</v>
      </c>
      <c r="DCL47" s="58" t="s">
        <v>250</v>
      </c>
      <c r="DCM47" s="58" t="s">
        <v>247</v>
      </c>
      <c r="DCN47" s="58" t="s">
        <v>248</v>
      </c>
      <c r="DCO47" s="58" t="s">
        <v>249</v>
      </c>
      <c r="DCP47" s="58" t="s">
        <v>250</v>
      </c>
      <c r="DCQ47" s="58" t="s">
        <v>247</v>
      </c>
      <c r="DCR47" s="58" t="s">
        <v>248</v>
      </c>
      <c r="DCS47" s="58" t="s">
        <v>249</v>
      </c>
      <c r="DCT47" s="58" t="s">
        <v>250</v>
      </c>
      <c r="DCU47" s="58" t="s">
        <v>247</v>
      </c>
      <c r="DCV47" s="58" t="s">
        <v>248</v>
      </c>
      <c r="DCW47" s="58" t="s">
        <v>249</v>
      </c>
      <c r="DCX47" s="58" t="s">
        <v>250</v>
      </c>
      <c r="DCY47" s="58" t="s">
        <v>247</v>
      </c>
      <c r="DCZ47" s="58" t="s">
        <v>248</v>
      </c>
      <c r="DDA47" s="58" t="s">
        <v>249</v>
      </c>
      <c r="DDB47" s="58" t="s">
        <v>250</v>
      </c>
      <c r="DDC47" s="58" t="s">
        <v>247</v>
      </c>
      <c r="DDD47" s="58" t="s">
        <v>248</v>
      </c>
      <c r="DDE47" s="58" t="s">
        <v>249</v>
      </c>
      <c r="DDF47" s="58" t="s">
        <v>250</v>
      </c>
      <c r="DDG47" s="58" t="s">
        <v>247</v>
      </c>
      <c r="DDH47" s="58" t="s">
        <v>248</v>
      </c>
      <c r="DDI47" s="58" t="s">
        <v>249</v>
      </c>
      <c r="DDJ47" s="58" t="s">
        <v>250</v>
      </c>
      <c r="DDK47" s="58" t="s">
        <v>247</v>
      </c>
      <c r="DDL47" s="58" t="s">
        <v>248</v>
      </c>
      <c r="DDM47" s="58" t="s">
        <v>249</v>
      </c>
      <c r="DDN47" s="58" t="s">
        <v>250</v>
      </c>
      <c r="DDO47" s="58" t="s">
        <v>247</v>
      </c>
      <c r="DDP47" s="58" t="s">
        <v>248</v>
      </c>
      <c r="DDQ47" s="58" t="s">
        <v>249</v>
      </c>
      <c r="DDR47" s="58" t="s">
        <v>250</v>
      </c>
      <c r="DDS47" s="58" t="s">
        <v>247</v>
      </c>
      <c r="DDT47" s="58" t="s">
        <v>248</v>
      </c>
      <c r="DDU47" s="58" t="s">
        <v>249</v>
      </c>
      <c r="DDV47" s="58" t="s">
        <v>250</v>
      </c>
      <c r="DDW47" s="58" t="s">
        <v>247</v>
      </c>
      <c r="DDX47" s="58" t="s">
        <v>248</v>
      </c>
      <c r="DDY47" s="58" t="s">
        <v>249</v>
      </c>
      <c r="DDZ47" s="58" t="s">
        <v>250</v>
      </c>
      <c r="DEA47" s="58" t="s">
        <v>247</v>
      </c>
      <c r="DEB47" s="58" t="s">
        <v>248</v>
      </c>
      <c r="DEC47" s="58" t="s">
        <v>249</v>
      </c>
      <c r="DED47" s="58" t="s">
        <v>250</v>
      </c>
      <c r="DEE47" s="58" t="s">
        <v>247</v>
      </c>
      <c r="DEF47" s="58" t="s">
        <v>248</v>
      </c>
      <c r="DEG47" s="58" t="s">
        <v>249</v>
      </c>
      <c r="DEH47" s="58" t="s">
        <v>250</v>
      </c>
      <c r="DEI47" s="58" t="s">
        <v>247</v>
      </c>
      <c r="DEJ47" s="58" t="s">
        <v>248</v>
      </c>
      <c r="DEK47" s="58" t="s">
        <v>249</v>
      </c>
      <c r="DEL47" s="58" t="s">
        <v>250</v>
      </c>
      <c r="DEM47" s="58" t="s">
        <v>247</v>
      </c>
      <c r="DEN47" s="58" t="s">
        <v>248</v>
      </c>
      <c r="DEO47" s="58" t="s">
        <v>249</v>
      </c>
      <c r="DEP47" s="58" t="s">
        <v>250</v>
      </c>
      <c r="DEQ47" s="58" t="s">
        <v>247</v>
      </c>
      <c r="DER47" s="58" t="s">
        <v>248</v>
      </c>
      <c r="DES47" s="58" t="s">
        <v>249</v>
      </c>
      <c r="DET47" s="58" t="s">
        <v>250</v>
      </c>
      <c r="DEU47" s="58" t="s">
        <v>247</v>
      </c>
      <c r="DEV47" s="58" t="s">
        <v>248</v>
      </c>
      <c r="DEW47" s="58" t="s">
        <v>249</v>
      </c>
      <c r="DEX47" s="58" t="s">
        <v>250</v>
      </c>
      <c r="DEY47" s="58" t="s">
        <v>247</v>
      </c>
      <c r="DEZ47" s="58" t="s">
        <v>248</v>
      </c>
      <c r="DFA47" s="58" t="s">
        <v>249</v>
      </c>
      <c r="DFB47" s="58" t="s">
        <v>250</v>
      </c>
      <c r="DFC47" s="58" t="s">
        <v>247</v>
      </c>
      <c r="DFD47" s="58" t="s">
        <v>248</v>
      </c>
      <c r="DFE47" s="58" t="s">
        <v>249</v>
      </c>
      <c r="DFF47" s="58" t="s">
        <v>250</v>
      </c>
      <c r="DFG47" s="58" t="s">
        <v>247</v>
      </c>
      <c r="DFH47" s="58" t="s">
        <v>248</v>
      </c>
      <c r="DFI47" s="58" t="s">
        <v>249</v>
      </c>
      <c r="DFJ47" s="58" t="s">
        <v>250</v>
      </c>
      <c r="DFK47" s="58" t="s">
        <v>247</v>
      </c>
      <c r="DFL47" s="58" t="s">
        <v>248</v>
      </c>
      <c r="DFM47" s="58" t="s">
        <v>249</v>
      </c>
      <c r="DFN47" s="58" t="s">
        <v>250</v>
      </c>
      <c r="DFO47" s="58" t="s">
        <v>247</v>
      </c>
      <c r="DFP47" s="58" t="s">
        <v>248</v>
      </c>
      <c r="DFQ47" s="58" t="s">
        <v>249</v>
      </c>
      <c r="DFR47" s="58" t="s">
        <v>250</v>
      </c>
      <c r="DFS47" s="58" t="s">
        <v>247</v>
      </c>
      <c r="DFT47" s="58" t="s">
        <v>248</v>
      </c>
      <c r="DFU47" s="58" t="s">
        <v>249</v>
      </c>
      <c r="DFV47" s="58" t="s">
        <v>250</v>
      </c>
      <c r="DFW47" s="58" t="s">
        <v>247</v>
      </c>
      <c r="DFX47" s="58" t="s">
        <v>248</v>
      </c>
      <c r="DFY47" s="58" t="s">
        <v>249</v>
      </c>
      <c r="DFZ47" s="58" t="s">
        <v>250</v>
      </c>
      <c r="DGA47" s="58" t="s">
        <v>247</v>
      </c>
      <c r="DGB47" s="58" t="s">
        <v>248</v>
      </c>
      <c r="DGC47" s="58" t="s">
        <v>249</v>
      </c>
      <c r="DGD47" s="58" t="s">
        <v>250</v>
      </c>
      <c r="DGE47" s="58" t="s">
        <v>247</v>
      </c>
      <c r="DGF47" s="58" t="s">
        <v>248</v>
      </c>
      <c r="DGG47" s="58" t="s">
        <v>249</v>
      </c>
      <c r="DGH47" s="58" t="s">
        <v>250</v>
      </c>
      <c r="DGI47" s="58" t="s">
        <v>247</v>
      </c>
      <c r="DGJ47" s="58" t="s">
        <v>248</v>
      </c>
      <c r="DGK47" s="58" t="s">
        <v>249</v>
      </c>
      <c r="DGL47" s="58" t="s">
        <v>250</v>
      </c>
      <c r="DGM47" s="58" t="s">
        <v>247</v>
      </c>
      <c r="DGN47" s="58" t="s">
        <v>248</v>
      </c>
      <c r="DGO47" s="58" t="s">
        <v>249</v>
      </c>
      <c r="DGP47" s="58" t="s">
        <v>250</v>
      </c>
      <c r="DGQ47" s="58" t="s">
        <v>247</v>
      </c>
      <c r="DGR47" s="58" t="s">
        <v>248</v>
      </c>
      <c r="DGS47" s="58" t="s">
        <v>249</v>
      </c>
      <c r="DGT47" s="58" t="s">
        <v>250</v>
      </c>
      <c r="DGU47" s="58" t="s">
        <v>247</v>
      </c>
      <c r="DGV47" s="58" t="s">
        <v>248</v>
      </c>
      <c r="DGW47" s="58" t="s">
        <v>249</v>
      </c>
      <c r="DGX47" s="58" t="s">
        <v>250</v>
      </c>
      <c r="DGY47" s="58" t="s">
        <v>247</v>
      </c>
      <c r="DGZ47" s="58" t="s">
        <v>248</v>
      </c>
      <c r="DHA47" s="58" t="s">
        <v>249</v>
      </c>
      <c r="DHB47" s="58" t="s">
        <v>250</v>
      </c>
      <c r="DHC47" s="58" t="s">
        <v>247</v>
      </c>
      <c r="DHD47" s="58" t="s">
        <v>248</v>
      </c>
      <c r="DHE47" s="58" t="s">
        <v>249</v>
      </c>
      <c r="DHF47" s="58" t="s">
        <v>250</v>
      </c>
      <c r="DHG47" s="58" t="s">
        <v>247</v>
      </c>
      <c r="DHH47" s="58" t="s">
        <v>248</v>
      </c>
      <c r="DHI47" s="58" t="s">
        <v>249</v>
      </c>
      <c r="DHJ47" s="58" t="s">
        <v>250</v>
      </c>
      <c r="DHK47" s="58" t="s">
        <v>247</v>
      </c>
      <c r="DHL47" s="58" t="s">
        <v>248</v>
      </c>
      <c r="DHM47" s="58" t="s">
        <v>249</v>
      </c>
      <c r="DHN47" s="58" t="s">
        <v>250</v>
      </c>
      <c r="DHO47" s="58" t="s">
        <v>247</v>
      </c>
      <c r="DHP47" s="58" t="s">
        <v>248</v>
      </c>
      <c r="DHQ47" s="58" t="s">
        <v>249</v>
      </c>
      <c r="DHR47" s="58" t="s">
        <v>250</v>
      </c>
      <c r="DHS47" s="58" t="s">
        <v>247</v>
      </c>
      <c r="DHT47" s="58" t="s">
        <v>248</v>
      </c>
      <c r="DHU47" s="58" t="s">
        <v>249</v>
      </c>
      <c r="DHV47" s="58" t="s">
        <v>250</v>
      </c>
      <c r="DHW47" s="58" t="s">
        <v>247</v>
      </c>
      <c r="DHX47" s="58" t="s">
        <v>248</v>
      </c>
      <c r="DHY47" s="58" t="s">
        <v>249</v>
      </c>
      <c r="DHZ47" s="58" t="s">
        <v>250</v>
      </c>
      <c r="DIA47" s="58" t="s">
        <v>247</v>
      </c>
      <c r="DIB47" s="58" t="s">
        <v>248</v>
      </c>
      <c r="DIC47" s="58" t="s">
        <v>249</v>
      </c>
      <c r="DID47" s="58" t="s">
        <v>250</v>
      </c>
      <c r="DIE47" s="58" t="s">
        <v>247</v>
      </c>
      <c r="DIF47" s="58" t="s">
        <v>248</v>
      </c>
      <c r="DIG47" s="58" t="s">
        <v>249</v>
      </c>
      <c r="DIH47" s="58" t="s">
        <v>250</v>
      </c>
      <c r="DII47" s="58" t="s">
        <v>247</v>
      </c>
      <c r="DIJ47" s="58" t="s">
        <v>248</v>
      </c>
      <c r="DIK47" s="58" t="s">
        <v>249</v>
      </c>
      <c r="DIL47" s="58" t="s">
        <v>250</v>
      </c>
      <c r="DIM47" s="58" t="s">
        <v>247</v>
      </c>
      <c r="DIN47" s="58" t="s">
        <v>248</v>
      </c>
      <c r="DIO47" s="58" t="s">
        <v>249</v>
      </c>
      <c r="DIP47" s="58" t="s">
        <v>250</v>
      </c>
      <c r="DIQ47" s="58" t="s">
        <v>247</v>
      </c>
      <c r="DIR47" s="58" t="s">
        <v>248</v>
      </c>
      <c r="DIS47" s="58" t="s">
        <v>249</v>
      </c>
      <c r="DIT47" s="58" t="s">
        <v>250</v>
      </c>
      <c r="DIU47" s="58" t="s">
        <v>247</v>
      </c>
      <c r="DIV47" s="58" t="s">
        <v>248</v>
      </c>
      <c r="DIW47" s="58" t="s">
        <v>249</v>
      </c>
      <c r="DIX47" s="58" t="s">
        <v>250</v>
      </c>
      <c r="DIY47" s="58" t="s">
        <v>247</v>
      </c>
      <c r="DIZ47" s="58" t="s">
        <v>248</v>
      </c>
      <c r="DJA47" s="58" t="s">
        <v>249</v>
      </c>
      <c r="DJB47" s="58" t="s">
        <v>250</v>
      </c>
      <c r="DJC47" s="58" t="s">
        <v>247</v>
      </c>
      <c r="DJD47" s="58" t="s">
        <v>248</v>
      </c>
      <c r="DJE47" s="58" t="s">
        <v>249</v>
      </c>
      <c r="DJF47" s="58" t="s">
        <v>250</v>
      </c>
      <c r="DJG47" s="58" t="s">
        <v>247</v>
      </c>
      <c r="DJH47" s="58" t="s">
        <v>248</v>
      </c>
      <c r="DJI47" s="58" t="s">
        <v>249</v>
      </c>
      <c r="DJJ47" s="58" t="s">
        <v>250</v>
      </c>
      <c r="DJK47" s="58" t="s">
        <v>247</v>
      </c>
      <c r="DJL47" s="58" t="s">
        <v>248</v>
      </c>
      <c r="DJM47" s="58" t="s">
        <v>249</v>
      </c>
      <c r="DJN47" s="58" t="s">
        <v>250</v>
      </c>
      <c r="DJO47" s="58" t="s">
        <v>247</v>
      </c>
      <c r="DJP47" s="58" t="s">
        <v>248</v>
      </c>
      <c r="DJQ47" s="58" t="s">
        <v>249</v>
      </c>
      <c r="DJR47" s="58" t="s">
        <v>250</v>
      </c>
      <c r="DJS47" s="58" t="s">
        <v>247</v>
      </c>
      <c r="DJT47" s="58" t="s">
        <v>248</v>
      </c>
      <c r="DJU47" s="58" t="s">
        <v>249</v>
      </c>
      <c r="DJV47" s="58" t="s">
        <v>250</v>
      </c>
      <c r="DJW47" s="58" t="s">
        <v>247</v>
      </c>
      <c r="DJX47" s="58" t="s">
        <v>248</v>
      </c>
      <c r="DJY47" s="58" t="s">
        <v>249</v>
      </c>
      <c r="DJZ47" s="58" t="s">
        <v>250</v>
      </c>
      <c r="DKA47" s="58" t="s">
        <v>247</v>
      </c>
      <c r="DKB47" s="58" t="s">
        <v>248</v>
      </c>
      <c r="DKC47" s="58" t="s">
        <v>249</v>
      </c>
      <c r="DKD47" s="58" t="s">
        <v>250</v>
      </c>
      <c r="DKE47" s="58" t="s">
        <v>247</v>
      </c>
      <c r="DKF47" s="58" t="s">
        <v>248</v>
      </c>
      <c r="DKG47" s="58" t="s">
        <v>249</v>
      </c>
      <c r="DKH47" s="58" t="s">
        <v>250</v>
      </c>
      <c r="DKI47" s="58" t="s">
        <v>247</v>
      </c>
      <c r="DKJ47" s="58" t="s">
        <v>248</v>
      </c>
      <c r="DKK47" s="58" t="s">
        <v>249</v>
      </c>
      <c r="DKL47" s="58" t="s">
        <v>250</v>
      </c>
      <c r="DKM47" s="58" t="s">
        <v>247</v>
      </c>
      <c r="DKN47" s="58" t="s">
        <v>248</v>
      </c>
      <c r="DKO47" s="58" t="s">
        <v>249</v>
      </c>
      <c r="DKP47" s="58" t="s">
        <v>250</v>
      </c>
      <c r="DKQ47" s="58" t="s">
        <v>247</v>
      </c>
      <c r="DKR47" s="58" t="s">
        <v>248</v>
      </c>
      <c r="DKS47" s="58" t="s">
        <v>249</v>
      </c>
      <c r="DKT47" s="58" t="s">
        <v>250</v>
      </c>
      <c r="DKU47" s="58" t="s">
        <v>247</v>
      </c>
      <c r="DKV47" s="58" t="s">
        <v>248</v>
      </c>
      <c r="DKW47" s="58" t="s">
        <v>249</v>
      </c>
      <c r="DKX47" s="58" t="s">
        <v>250</v>
      </c>
      <c r="DKY47" s="58" t="s">
        <v>247</v>
      </c>
      <c r="DKZ47" s="58" t="s">
        <v>248</v>
      </c>
      <c r="DLA47" s="58" t="s">
        <v>249</v>
      </c>
      <c r="DLB47" s="58" t="s">
        <v>250</v>
      </c>
      <c r="DLC47" s="58" t="s">
        <v>247</v>
      </c>
      <c r="DLD47" s="58" t="s">
        <v>248</v>
      </c>
      <c r="DLE47" s="58" t="s">
        <v>249</v>
      </c>
      <c r="DLF47" s="58" t="s">
        <v>250</v>
      </c>
      <c r="DLG47" s="58" t="s">
        <v>247</v>
      </c>
      <c r="DLH47" s="58" t="s">
        <v>248</v>
      </c>
      <c r="DLI47" s="58" t="s">
        <v>249</v>
      </c>
      <c r="DLJ47" s="58" t="s">
        <v>250</v>
      </c>
      <c r="DLK47" s="58" t="s">
        <v>247</v>
      </c>
      <c r="DLL47" s="58" t="s">
        <v>248</v>
      </c>
      <c r="DLM47" s="58" t="s">
        <v>249</v>
      </c>
      <c r="DLN47" s="58" t="s">
        <v>250</v>
      </c>
      <c r="DLO47" s="58" t="s">
        <v>247</v>
      </c>
      <c r="DLP47" s="58" t="s">
        <v>248</v>
      </c>
      <c r="DLQ47" s="58" t="s">
        <v>249</v>
      </c>
      <c r="DLR47" s="58" t="s">
        <v>250</v>
      </c>
      <c r="DLS47" s="58" t="s">
        <v>247</v>
      </c>
      <c r="DLT47" s="58" t="s">
        <v>248</v>
      </c>
      <c r="DLU47" s="58" t="s">
        <v>249</v>
      </c>
      <c r="DLV47" s="58" t="s">
        <v>250</v>
      </c>
      <c r="DLW47" s="58" t="s">
        <v>247</v>
      </c>
      <c r="DLX47" s="58" t="s">
        <v>248</v>
      </c>
      <c r="DLY47" s="58" t="s">
        <v>249</v>
      </c>
      <c r="DLZ47" s="58" t="s">
        <v>250</v>
      </c>
      <c r="DMA47" s="58" t="s">
        <v>247</v>
      </c>
      <c r="DMB47" s="58" t="s">
        <v>248</v>
      </c>
      <c r="DMC47" s="58" t="s">
        <v>249</v>
      </c>
      <c r="DMD47" s="58" t="s">
        <v>250</v>
      </c>
      <c r="DME47" s="58" t="s">
        <v>247</v>
      </c>
      <c r="DMF47" s="58" t="s">
        <v>248</v>
      </c>
      <c r="DMG47" s="58" t="s">
        <v>249</v>
      </c>
      <c r="DMH47" s="58" t="s">
        <v>250</v>
      </c>
      <c r="DMI47" s="58" t="s">
        <v>247</v>
      </c>
      <c r="DMJ47" s="58" t="s">
        <v>248</v>
      </c>
      <c r="DMK47" s="58" t="s">
        <v>249</v>
      </c>
      <c r="DML47" s="58" t="s">
        <v>250</v>
      </c>
      <c r="DMM47" s="58" t="s">
        <v>247</v>
      </c>
      <c r="DMN47" s="58" t="s">
        <v>248</v>
      </c>
      <c r="DMO47" s="58" t="s">
        <v>249</v>
      </c>
      <c r="DMP47" s="58" t="s">
        <v>250</v>
      </c>
      <c r="DMQ47" s="58" t="s">
        <v>247</v>
      </c>
      <c r="DMR47" s="58" t="s">
        <v>248</v>
      </c>
      <c r="DMS47" s="58" t="s">
        <v>249</v>
      </c>
      <c r="DMT47" s="58" t="s">
        <v>250</v>
      </c>
      <c r="DMU47" s="58" t="s">
        <v>247</v>
      </c>
      <c r="DMV47" s="58" t="s">
        <v>248</v>
      </c>
      <c r="DMW47" s="58" t="s">
        <v>249</v>
      </c>
      <c r="DMX47" s="58" t="s">
        <v>250</v>
      </c>
      <c r="DMY47" s="58" t="s">
        <v>247</v>
      </c>
      <c r="DMZ47" s="58" t="s">
        <v>248</v>
      </c>
      <c r="DNA47" s="58" t="s">
        <v>249</v>
      </c>
      <c r="DNB47" s="58" t="s">
        <v>250</v>
      </c>
      <c r="DNC47" s="58" t="s">
        <v>247</v>
      </c>
      <c r="DND47" s="58" t="s">
        <v>248</v>
      </c>
      <c r="DNE47" s="58" t="s">
        <v>249</v>
      </c>
      <c r="DNF47" s="58" t="s">
        <v>250</v>
      </c>
      <c r="DNG47" s="58" t="s">
        <v>247</v>
      </c>
      <c r="DNH47" s="58" t="s">
        <v>248</v>
      </c>
      <c r="DNI47" s="58" t="s">
        <v>249</v>
      </c>
      <c r="DNJ47" s="58" t="s">
        <v>250</v>
      </c>
      <c r="DNK47" s="58" t="s">
        <v>247</v>
      </c>
      <c r="DNL47" s="58" t="s">
        <v>248</v>
      </c>
      <c r="DNM47" s="58" t="s">
        <v>249</v>
      </c>
      <c r="DNN47" s="58" t="s">
        <v>250</v>
      </c>
      <c r="DNO47" s="58" t="s">
        <v>247</v>
      </c>
      <c r="DNP47" s="58" t="s">
        <v>248</v>
      </c>
      <c r="DNQ47" s="58" t="s">
        <v>249</v>
      </c>
      <c r="DNR47" s="58" t="s">
        <v>250</v>
      </c>
      <c r="DNS47" s="58" t="s">
        <v>247</v>
      </c>
      <c r="DNT47" s="58" t="s">
        <v>248</v>
      </c>
      <c r="DNU47" s="58" t="s">
        <v>249</v>
      </c>
      <c r="DNV47" s="58" t="s">
        <v>250</v>
      </c>
      <c r="DNW47" s="58" t="s">
        <v>247</v>
      </c>
      <c r="DNX47" s="58" t="s">
        <v>248</v>
      </c>
      <c r="DNY47" s="58" t="s">
        <v>249</v>
      </c>
      <c r="DNZ47" s="58" t="s">
        <v>250</v>
      </c>
      <c r="DOA47" s="58" t="s">
        <v>247</v>
      </c>
      <c r="DOB47" s="58" t="s">
        <v>248</v>
      </c>
      <c r="DOC47" s="58" t="s">
        <v>249</v>
      </c>
      <c r="DOD47" s="58" t="s">
        <v>250</v>
      </c>
      <c r="DOE47" s="58" t="s">
        <v>247</v>
      </c>
      <c r="DOF47" s="58" t="s">
        <v>248</v>
      </c>
      <c r="DOG47" s="58" t="s">
        <v>249</v>
      </c>
      <c r="DOH47" s="58" t="s">
        <v>250</v>
      </c>
      <c r="DOI47" s="58" t="s">
        <v>247</v>
      </c>
      <c r="DOJ47" s="58" t="s">
        <v>248</v>
      </c>
      <c r="DOK47" s="58" t="s">
        <v>249</v>
      </c>
      <c r="DOL47" s="58" t="s">
        <v>250</v>
      </c>
      <c r="DOM47" s="58" t="s">
        <v>247</v>
      </c>
      <c r="DON47" s="58" t="s">
        <v>248</v>
      </c>
      <c r="DOO47" s="58" t="s">
        <v>249</v>
      </c>
      <c r="DOP47" s="58" t="s">
        <v>250</v>
      </c>
      <c r="DOQ47" s="58" t="s">
        <v>247</v>
      </c>
      <c r="DOR47" s="58" t="s">
        <v>248</v>
      </c>
      <c r="DOS47" s="58" t="s">
        <v>249</v>
      </c>
      <c r="DOT47" s="58" t="s">
        <v>250</v>
      </c>
      <c r="DOU47" s="58" t="s">
        <v>247</v>
      </c>
      <c r="DOV47" s="58" t="s">
        <v>248</v>
      </c>
      <c r="DOW47" s="58" t="s">
        <v>249</v>
      </c>
      <c r="DOX47" s="58" t="s">
        <v>250</v>
      </c>
      <c r="DOY47" s="58" t="s">
        <v>247</v>
      </c>
      <c r="DOZ47" s="58" t="s">
        <v>248</v>
      </c>
      <c r="DPA47" s="58" t="s">
        <v>249</v>
      </c>
      <c r="DPB47" s="58" t="s">
        <v>250</v>
      </c>
      <c r="DPC47" s="58" t="s">
        <v>247</v>
      </c>
      <c r="DPD47" s="58" t="s">
        <v>248</v>
      </c>
      <c r="DPE47" s="58" t="s">
        <v>249</v>
      </c>
      <c r="DPF47" s="58" t="s">
        <v>250</v>
      </c>
      <c r="DPG47" s="58" t="s">
        <v>247</v>
      </c>
      <c r="DPH47" s="58" t="s">
        <v>248</v>
      </c>
      <c r="DPI47" s="58" t="s">
        <v>249</v>
      </c>
      <c r="DPJ47" s="58" t="s">
        <v>250</v>
      </c>
      <c r="DPK47" s="58" t="s">
        <v>247</v>
      </c>
      <c r="DPL47" s="58" t="s">
        <v>248</v>
      </c>
      <c r="DPM47" s="58" t="s">
        <v>249</v>
      </c>
      <c r="DPN47" s="58" t="s">
        <v>250</v>
      </c>
      <c r="DPO47" s="58" t="s">
        <v>247</v>
      </c>
      <c r="DPP47" s="58" t="s">
        <v>248</v>
      </c>
      <c r="DPQ47" s="58" t="s">
        <v>249</v>
      </c>
      <c r="DPR47" s="58" t="s">
        <v>250</v>
      </c>
      <c r="DPS47" s="58" t="s">
        <v>247</v>
      </c>
      <c r="DPT47" s="58" t="s">
        <v>248</v>
      </c>
      <c r="DPU47" s="58" t="s">
        <v>249</v>
      </c>
      <c r="DPV47" s="58" t="s">
        <v>250</v>
      </c>
      <c r="DPW47" s="58" t="s">
        <v>247</v>
      </c>
      <c r="DPX47" s="58" t="s">
        <v>248</v>
      </c>
      <c r="DPY47" s="58" t="s">
        <v>249</v>
      </c>
      <c r="DPZ47" s="58" t="s">
        <v>250</v>
      </c>
      <c r="DQA47" s="58" t="s">
        <v>247</v>
      </c>
      <c r="DQB47" s="58" t="s">
        <v>248</v>
      </c>
      <c r="DQC47" s="58" t="s">
        <v>249</v>
      </c>
      <c r="DQD47" s="58" t="s">
        <v>250</v>
      </c>
      <c r="DQE47" s="58" t="s">
        <v>247</v>
      </c>
      <c r="DQF47" s="58" t="s">
        <v>248</v>
      </c>
      <c r="DQG47" s="58" t="s">
        <v>249</v>
      </c>
      <c r="DQH47" s="58" t="s">
        <v>250</v>
      </c>
      <c r="DQI47" s="58" t="s">
        <v>247</v>
      </c>
      <c r="DQJ47" s="58" t="s">
        <v>248</v>
      </c>
      <c r="DQK47" s="58" t="s">
        <v>249</v>
      </c>
      <c r="DQL47" s="58" t="s">
        <v>250</v>
      </c>
      <c r="DQM47" s="58" t="s">
        <v>247</v>
      </c>
      <c r="DQN47" s="58" t="s">
        <v>248</v>
      </c>
      <c r="DQO47" s="58" t="s">
        <v>249</v>
      </c>
      <c r="DQP47" s="58" t="s">
        <v>250</v>
      </c>
      <c r="DQQ47" s="58" t="s">
        <v>247</v>
      </c>
      <c r="DQR47" s="58" t="s">
        <v>248</v>
      </c>
      <c r="DQS47" s="58" t="s">
        <v>249</v>
      </c>
      <c r="DQT47" s="58" t="s">
        <v>250</v>
      </c>
      <c r="DQU47" s="58" t="s">
        <v>247</v>
      </c>
      <c r="DQV47" s="58" t="s">
        <v>248</v>
      </c>
      <c r="DQW47" s="58" t="s">
        <v>249</v>
      </c>
      <c r="DQX47" s="58" t="s">
        <v>250</v>
      </c>
      <c r="DQY47" s="58" t="s">
        <v>247</v>
      </c>
      <c r="DQZ47" s="58" t="s">
        <v>248</v>
      </c>
      <c r="DRA47" s="58" t="s">
        <v>249</v>
      </c>
      <c r="DRB47" s="58" t="s">
        <v>250</v>
      </c>
      <c r="DRC47" s="58" t="s">
        <v>247</v>
      </c>
      <c r="DRD47" s="58" t="s">
        <v>248</v>
      </c>
      <c r="DRE47" s="58" t="s">
        <v>249</v>
      </c>
      <c r="DRF47" s="58" t="s">
        <v>250</v>
      </c>
      <c r="DRG47" s="58" t="s">
        <v>247</v>
      </c>
      <c r="DRH47" s="58" t="s">
        <v>248</v>
      </c>
      <c r="DRI47" s="58" t="s">
        <v>249</v>
      </c>
      <c r="DRJ47" s="58" t="s">
        <v>250</v>
      </c>
      <c r="DRK47" s="58" t="s">
        <v>247</v>
      </c>
      <c r="DRL47" s="58" t="s">
        <v>248</v>
      </c>
      <c r="DRM47" s="58" t="s">
        <v>249</v>
      </c>
      <c r="DRN47" s="58" t="s">
        <v>250</v>
      </c>
      <c r="DRO47" s="58" t="s">
        <v>247</v>
      </c>
      <c r="DRP47" s="58" t="s">
        <v>248</v>
      </c>
      <c r="DRQ47" s="58" t="s">
        <v>249</v>
      </c>
      <c r="DRR47" s="58" t="s">
        <v>250</v>
      </c>
      <c r="DRS47" s="58" t="s">
        <v>247</v>
      </c>
      <c r="DRT47" s="58" t="s">
        <v>248</v>
      </c>
      <c r="DRU47" s="58" t="s">
        <v>249</v>
      </c>
      <c r="DRV47" s="58" t="s">
        <v>250</v>
      </c>
      <c r="DRW47" s="58" t="s">
        <v>247</v>
      </c>
      <c r="DRX47" s="58" t="s">
        <v>248</v>
      </c>
      <c r="DRY47" s="58" t="s">
        <v>249</v>
      </c>
      <c r="DRZ47" s="58" t="s">
        <v>250</v>
      </c>
      <c r="DSA47" s="58" t="s">
        <v>247</v>
      </c>
      <c r="DSB47" s="58" t="s">
        <v>248</v>
      </c>
      <c r="DSC47" s="58" t="s">
        <v>249</v>
      </c>
      <c r="DSD47" s="58" t="s">
        <v>250</v>
      </c>
      <c r="DSE47" s="58" t="s">
        <v>247</v>
      </c>
      <c r="DSF47" s="58" t="s">
        <v>248</v>
      </c>
      <c r="DSG47" s="58" t="s">
        <v>249</v>
      </c>
      <c r="DSH47" s="58" t="s">
        <v>250</v>
      </c>
      <c r="DSI47" s="58" t="s">
        <v>247</v>
      </c>
      <c r="DSJ47" s="58" t="s">
        <v>248</v>
      </c>
      <c r="DSK47" s="58" t="s">
        <v>249</v>
      </c>
      <c r="DSL47" s="58" t="s">
        <v>250</v>
      </c>
      <c r="DSM47" s="58" t="s">
        <v>247</v>
      </c>
      <c r="DSN47" s="58" t="s">
        <v>248</v>
      </c>
      <c r="DSO47" s="58" t="s">
        <v>249</v>
      </c>
      <c r="DSP47" s="58" t="s">
        <v>250</v>
      </c>
      <c r="DSQ47" s="58" t="s">
        <v>247</v>
      </c>
      <c r="DSR47" s="58" t="s">
        <v>248</v>
      </c>
      <c r="DSS47" s="58" t="s">
        <v>249</v>
      </c>
      <c r="DST47" s="58" t="s">
        <v>250</v>
      </c>
      <c r="DSU47" s="58" t="s">
        <v>247</v>
      </c>
      <c r="DSV47" s="58" t="s">
        <v>248</v>
      </c>
      <c r="DSW47" s="58" t="s">
        <v>249</v>
      </c>
      <c r="DSX47" s="58" t="s">
        <v>250</v>
      </c>
      <c r="DSY47" s="58" t="s">
        <v>247</v>
      </c>
      <c r="DSZ47" s="58" t="s">
        <v>248</v>
      </c>
      <c r="DTA47" s="58" t="s">
        <v>249</v>
      </c>
      <c r="DTB47" s="58" t="s">
        <v>250</v>
      </c>
      <c r="DTC47" s="58" t="s">
        <v>247</v>
      </c>
      <c r="DTD47" s="58" t="s">
        <v>248</v>
      </c>
      <c r="DTE47" s="58" t="s">
        <v>249</v>
      </c>
      <c r="DTF47" s="58" t="s">
        <v>250</v>
      </c>
      <c r="DTG47" s="58" t="s">
        <v>247</v>
      </c>
      <c r="DTH47" s="58" t="s">
        <v>248</v>
      </c>
      <c r="DTI47" s="58" t="s">
        <v>249</v>
      </c>
      <c r="DTJ47" s="58" t="s">
        <v>250</v>
      </c>
      <c r="DTK47" s="58" t="s">
        <v>247</v>
      </c>
      <c r="DTL47" s="58" t="s">
        <v>248</v>
      </c>
      <c r="DTM47" s="58" t="s">
        <v>249</v>
      </c>
      <c r="DTN47" s="58" t="s">
        <v>250</v>
      </c>
      <c r="DTO47" s="58" t="s">
        <v>247</v>
      </c>
      <c r="DTP47" s="58" t="s">
        <v>248</v>
      </c>
      <c r="DTQ47" s="58" t="s">
        <v>249</v>
      </c>
      <c r="DTR47" s="58" t="s">
        <v>250</v>
      </c>
      <c r="DTS47" s="58" t="s">
        <v>247</v>
      </c>
      <c r="DTT47" s="58" t="s">
        <v>248</v>
      </c>
      <c r="DTU47" s="58" t="s">
        <v>249</v>
      </c>
      <c r="DTV47" s="58" t="s">
        <v>250</v>
      </c>
      <c r="DTW47" s="58" t="s">
        <v>247</v>
      </c>
      <c r="DTX47" s="58" t="s">
        <v>248</v>
      </c>
      <c r="DTY47" s="58" t="s">
        <v>249</v>
      </c>
      <c r="DTZ47" s="58" t="s">
        <v>250</v>
      </c>
      <c r="DUA47" s="58" t="s">
        <v>247</v>
      </c>
      <c r="DUB47" s="58" t="s">
        <v>248</v>
      </c>
      <c r="DUC47" s="58" t="s">
        <v>249</v>
      </c>
      <c r="DUD47" s="58" t="s">
        <v>250</v>
      </c>
      <c r="DUE47" s="58" t="s">
        <v>247</v>
      </c>
      <c r="DUF47" s="58" t="s">
        <v>248</v>
      </c>
      <c r="DUG47" s="58" t="s">
        <v>249</v>
      </c>
      <c r="DUH47" s="58" t="s">
        <v>250</v>
      </c>
      <c r="DUI47" s="58" t="s">
        <v>247</v>
      </c>
      <c r="DUJ47" s="58" t="s">
        <v>248</v>
      </c>
      <c r="DUK47" s="58" t="s">
        <v>249</v>
      </c>
      <c r="DUL47" s="58" t="s">
        <v>250</v>
      </c>
      <c r="DUM47" s="58" t="s">
        <v>247</v>
      </c>
      <c r="DUN47" s="58" t="s">
        <v>248</v>
      </c>
      <c r="DUO47" s="58" t="s">
        <v>249</v>
      </c>
      <c r="DUP47" s="58" t="s">
        <v>250</v>
      </c>
      <c r="DUQ47" s="58" t="s">
        <v>247</v>
      </c>
      <c r="DUR47" s="58" t="s">
        <v>248</v>
      </c>
      <c r="DUS47" s="58" t="s">
        <v>249</v>
      </c>
      <c r="DUT47" s="58" t="s">
        <v>250</v>
      </c>
      <c r="DUU47" s="58" t="s">
        <v>247</v>
      </c>
      <c r="DUV47" s="58" t="s">
        <v>248</v>
      </c>
      <c r="DUW47" s="58" t="s">
        <v>249</v>
      </c>
      <c r="DUX47" s="58" t="s">
        <v>250</v>
      </c>
      <c r="DUY47" s="58" t="s">
        <v>247</v>
      </c>
      <c r="DUZ47" s="58" t="s">
        <v>248</v>
      </c>
      <c r="DVA47" s="58" t="s">
        <v>249</v>
      </c>
      <c r="DVB47" s="58" t="s">
        <v>250</v>
      </c>
      <c r="DVC47" s="58" t="s">
        <v>247</v>
      </c>
      <c r="DVD47" s="58" t="s">
        <v>248</v>
      </c>
      <c r="DVE47" s="58" t="s">
        <v>249</v>
      </c>
      <c r="DVF47" s="58" t="s">
        <v>250</v>
      </c>
      <c r="DVG47" s="58" t="s">
        <v>247</v>
      </c>
      <c r="DVH47" s="58" t="s">
        <v>248</v>
      </c>
      <c r="DVI47" s="58" t="s">
        <v>249</v>
      </c>
      <c r="DVJ47" s="58" t="s">
        <v>250</v>
      </c>
      <c r="DVK47" s="58" t="s">
        <v>247</v>
      </c>
      <c r="DVL47" s="58" t="s">
        <v>248</v>
      </c>
      <c r="DVM47" s="58" t="s">
        <v>249</v>
      </c>
      <c r="DVN47" s="58" t="s">
        <v>250</v>
      </c>
      <c r="DVO47" s="58" t="s">
        <v>247</v>
      </c>
      <c r="DVP47" s="58" t="s">
        <v>248</v>
      </c>
      <c r="DVQ47" s="58" t="s">
        <v>249</v>
      </c>
      <c r="DVR47" s="58" t="s">
        <v>250</v>
      </c>
      <c r="DVS47" s="58" t="s">
        <v>247</v>
      </c>
      <c r="DVT47" s="58" t="s">
        <v>248</v>
      </c>
      <c r="DVU47" s="58" t="s">
        <v>249</v>
      </c>
      <c r="DVV47" s="58" t="s">
        <v>250</v>
      </c>
      <c r="DVW47" s="58" t="s">
        <v>247</v>
      </c>
      <c r="DVX47" s="58" t="s">
        <v>248</v>
      </c>
      <c r="DVY47" s="58" t="s">
        <v>249</v>
      </c>
      <c r="DVZ47" s="58" t="s">
        <v>250</v>
      </c>
      <c r="DWA47" s="58" t="s">
        <v>247</v>
      </c>
      <c r="DWB47" s="58" t="s">
        <v>248</v>
      </c>
      <c r="DWC47" s="58" t="s">
        <v>249</v>
      </c>
      <c r="DWD47" s="58" t="s">
        <v>250</v>
      </c>
      <c r="DWE47" s="58" t="s">
        <v>247</v>
      </c>
      <c r="DWF47" s="58" t="s">
        <v>248</v>
      </c>
      <c r="DWG47" s="58" t="s">
        <v>249</v>
      </c>
      <c r="DWH47" s="58" t="s">
        <v>250</v>
      </c>
      <c r="DWI47" s="58" t="s">
        <v>247</v>
      </c>
      <c r="DWJ47" s="58" t="s">
        <v>248</v>
      </c>
      <c r="DWK47" s="58" t="s">
        <v>249</v>
      </c>
      <c r="DWL47" s="58" t="s">
        <v>250</v>
      </c>
      <c r="DWM47" s="58" t="s">
        <v>247</v>
      </c>
      <c r="DWN47" s="58" t="s">
        <v>248</v>
      </c>
      <c r="DWO47" s="58" t="s">
        <v>249</v>
      </c>
      <c r="DWP47" s="58" t="s">
        <v>250</v>
      </c>
      <c r="DWQ47" s="58" t="s">
        <v>247</v>
      </c>
      <c r="DWR47" s="58" t="s">
        <v>248</v>
      </c>
      <c r="DWS47" s="58" t="s">
        <v>249</v>
      </c>
      <c r="DWT47" s="58" t="s">
        <v>250</v>
      </c>
      <c r="DWU47" s="58" t="s">
        <v>247</v>
      </c>
      <c r="DWV47" s="58" t="s">
        <v>248</v>
      </c>
      <c r="DWW47" s="58" t="s">
        <v>249</v>
      </c>
      <c r="DWX47" s="58" t="s">
        <v>250</v>
      </c>
      <c r="DWY47" s="58" t="s">
        <v>247</v>
      </c>
      <c r="DWZ47" s="58" t="s">
        <v>248</v>
      </c>
      <c r="DXA47" s="58" t="s">
        <v>249</v>
      </c>
      <c r="DXB47" s="58" t="s">
        <v>250</v>
      </c>
      <c r="DXC47" s="58" t="s">
        <v>247</v>
      </c>
      <c r="DXD47" s="58" t="s">
        <v>248</v>
      </c>
      <c r="DXE47" s="58" t="s">
        <v>249</v>
      </c>
      <c r="DXF47" s="58" t="s">
        <v>250</v>
      </c>
      <c r="DXG47" s="58" t="s">
        <v>247</v>
      </c>
      <c r="DXH47" s="58" t="s">
        <v>248</v>
      </c>
      <c r="DXI47" s="58" t="s">
        <v>249</v>
      </c>
      <c r="DXJ47" s="58" t="s">
        <v>250</v>
      </c>
      <c r="DXK47" s="58" t="s">
        <v>247</v>
      </c>
      <c r="DXL47" s="58" t="s">
        <v>248</v>
      </c>
      <c r="DXM47" s="58" t="s">
        <v>249</v>
      </c>
      <c r="DXN47" s="58" t="s">
        <v>250</v>
      </c>
      <c r="DXO47" s="58" t="s">
        <v>247</v>
      </c>
      <c r="DXP47" s="58" t="s">
        <v>248</v>
      </c>
      <c r="DXQ47" s="58" t="s">
        <v>249</v>
      </c>
      <c r="DXR47" s="58" t="s">
        <v>250</v>
      </c>
      <c r="DXS47" s="58" t="s">
        <v>247</v>
      </c>
      <c r="DXT47" s="58" t="s">
        <v>248</v>
      </c>
      <c r="DXU47" s="58" t="s">
        <v>249</v>
      </c>
      <c r="DXV47" s="58" t="s">
        <v>250</v>
      </c>
      <c r="DXW47" s="58" t="s">
        <v>247</v>
      </c>
      <c r="DXX47" s="58" t="s">
        <v>248</v>
      </c>
      <c r="DXY47" s="58" t="s">
        <v>249</v>
      </c>
      <c r="DXZ47" s="58" t="s">
        <v>250</v>
      </c>
      <c r="DYA47" s="58" t="s">
        <v>247</v>
      </c>
      <c r="DYB47" s="58" t="s">
        <v>248</v>
      </c>
      <c r="DYC47" s="58" t="s">
        <v>249</v>
      </c>
      <c r="DYD47" s="58" t="s">
        <v>250</v>
      </c>
      <c r="DYE47" s="58" t="s">
        <v>247</v>
      </c>
      <c r="DYF47" s="58" t="s">
        <v>248</v>
      </c>
      <c r="DYG47" s="58" t="s">
        <v>249</v>
      </c>
      <c r="DYH47" s="58" t="s">
        <v>250</v>
      </c>
      <c r="DYI47" s="58" t="s">
        <v>247</v>
      </c>
      <c r="DYJ47" s="58" t="s">
        <v>248</v>
      </c>
      <c r="DYK47" s="58" t="s">
        <v>249</v>
      </c>
      <c r="DYL47" s="58" t="s">
        <v>250</v>
      </c>
      <c r="DYM47" s="58" t="s">
        <v>247</v>
      </c>
      <c r="DYN47" s="58" t="s">
        <v>248</v>
      </c>
      <c r="DYO47" s="58" t="s">
        <v>249</v>
      </c>
      <c r="DYP47" s="58" t="s">
        <v>250</v>
      </c>
      <c r="DYQ47" s="58" t="s">
        <v>247</v>
      </c>
      <c r="DYR47" s="58" t="s">
        <v>248</v>
      </c>
      <c r="DYS47" s="58" t="s">
        <v>249</v>
      </c>
      <c r="DYT47" s="58" t="s">
        <v>250</v>
      </c>
      <c r="DYU47" s="58" t="s">
        <v>247</v>
      </c>
      <c r="DYV47" s="58" t="s">
        <v>248</v>
      </c>
      <c r="DYW47" s="58" t="s">
        <v>249</v>
      </c>
      <c r="DYX47" s="58" t="s">
        <v>250</v>
      </c>
      <c r="DYY47" s="58" t="s">
        <v>247</v>
      </c>
      <c r="DYZ47" s="58" t="s">
        <v>248</v>
      </c>
      <c r="DZA47" s="58" t="s">
        <v>249</v>
      </c>
      <c r="DZB47" s="58" t="s">
        <v>250</v>
      </c>
      <c r="DZC47" s="58" t="s">
        <v>247</v>
      </c>
      <c r="DZD47" s="58" t="s">
        <v>248</v>
      </c>
      <c r="DZE47" s="58" t="s">
        <v>249</v>
      </c>
      <c r="DZF47" s="58" t="s">
        <v>250</v>
      </c>
      <c r="DZG47" s="58" t="s">
        <v>247</v>
      </c>
      <c r="DZH47" s="58" t="s">
        <v>248</v>
      </c>
      <c r="DZI47" s="58" t="s">
        <v>249</v>
      </c>
      <c r="DZJ47" s="58" t="s">
        <v>250</v>
      </c>
      <c r="DZK47" s="58" t="s">
        <v>247</v>
      </c>
      <c r="DZL47" s="58" t="s">
        <v>248</v>
      </c>
      <c r="DZM47" s="58" t="s">
        <v>249</v>
      </c>
      <c r="DZN47" s="58" t="s">
        <v>250</v>
      </c>
      <c r="DZO47" s="58" t="s">
        <v>247</v>
      </c>
      <c r="DZP47" s="58" t="s">
        <v>248</v>
      </c>
      <c r="DZQ47" s="58" t="s">
        <v>249</v>
      </c>
      <c r="DZR47" s="58" t="s">
        <v>250</v>
      </c>
      <c r="DZS47" s="58" t="s">
        <v>247</v>
      </c>
      <c r="DZT47" s="58" t="s">
        <v>248</v>
      </c>
      <c r="DZU47" s="58" t="s">
        <v>249</v>
      </c>
      <c r="DZV47" s="58" t="s">
        <v>250</v>
      </c>
      <c r="DZW47" s="58" t="s">
        <v>247</v>
      </c>
      <c r="DZX47" s="58" t="s">
        <v>248</v>
      </c>
      <c r="DZY47" s="58" t="s">
        <v>249</v>
      </c>
      <c r="DZZ47" s="58" t="s">
        <v>250</v>
      </c>
      <c r="EAA47" s="58" t="s">
        <v>247</v>
      </c>
      <c r="EAB47" s="58" t="s">
        <v>248</v>
      </c>
      <c r="EAC47" s="58" t="s">
        <v>249</v>
      </c>
      <c r="EAD47" s="58" t="s">
        <v>250</v>
      </c>
      <c r="EAE47" s="58" t="s">
        <v>247</v>
      </c>
      <c r="EAF47" s="58" t="s">
        <v>248</v>
      </c>
      <c r="EAG47" s="58" t="s">
        <v>249</v>
      </c>
      <c r="EAH47" s="58" t="s">
        <v>250</v>
      </c>
      <c r="EAI47" s="58" t="s">
        <v>247</v>
      </c>
      <c r="EAJ47" s="58" t="s">
        <v>248</v>
      </c>
      <c r="EAK47" s="58" t="s">
        <v>249</v>
      </c>
      <c r="EAL47" s="58" t="s">
        <v>250</v>
      </c>
      <c r="EAM47" s="58" t="s">
        <v>247</v>
      </c>
      <c r="EAN47" s="58" t="s">
        <v>248</v>
      </c>
      <c r="EAO47" s="58" t="s">
        <v>249</v>
      </c>
      <c r="EAP47" s="58" t="s">
        <v>250</v>
      </c>
      <c r="EAQ47" s="58" t="s">
        <v>247</v>
      </c>
      <c r="EAR47" s="58" t="s">
        <v>248</v>
      </c>
      <c r="EAS47" s="58" t="s">
        <v>249</v>
      </c>
      <c r="EAT47" s="58" t="s">
        <v>250</v>
      </c>
      <c r="EAU47" s="58" t="s">
        <v>247</v>
      </c>
      <c r="EAV47" s="58" t="s">
        <v>248</v>
      </c>
      <c r="EAW47" s="58" t="s">
        <v>249</v>
      </c>
      <c r="EAX47" s="58" t="s">
        <v>250</v>
      </c>
      <c r="EAY47" s="58" t="s">
        <v>247</v>
      </c>
      <c r="EAZ47" s="58" t="s">
        <v>248</v>
      </c>
      <c r="EBA47" s="58" t="s">
        <v>249</v>
      </c>
      <c r="EBB47" s="58" t="s">
        <v>250</v>
      </c>
      <c r="EBC47" s="58" t="s">
        <v>247</v>
      </c>
      <c r="EBD47" s="58" t="s">
        <v>248</v>
      </c>
      <c r="EBE47" s="58" t="s">
        <v>249</v>
      </c>
      <c r="EBF47" s="58" t="s">
        <v>250</v>
      </c>
      <c r="EBG47" s="58" t="s">
        <v>247</v>
      </c>
      <c r="EBH47" s="58" t="s">
        <v>248</v>
      </c>
      <c r="EBI47" s="58" t="s">
        <v>249</v>
      </c>
      <c r="EBJ47" s="58" t="s">
        <v>250</v>
      </c>
      <c r="EBK47" s="58" t="s">
        <v>247</v>
      </c>
      <c r="EBL47" s="58" t="s">
        <v>248</v>
      </c>
      <c r="EBM47" s="58" t="s">
        <v>249</v>
      </c>
      <c r="EBN47" s="58" t="s">
        <v>250</v>
      </c>
      <c r="EBO47" s="58" t="s">
        <v>247</v>
      </c>
      <c r="EBP47" s="58" t="s">
        <v>248</v>
      </c>
      <c r="EBQ47" s="58" t="s">
        <v>249</v>
      </c>
      <c r="EBR47" s="58" t="s">
        <v>250</v>
      </c>
      <c r="EBS47" s="58" t="s">
        <v>247</v>
      </c>
      <c r="EBT47" s="58" t="s">
        <v>248</v>
      </c>
      <c r="EBU47" s="58" t="s">
        <v>249</v>
      </c>
      <c r="EBV47" s="58" t="s">
        <v>250</v>
      </c>
      <c r="EBW47" s="58" t="s">
        <v>247</v>
      </c>
      <c r="EBX47" s="58" t="s">
        <v>248</v>
      </c>
      <c r="EBY47" s="58" t="s">
        <v>249</v>
      </c>
      <c r="EBZ47" s="58" t="s">
        <v>250</v>
      </c>
      <c r="ECA47" s="58" t="s">
        <v>247</v>
      </c>
      <c r="ECB47" s="58" t="s">
        <v>248</v>
      </c>
      <c r="ECC47" s="58" t="s">
        <v>249</v>
      </c>
      <c r="ECD47" s="58" t="s">
        <v>250</v>
      </c>
      <c r="ECE47" s="58" t="s">
        <v>247</v>
      </c>
      <c r="ECF47" s="58" t="s">
        <v>248</v>
      </c>
      <c r="ECG47" s="58" t="s">
        <v>249</v>
      </c>
      <c r="ECH47" s="58" t="s">
        <v>250</v>
      </c>
      <c r="ECI47" s="58" t="s">
        <v>247</v>
      </c>
      <c r="ECJ47" s="58" t="s">
        <v>248</v>
      </c>
      <c r="ECK47" s="58" t="s">
        <v>249</v>
      </c>
      <c r="ECL47" s="58" t="s">
        <v>250</v>
      </c>
      <c r="ECM47" s="58" t="s">
        <v>247</v>
      </c>
      <c r="ECN47" s="58" t="s">
        <v>248</v>
      </c>
      <c r="ECO47" s="58" t="s">
        <v>249</v>
      </c>
      <c r="ECP47" s="58" t="s">
        <v>250</v>
      </c>
      <c r="ECQ47" s="58" t="s">
        <v>247</v>
      </c>
      <c r="ECR47" s="58" t="s">
        <v>248</v>
      </c>
      <c r="ECS47" s="58" t="s">
        <v>249</v>
      </c>
      <c r="ECT47" s="58" t="s">
        <v>250</v>
      </c>
      <c r="ECU47" s="58" t="s">
        <v>247</v>
      </c>
      <c r="ECV47" s="58" t="s">
        <v>248</v>
      </c>
      <c r="ECW47" s="58" t="s">
        <v>249</v>
      </c>
      <c r="ECX47" s="58" t="s">
        <v>250</v>
      </c>
      <c r="ECY47" s="58" t="s">
        <v>247</v>
      </c>
      <c r="ECZ47" s="58" t="s">
        <v>248</v>
      </c>
      <c r="EDA47" s="58" t="s">
        <v>249</v>
      </c>
      <c r="EDB47" s="58" t="s">
        <v>250</v>
      </c>
      <c r="EDC47" s="58" t="s">
        <v>247</v>
      </c>
      <c r="EDD47" s="58" t="s">
        <v>248</v>
      </c>
      <c r="EDE47" s="58" t="s">
        <v>249</v>
      </c>
      <c r="EDF47" s="58" t="s">
        <v>250</v>
      </c>
      <c r="EDG47" s="58" t="s">
        <v>247</v>
      </c>
      <c r="EDH47" s="58" t="s">
        <v>248</v>
      </c>
      <c r="EDI47" s="58" t="s">
        <v>249</v>
      </c>
      <c r="EDJ47" s="58" t="s">
        <v>250</v>
      </c>
      <c r="EDK47" s="58" t="s">
        <v>247</v>
      </c>
      <c r="EDL47" s="58" t="s">
        <v>248</v>
      </c>
      <c r="EDM47" s="58" t="s">
        <v>249</v>
      </c>
      <c r="EDN47" s="58" t="s">
        <v>250</v>
      </c>
      <c r="EDO47" s="58" t="s">
        <v>247</v>
      </c>
      <c r="EDP47" s="58" t="s">
        <v>248</v>
      </c>
      <c r="EDQ47" s="58" t="s">
        <v>249</v>
      </c>
      <c r="EDR47" s="58" t="s">
        <v>250</v>
      </c>
      <c r="EDS47" s="58" t="s">
        <v>247</v>
      </c>
      <c r="EDT47" s="58" t="s">
        <v>248</v>
      </c>
      <c r="EDU47" s="58" t="s">
        <v>249</v>
      </c>
      <c r="EDV47" s="58" t="s">
        <v>250</v>
      </c>
      <c r="EDW47" s="58" t="s">
        <v>247</v>
      </c>
      <c r="EDX47" s="58" t="s">
        <v>248</v>
      </c>
      <c r="EDY47" s="58" t="s">
        <v>249</v>
      </c>
      <c r="EDZ47" s="58" t="s">
        <v>250</v>
      </c>
      <c r="EEA47" s="58" t="s">
        <v>247</v>
      </c>
      <c r="EEB47" s="58" t="s">
        <v>248</v>
      </c>
      <c r="EEC47" s="58" t="s">
        <v>249</v>
      </c>
      <c r="EED47" s="58" t="s">
        <v>250</v>
      </c>
      <c r="EEE47" s="58" t="s">
        <v>247</v>
      </c>
      <c r="EEF47" s="58" t="s">
        <v>248</v>
      </c>
      <c r="EEG47" s="58" t="s">
        <v>249</v>
      </c>
      <c r="EEH47" s="58" t="s">
        <v>250</v>
      </c>
      <c r="EEI47" s="58" t="s">
        <v>247</v>
      </c>
      <c r="EEJ47" s="58" t="s">
        <v>248</v>
      </c>
      <c r="EEK47" s="58" t="s">
        <v>249</v>
      </c>
      <c r="EEL47" s="58" t="s">
        <v>250</v>
      </c>
      <c r="EEM47" s="58" t="s">
        <v>247</v>
      </c>
      <c r="EEN47" s="58" t="s">
        <v>248</v>
      </c>
      <c r="EEO47" s="58" t="s">
        <v>249</v>
      </c>
      <c r="EEP47" s="58" t="s">
        <v>250</v>
      </c>
      <c r="EEQ47" s="58" t="s">
        <v>247</v>
      </c>
      <c r="EER47" s="58" t="s">
        <v>248</v>
      </c>
      <c r="EES47" s="58" t="s">
        <v>249</v>
      </c>
      <c r="EET47" s="58" t="s">
        <v>250</v>
      </c>
      <c r="EEU47" s="58" t="s">
        <v>247</v>
      </c>
      <c r="EEV47" s="58" t="s">
        <v>248</v>
      </c>
      <c r="EEW47" s="58" t="s">
        <v>249</v>
      </c>
      <c r="EEX47" s="58" t="s">
        <v>250</v>
      </c>
      <c r="EEY47" s="58" t="s">
        <v>247</v>
      </c>
      <c r="EEZ47" s="58" t="s">
        <v>248</v>
      </c>
      <c r="EFA47" s="58" t="s">
        <v>249</v>
      </c>
      <c r="EFB47" s="58" t="s">
        <v>250</v>
      </c>
      <c r="EFC47" s="58" t="s">
        <v>247</v>
      </c>
      <c r="EFD47" s="58" t="s">
        <v>248</v>
      </c>
      <c r="EFE47" s="58" t="s">
        <v>249</v>
      </c>
      <c r="EFF47" s="58" t="s">
        <v>250</v>
      </c>
      <c r="EFG47" s="58" t="s">
        <v>247</v>
      </c>
      <c r="EFH47" s="58" t="s">
        <v>248</v>
      </c>
      <c r="EFI47" s="58" t="s">
        <v>249</v>
      </c>
      <c r="EFJ47" s="58" t="s">
        <v>250</v>
      </c>
      <c r="EFK47" s="58" t="s">
        <v>247</v>
      </c>
      <c r="EFL47" s="58" t="s">
        <v>248</v>
      </c>
      <c r="EFM47" s="58" t="s">
        <v>249</v>
      </c>
      <c r="EFN47" s="58" t="s">
        <v>250</v>
      </c>
      <c r="EFO47" s="58" t="s">
        <v>247</v>
      </c>
      <c r="EFP47" s="58" t="s">
        <v>248</v>
      </c>
      <c r="EFQ47" s="58" t="s">
        <v>249</v>
      </c>
      <c r="EFR47" s="58" t="s">
        <v>250</v>
      </c>
      <c r="EFS47" s="58" t="s">
        <v>247</v>
      </c>
      <c r="EFT47" s="58" t="s">
        <v>248</v>
      </c>
      <c r="EFU47" s="58" t="s">
        <v>249</v>
      </c>
      <c r="EFV47" s="58" t="s">
        <v>250</v>
      </c>
      <c r="EFW47" s="58" t="s">
        <v>247</v>
      </c>
      <c r="EFX47" s="58" t="s">
        <v>248</v>
      </c>
      <c r="EFY47" s="58" t="s">
        <v>249</v>
      </c>
      <c r="EFZ47" s="58" t="s">
        <v>250</v>
      </c>
      <c r="EGA47" s="58" t="s">
        <v>247</v>
      </c>
      <c r="EGB47" s="58" t="s">
        <v>248</v>
      </c>
      <c r="EGC47" s="58" t="s">
        <v>249</v>
      </c>
      <c r="EGD47" s="58" t="s">
        <v>250</v>
      </c>
      <c r="EGE47" s="58" t="s">
        <v>247</v>
      </c>
      <c r="EGF47" s="58" t="s">
        <v>248</v>
      </c>
      <c r="EGG47" s="58" t="s">
        <v>249</v>
      </c>
      <c r="EGH47" s="58" t="s">
        <v>250</v>
      </c>
      <c r="EGI47" s="58" t="s">
        <v>247</v>
      </c>
      <c r="EGJ47" s="58" t="s">
        <v>248</v>
      </c>
      <c r="EGK47" s="58" t="s">
        <v>249</v>
      </c>
      <c r="EGL47" s="58" t="s">
        <v>250</v>
      </c>
      <c r="EGM47" s="58" t="s">
        <v>247</v>
      </c>
      <c r="EGN47" s="58" t="s">
        <v>248</v>
      </c>
      <c r="EGO47" s="58" t="s">
        <v>249</v>
      </c>
      <c r="EGP47" s="58" t="s">
        <v>250</v>
      </c>
      <c r="EGQ47" s="58" t="s">
        <v>247</v>
      </c>
      <c r="EGR47" s="58" t="s">
        <v>248</v>
      </c>
      <c r="EGS47" s="58" t="s">
        <v>249</v>
      </c>
      <c r="EGT47" s="58" t="s">
        <v>250</v>
      </c>
      <c r="EGU47" s="58" t="s">
        <v>247</v>
      </c>
      <c r="EGV47" s="58" t="s">
        <v>248</v>
      </c>
      <c r="EGW47" s="58" t="s">
        <v>249</v>
      </c>
      <c r="EGX47" s="58" t="s">
        <v>250</v>
      </c>
      <c r="EGY47" s="58" t="s">
        <v>247</v>
      </c>
      <c r="EGZ47" s="58" t="s">
        <v>248</v>
      </c>
      <c r="EHA47" s="58" t="s">
        <v>249</v>
      </c>
      <c r="EHB47" s="58" t="s">
        <v>250</v>
      </c>
      <c r="EHC47" s="58" t="s">
        <v>247</v>
      </c>
      <c r="EHD47" s="58" t="s">
        <v>248</v>
      </c>
      <c r="EHE47" s="58" t="s">
        <v>249</v>
      </c>
      <c r="EHF47" s="58" t="s">
        <v>250</v>
      </c>
      <c r="EHG47" s="58" t="s">
        <v>247</v>
      </c>
      <c r="EHH47" s="58" t="s">
        <v>248</v>
      </c>
      <c r="EHI47" s="58" t="s">
        <v>249</v>
      </c>
      <c r="EHJ47" s="58" t="s">
        <v>250</v>
      </c>
      <c r="EHK47" s="58" t="s">
        <v>247</v>
      </c>
      <c r="EHL47" s="58" t="s">
        <v>248</v>
      </c>
      <c r="EHM47" s="58" t="s">
        <v>249</v>
      </c>
      <c r="EHN47" s="58" t="s">
        <v>250</v>
      </c>
      <c r="EHO47" s="58" t="s">
        <v>247</v>
      </c>
      <c r="EHP47" s="58" t="s">
        <v>248</v>
      </c>
      <c r="EHQ47" s="58" t="s">
        <v>249</v>
      </c>
      <c r="EHR47" s="58" t="s">
        <v>250</v>
      </c>
      <c r="EHS47" s="58" t="s">
        <v>247</v>
      </c>
      <c r="EHT47" s="58" t="s">
        <v>248</v>
      </c>
      <c r="EHU47" s="58" t="s">
        <v>249</v>
      </c>
      <c r="EHV47" s="58" t="s">
        <v>250</v>
      </c>
      <c r="EHW47" s="58" t="s">
        <v>247</v>
      </c>
      <c r="EHX47" s="58" t="s">
        <v>248</v>
      </c>
      <c r="EHY47" s="58" t="s">
        <v>249</v>
      </c>
      <c r="EHZ47" s="58" t="s">
        <v>250</v>
      </c>
      <c r="EIA47" s="58" t="s">
        <v>247</v>
      </c>
      <c r="EIB47" s="58" t="s">
        <v>248</v>
      </c>
      <c r="EIC47" s="58" t="s">
        <v>249</v>
      </c>
      <c r="EID47" s="58" t="s">
        <v>250</v>
      </c>
      <c r="EIE47" s="58" t="s">
        <v>247</v>
      </c>
      <c r="EIF47" s="58" t="s">
        <v>248</v>
      </c>
      <c r="EIG47" s="58" t="s">
        <v>249</v>
      </c>
      <c r="EIH47" s="58" t="s">
        <v>250</v>
      </c>
      <c r="EII47" s="58" t="s">
        <v>247</v>
      </c>
      <c r="EIJ47" s="58" t="s">
        <v>248</v>
      </c>
      <c r="EIK47" s="58" t="s">
        <v>249</v>
      </c>
      <c r="EIL47" s="58" t="s">
        <v>250</v>
      </c>
      <c r="EIM47" s="58" t="s">
        <v>247</v>
      </c>
      <c r="EIN47" s="58" t="s">
        <v>248</v>
      </c>
      <c r="EIO47" s="58" t="s">
        <v>249</v>
      </c>
      <c r="EIP47" s="58" t="s">
        <v>250</v>
      </c>
      <c r="EIQ47" s="58" t="s">
        <v>247</v>
      </c>
      <c r="EIR47" s="58" t="s">
        <v>248</v>
      </c>
      <c r="EIS47" s="58" t="s">
        <v>249</v>
      </c>
      <c r="EIT47" s="58" t="s">
        <v>250</v>
      </c>
      <c r="EIU47" s="58" t="s">
        <v>247</v>
      </c>
      <c r="EIV47" s="58" t="s">
        <v>248</v>
      </c>
      <c r="EIW47" s="58" t="s">
        <v>249</v>
      </c>
      <c r="EIX47" s="58" t="s">
        <v>250</v>
      </c>
      <c r="EIY47" s="58" t="s">
        <v>247</v>
      </c>
      <c r="EIZ47" s="58" t="s">
        <v>248</v>
      </c>
      <c r="EJA47" s="58" t="s">
        <v>249</v>
      </c>
      <c r="EJB47" s="58" t="s">
        <v>250</v>
      </c>
      <c r="EJC47" s="58" t="s">
        <v>247</v>
      </c>
      <c r="EJD47" s="58" t="s">
        <v>248</v>
      </c>
      <c r="EJE47" s="58" t="s">
        <v>249</v>
      </c>
      <c r="EJF47" s="58" t="s">
        <v>250</v>
      </c>
      <c r="EJG47" s="58" t="s">
        <v>247</v>
      </c>
      <c r="EJH47" s="58" t="s">
        <v>248</v>
      </c>
      <c r="EJI47" s="58" t="s">
        <v>249</v>
      </c>
      <c r="EJJ47" s="58" t="s">
        <v>250</v>
      </c>
      <c r="EJK47" s="58" t="s">
        <v>247</v>
      </c>
      <c r="EJL47" s="58" t="s">
        <v>248</v>
      </c>
      <c r="EJM47" s="58" t="s">
        <v>249</v>
      </c>
      <c r="EJN47" s="58" t="s">
        <v>250</v>
      </c>
      <c r="EJO47" s="58" t="s">
        <v>247</v>
      </c>
      <c r="EJP47" s="58" t="s">
        <v>248</v>
      </c>
      <c r="EJQ47" s="58" t="s">
        <v>249</v>
      </c>
      <c r="EJR47" s="58" t="s">
        <v>250</v>
      </c>
      <c r="EJS47" s="58" t="s">
        <v>247</v>
      </c>
      <c r="EJT47" s="58" t="s">
        <v>248</v>
      </c>
      <c r="EJU47" s="58" t="s">
        <v>249</v>
      </c>
      <c r="EJV47" s="58" t="s">
        <v>250</v>
      </c>
      <c r="EJW47" s="58" t="s">
        <v>247</v>
      </c>
      <c r="EJX47" s="58" t="s">
        <v>248</v>
      </c>
      <c r="EJY47" s="58" t="s">
        <v>249</v>
      </c>
      <c r="EJZ47" s="58" t="s">
        <v>250</v>
      </c>
      <c r="EKA47" s="58" t="s">
        <v>247</v>
      </c>
      <c r="EKB47" s="58" t="s">
        <v>248</v>
      </c>
      <c r="EKC47" s="58" t="s">
        <v>249</v>
      </c>
      <c r="EKD47" s="58" t="s">
        <v>250</v>
      </c>
      <c r="EKE47" s="58" t="s">
        <v>247</v>
      </c>
      <c r="EKF47" s="58" t="s">
        <v>248</v>
      </c>
      <c r="EKG47" s="58" t="s">
        <v>249</v>
      </c>
      <c r="EKH47" s="58" t="s">
        <v>250</v>
      </c>
      <c r="EKI47" s="58" t="s">
        <v>247</v>
      </c>
      <c r="EKJ47" s="58" t="s">
        <v>248</v>
      </c>
      <c r="EKK47" s="58" t="s">
        <v>249</v>
      </c>
      <c r="EKL47" s="58" t="s">
        <v>250</v>
      </c>
      <c r="EKM47" s="58" t="s">
        <v>247</v>
      </c>
      <c r="EKN47" s="58" t="s">
        <v>248</v>
      </c>
      <c r="EKO47" s="58" t="s">
        <v>249</v>
      </c>
      <c r="EKP47" s="58" t="s">
        <v>250</v>
      </c>
      <c r="EKQ47" s="58" t="s">
        <v>247</v>
      </c>
      <c r="EKR47" s="58" t="s">
        <v>248</v>
      </c>
      <c r="EKS47" s="58" t="s">
        <v>249</v>
      </c>
      <c r="EKT47" s="58" t="s">
        <v>250</v>
      </c>
      <c r="EKU47" s="58" t="s">
        <v>247</v>
      </c>
      <c r="EKV47" s="58" t="s">
        <v>248</v>
      </c>
      <c r="EKW47" s="58" t="s">
        <v>249</v>
      </c>
      <c r="EKX47" s="58" t="s">
        <v>250</v>
      </c>
      <c r="EKY47" s="58" t="s">
        <v>247</v>
      </c>
      <c r="EKZ47" s="58" t="s">
        <v>248</v>
      </c>
      <c r="ELA47" s="58" t="s">
        <v>249</v>
      </c>
      <c r="ELB47" s="58" t="s">
        <v>250</v>
      </c>
      <c r="ELC47" s="58" t="s">
        <v>247</v>
      </c>
      <c r="ELD47" s="58" t="s">
        <v>248</v>
      </c>
      <c r="ELE47" s="58" t="s">
        <v>249</v>
      </c>
      <c r="ELF47" s="58" t="s">
        <v>250</v>
      </c>
      <c r="ELG47" s="58" t="s">
        <v>247</v>
      </c>
      <c r="ELH47" s="58" t="s">
        <v>248</v>
      </c>
      <c r="ELI47" s="58" t="s">
        <v>249</v>
      </c>
      <c r="ELJ47" s="58" t="s">
        <v>250</v>
      </c>
      <c r="ELK47" s="58" t="s">
        <v>247</v>
      </c>
      <c r="ELL47" s="58" t="s">
        <v>248</v>
      </c>
      <c r="ELM47" s="58" t="s">
        <v>249</v>
      </c>
      <c r="ELN47" s="58" t="s">
        <v>250</v>
      </c>
      <c r="ELO47" s="58" t="s">
        <v>247</v>
      </c>
      <c r="ELP47" s="58" t="s">
        <v>248</v>
      </c>
      <c r="ELQ47" s="58" t="s">
        <v>249</v>
      </c>
      <c r="ELR47" s="58" t="s">
        <v>250</v>
      </c>
      <c r="ELS47" s="58" t="s">
        <v>247</v>
      </c>
      <c r="ELT47" s="58" t="s">
        <v>248</v>
      </c>
      <c r="ELU47" s="58" t="s">
        <v>249</v>
      </c>
      <c r="ELV47" s="58" t="s">
        <v>250</v>
      </c>
      <c r="ELW47" s="58" t="s">
        <v>247</v>
      </c>
      <c r="ELX47" s="58" t="s">
        <v>248</v>
      </c>
      <c r="ELY47" s="58" t="s">
        <v>249</v>
      </c>
      <c r="ELZ47" s="58" t="s">
        <v>250</v>
      </c>
      <c r="EMA47" s="58" t="s">
        <v>247</v>
      </c>
      <c r="EMB47" s="58" t="s">
        <v>248</v>
      </c>
      <c r="EMC47" s="58" t="s">
        <v>249</v>
      </c>
      <c r="EMD47" s="58" t="s">
        <v>250</v>
      </c>
      <c r="EME47" s="58" t="s">
        <v>247</v>
      </c>
      <c r="EMF47" s="58" t="s">
        <v>248</v>
      </c>
      <c r="EMG47" s="58" t="s">
        <v>249</v>
      </c>
      <c r="EMH47" s="58" t="s">
        <v>250</v>
      </c>
      <c r="EMI47" s="58" t="s">
        <v>247</v>
      </c>
      <c r="EMJ47" s="58" t="s">
        <v>248</v>
      </c>
      <c r="EMK47" s="58" t="s">
        <v>249</v>
      </c>
      <c r="EML47" s="58" t="s">
        <v>250</v>
      </c>
      <c r="EMM47" s="58" t="s">
        <v>247</v>
      </c>
      <c r="EMN47" s="58" t="s">
        <v>248</v>
      </c>
      <c r="EMO47" s="58" t="s">
        <v>249</v>
      </c>
      <c r="EMP47" s="58" t="s">
        <v>250</v>
      </c>
      <c r="EMQ47" s="58" t="s">
        <v>247</v>
      </c>
      <c r="EMR47" s="58" t="s">
        <v>248</v>
      </c>
      <c r="EMS47" s="58" t="s">
        <v>249</v>
      </c>
      <c r="EMT47" s="58" t="s">
        <v>250</v>
      </c>
      <c r="EMU47" s="58" t="s">
        <v>247</v>
      </c>
      <c r="EMV47" s="58" t="s">
        <v>248</v>
      </c>
      <c r="EMW47" s="58" t="s">
        <v>249</v>
      </c>
      <c r="EMX47" s="58" t="s">
        <v>250</v>
      </c>
      <c r="EMY47" s="58" t="s">
        <v>247</v>
      </c>
      <c r="EMZ47" s="58" t="s">
        <v>248</v>
      </c>
      <c r="ENA47" s="58" t="s">
        <v>249</v>
      </c>
      <c r="ENB47" s="58" t="s">
        <v>250</v>
      </c>
      <c r="ENC47" s="58" t="s">
        <v>247</v>
      </c>
      <c r="END47" s="58" t="s">
        <v>248</v>
      </c>
      <c r="ENE47" s="58" t="s">
        <v>249</v>
      </c>
      <c r="ENF47" s="58" t="s">
        <v>250</v>
      </c>
      <c r="ENG47" s="58" t="s">
        <v>247</v>
      </c>
      <c r="ENH47" s="58" t="s">
        <v>248</v>
      </c>
      <c r="ENI47" s="58" t="s">
        <v>249</v>
      </c>
      <c r="ENJ47" s="58" t="s">
        <v>250</v>
      </c>
      <c r="ENK47" s="58" t="s">
        <v>247</v>
      </c>
      <c r="ENL47" s="58" t="s">
        <v>248</v>
      </c>
      <c r="ENM47" s="58" t="s">
        <v>249</v>
      </c>
      <c r="ENN47" s="58" t="s">
        <v>250</v>
      </c>
      <c r="ENO47" s="58" t="s">
        <v>247</v>
      </c>
      <c r="ENP47" s="58" t="s">
        <v>248</v>
      </c>
      <c r="ENQ47" s="58" t="s">
        <v>249</v>
      </c>
      <c r="ENR47" s="58" t="s">
        <v>250</v>
      </c>
      <c r="ENS47" s="58" t="s">
        <v>247</v>
      </c>
      <c r="ENT47" s="58" t="s">
        <v>248</v>
      </c>
      <c r="ENU47" s="58" t="s">
        <v>249</v>
      </c>
      <c r="ENV47" s="58" t="s">
        <v>250</v>
      </c>
      <c r="ENW47" s="58" t="s">
        <v>247</v>
      </c>
      <c r="ENX47" s="58" t="s">
        <v>248</v>
      </c>
      <c r="ENY47" s="58" t="s">
        <v>249</v>
      </c>
      <c r="ENZ47" s="58" t="s">
        <v>250</v>
      </c>
      <c r="EOA47" s="58" t="s">
        <v>247</v>
      </c>
      <c r="EOB47" s="58" t="s">
        <v>248</v>
      </c>
      <c r="EOC47" s="58" t="s">
        <v>249</v>
      </c>
      <c r="EOD47" s="58" t="s">
        <v>250</v>
      </c>
      <c r="EOE47" s="58" t="s">
        <v>247</v>
      </c>
      <c r="EOF47" s="58" t="s">
        <v>248</v>
      </c>
      <c r="EOG47" s="58" t="s">
        <v>249</v>
      </c>
      <c r="EOH47" s="58" t="s">
        <v>250</v>
      </c>
      <c r="EOI47" s="58" t="s">
        <v>247</v>
      </c>
      <c r="EOJ47" s="58" t="s">
        <v>248</v>
      </c>
      <c r="EOK47" s="58" t="s">
        <v>249</v>
      </c>
      <c r="EOL47" s="58" t="s">
        <v>250</v>
      </c>
      <c r="EOM47" s="58" t="s">
        <v>247</v>
      </c>
      <c r="EON47" s="58" t="s">
        <v>248</v>
      </c>
      <c r="EOO47" s="58" t="s">
        <v>249</v>
      </c>
      <c r="EOP47" s="58" t="s">
        <v>250</v>
      </c>
      <c r="EOQ47" s="58" t="s">
        <v>247</v>
      </c>
      <c r="EOR47" s="58" t="s">
        <v>248</v>
      </c>
      <c r="EOS47" s="58" t="s">
        <v>249</v>
      </c>
      <c r="EOT47" s="58" t="s">
        <v>250</v>
      </c>
      <c r="EOU47" s="58" t="s">
        <v>247</v>
      </c>
      <c r="EOV47" s="58" t="s">
        <v>248</v>
      </c>
      <c r="EOW47" s="58" t="s">
        <v>249</v>
      </c>
      <c r="EOX47" s="58" t="s">
        <v>250</v>
      </c>
      <c r="EOY47" s="58" t="s">
        <v>247</v>
      </c>
      <c r="EOZ47" s="58" t="s">
        <v>248</v>
      </c>
      <c r="EPA47" s="58" t="s">
        <v>249</v>
      </c>
      <c r="EPB47" s="58" t="s">
        <v>250</v>
      </c>
      <c r="EPC47" s="58" t="s">
        <v>247</v>
      </c>
      <c r="EPD47" s="58" t="s">
        <v>248</v>
      </c>
      <c r="EPE47" s="58" t="s">
        <v>249</v>
      </c>
      <c r="EPF47" s="58" t="s">
        <v>250</v>
      </c>
      <c r="EPG47" s="58" t="s">
        <v>247</v>
      </c>
      <c r="EPH47" s="58" t="s">
        <v>248</v>
      </c>
      <c r="EPI47" s="58" t="s">
        <v>249</v>
      </c>
      <c r="EPJ47" s="58" t="s">
        <v>250</v>
      </c>
      <c r="EPK47" s="58" t="s">
        <v>247</v>
      </c>
      <c r="EPL47" s="58" t="s">
        <v>248</v>
      </c>
      <c r="EPM47" s="58" t="s">
        <v>249</v>
      </c>
      <c r="EPN47" s="58" t="s">
        <v>250</v>
      </c>
      <c r="EPO47" s="58" t="s">
        <v>247</v>
      </c>
      <c r="EPP47" s="58" t="s">
        <v>248</v>
      </c>
      <c r="EPQ47" s="58" t="s">
        <v>249</v>
      </c>
      <c r="EPR47" s="58" t="s">
        <v>250</v>
      </c>
      <c r="EPS47" s="58" t="s">
        <v>247</v>
      </c>
      <c r="EPT47" s="58" t="s">
        <v>248</v>
      </c>
      <c r="EPU47" s="58" t="s">
        <v>249</v>
      </c>
      <c r="EPV47" s="58" t="s">
        <v>250</v>
      </c>
      <c r="EPW47" s="58" t="s">
        <v>247</v>
      </c>
      <c r="EPX47" s="58" t="s">
        <v>248</v>
      </c>
      <c r="EPY47" s="58" t="s">
        <v>249</v>
      </c>
      <c r="EPZ47" s="58" t="s">
        <v>250</v>
      </c>
      <c r="EQA47" s="58" t="s">
        <v>247</v>
      </c>
      <c r="EQB47" s="58" t="s">
        <v>248</v>
      </c>
      <c r="EQC47" s="58" t="s">
        <v>249</v>
      </c>
      <c r="EQD47" s="58" t="s">
        <v>250</v>
      </c>
      <c r="EQE47" s="58" t="s">
        <v>247</v>
      </c>
      <c r="EQF47" s="58" t="s">
        <v>248</v>
      </c>
      <c r="EQG47" s="58" t="s">
        <v>249</v>
      </c>
      <c r="EQH47" s="58" t="s">
        <v>250</v>
      </c>
      <c r="EQI47" s="58" t="s">
        <v>247</v>
      </c>
      <c r="EQJ47" s="58" t="s">
        <v>248</v>
      </c>
      <c r="EQK47" s="58" t="s">
        <v>249</v>
      </c>
      <c r="EQL47" s="58" t="s">
        <v>250</v>
      </c>
      <c r="EQM47" s="58" t="s">
        <v>247</v>
      </c>
      <c r="EQN47" s="58" t="s">
        <v>248</v>
      </c>
      <c r="EQO47" s="58" t="s">
        <v>249</v>
      </c>
      <c r="EQP47" s="58" t="s">
        <v>250</v>
      </c>
      <c r="EQQ47" s="58" t="s">
        <v>247</v>
      </c>
      <c r="EQR47" s="58" t="s">
        <v>248</v>
      </c>
      <c r="EQS47" s="58" t="s">
        <v>249</v>
      </c>
      <c r="EQT47" s="58" t="s">
        <v>250</v>
      </c>
      <c r="EQU47" s="58" t="s">
        <v>247</v>
      </c>
      <c r="EQV47" s="58" t="s">
        <v>248</v>
      </c>
      <c r="EQW47" s="58" t="s">
        <v>249</v>
      </c>
      <c r="EQX47" s="58" t="s">
        <v>250</v>
      </c>
      <c r="EQY47" s="58" t="s">
        <v>247</v>
      </c>
      <c r="EQZ47" s="58" t="s">
        <v>248</v>
      </c>
      <c r="ERA47" s="58" t="s">
        <v>249</v>
      </c>
      <c r="ERB47" s="58" t="s">
        <v>250</v>
      </c>
      <c r="ERC47" s="58" t="s">
        <v>247</v>
      </c>
      <c r="ERD47" s="58" t="s">
        <v>248</v>
      </c>
      <c r="ERE47" s="58" t="s">
        <v>249</v>
      </c>
      <c r="ERF47" s="58" t="s">
        <v>250</v>
      </c>
      <c r="ERG47" s="58" t="s">
        <v>247</v>
      </c>
      <c r="ERH47" s="58" t="s">
        <v>248</v>
      </c>
      <c r="ERI47" s="58" t="s">
        <v>249</v>
      </c>
      <c r="ERJ47" s="58" t="s">
        <v>250</v>
      </c>
      <c r="ERK47" s="58" t="s">
        <v>247</v>
      </c>
      <c r="ERL47" s="58" t="s">
        <v>248</v>
      </c>
      <c r="ERM47" s="58" t="s">
        <v>249</v>
      </c>
      <c r="ERN47" s="58" t="s">
        <v>250</v>
      </c>
      <c r="ERO47" s="58" t="s">
        <v>247</v>
      </c>
      <c r="ERP47" s="58" t="s">
        <v>248</v>
      </c>
      <c r="ERQ47" s="58" t="s">
        <v>249</v>
      </c>
      <c r="ERR47" s="58" t="s">
        <v>250</v>
      </c>
      <c r="ERS47" s="58" t="s">
        <v>247</v>
      </c>
      <c r="ERT47" s="58" t="s">
        <v>248</v>
      </c>
      <c r="ERU47" s="58" t="s">
        <v>249</v>
      </c>
      <c r="ERV47" s="58" t="s">
        <v>250</v>
      </c>
      <c r="ERW47" s="58" t="s">
        <v>247</v>
      </c>
      <c r="ERX47" s="58" t="s">
        <v>248</v>
      </c>
      <c r="ERY47" s="58" t="s">
        <v>249</v>
      </c>
      <c r="ERZ47" s="58" t="s">
        <v>250</v>
      </c>
      <c r="ESA47" s="58" t="s">
        <v>247</v>
      </c>
      <c r="ESB47" s="58" t="s">
        <v>248</v>
      </c>
      <c r="ESC47" s="58" t="s">
        <v>249</v>
      </c>
      <c r="ESD47" s="58" t="s">
        <v>250</v>
      </c>
      <c r="ESE47" s="58" t="s">
        <v>247</v>
      </c>
      <c r="ESF47" s="58" t="s">
        <v>248</v>
      </c>
      <c r="ESG47" s="58" t="s">
        <v>249</v>
      </c>
      <c r="ESH47" s="58" t="s">
        <v>250</v>
      </c>
      <c r="ESI47" s="58" t="s">
        <v>247</v>
      </c>
      <c r="ESJ47" s="58" t="s">
        <v>248</v>
      </c>
      <c r="ESK47" s="58" t="s">
        <v>249</v>
      </c>
      <c r="ESL47" s="58" t="s">
        <v>250</v>
      </c>
      <c r="ESM47" s="58" t="s">
        <v>247</v>
      </c>
      <c r="ESN47" s="58" t="s">
        <v>248</v>
      </c>
      <c r="ESO47" s="58" t="s">
        <v>249</v>
      </c>
      <c r="ESP47" s="58" t="s">
        <v>250</v>
      </c>
      <c r="ESQ47" s="58" t="s">
        <v>247</v>
      </c>
      <c r="ESR47" s="58" t="s">
        <v>248</v>
      </c>
      <c r="ESS47" s="58" t="s">
        <v>249</v>
      </c>
      <c r="EST47" s="58" t="s">
        <v>250</v>
      </c>
      <c r="ESU47" s="58" t="s">
        <v>247</v>
      </c>
      <c r="ESV47" s="58" t="s">
        <v>248</v>
      </c>
      <c r="ESW47" s="58" t="s">
        <v>249</v>
      </c>
      <c r="ESX47" s="58" t="s">
        <v>250</v>
      </c>
      <c r="ESY47" s="58" t="s">
        <v>247</v>
      </c>
      <c r="ESZ47" s="58" t="s">
        <v>248</v>
      </c>
      <c r="ETA47" s="58" t="s">
        <v>249</v>
      </c>
      <c r="ETB47" s="58" t="s">
        <v>250</v>
      </c>
      <c r="ETC47" s="58" t="s">
        <v>247</v>
      </c>
      <c r="ETD47" s="58" t="s">
        <v>248</v>
      </c>
      <c r="ETE47" s="58" t="s">
        <v>249</v>
      </c>
      <c r="ETF47" s="58" t="s">
        <v>250</v>
      </c>
      <c r="ETG47" s="58" t="s">
        <v>247</v>
      </c>
      <c r="ETH47" s="58" t="s">
        <v>248</v>
      </c>
      <c r="ETI47" s="58" t="s">
        <v>249</v>
      </c>
      <c r="ETJ47" s="58" t="s">
        <v>250</v>
      </c>
      <c r="ETK47" s="58" t="s">
        <v>247</v>
      </c>
      <c r="ETL47" s="58" t="s">
        <v>248</v>
      </c>
      <c r="ETM47" s="58" t="s">
        <v>249</v>
      </c>
      <c r="ETN47" s="58" t="s">
        <v>250</v>
      </c>
      <c r="ETO47" s="58" t="s">
        <v>247</v>
      </c>
      <c r="ETP47" s="58" t="s">
        <v>248</v>
      </c>
      <c r="ETQ47" s="58" t="s">
        <v>249</v>
      </c>
      <c r="ETR47" s="58" t="s">
        <v>250</v>
      </c>
      <c r="ETS47" s="58" t="s">
        <v>247</v>
      </c>
      <c r="ETT47" s="58" t="s">
        <v>248</v>
      </c>
      <c r="ETU47" s="58" t="s">
        <v>249</v>
      </c>
      <c r="ETV47" s="58" t="s">
        <v>250</v>
      </c>
      <c r="ETW47" s="58" t="s">
        <v>247</v>
      </c>
      <c r="ETX47" s="58" t="s">
        <v>248</v>
      </c>
      <c r="ETY47" s="58" t="s">
        <v>249</v>
      </c>
      <c r="ETZ47" s="58" t="s">
        <v>250</v>
      </c>
      <c r="EUA47" s="58" t="s">
        <v>247</v>
      </c>
      <c r="EUB47" s="58" t="s">
        <v>248</v>
      </c>
      <c r="EUC47" s="58" t="s">
        <v>249</v>
      </c>
      <c r="EUD47" s="58" t="s">
        <v>250</v>
      </c>
      <c r="EUE47" s="58" t="s">
        <v>247</v>
      </c>
      <c r="EUF47" s="58" t="s">
        <v>248</v>
      </c>
      <c r="EUG47" s="58" t="s">
        <v>249</v>
      </c>
      <c r="EUH47" s="58" t="s">
        <v>250</v>
      </c>
      <c r="EUI47" s="58" t="s">
        <v>247</v>
      </c>
      <c r="EUJ47" s="58" t="s">
        <v>248</v>
      </c>
      <c r="EUK47" s="58" t="s">
        <v>249</v>
      </c>
      <c r="EUL47" s="58" t="s">
        <v>250</v>
      </c>
      <c r="EUM47" s="58" t="s">
        <v>247</v>
      </c>
      <c r="EUN47" s="58" t="s">
        <v>248</v>
      </c>
      <c r="EUO47" s="58" t="s">
        <v>249</v>
      </c>
      <c r="EUP47" s="58" t="s">
        <v>250</v>
      </c>
      <c r="EUQ47" s="58" t="s">
        <v>247</v>
      </c>
      <c r="EUR47" s="58" t="s">
        <v>248</v>
      </c>
      <c r="EUS47" s="58" t="s">
        <v>249</v>
      </c>
      <c r="EUT47" s="58" t="s">
        <v>250</v>
      </c>
      <c r="EUU47" s="58" t="s">
        <v>247</v>
      </c>
      <c r="EUV47" s="58" t="s">
        <v>248</v>
      </c>
      <c r="EUW47" s="58" t="s">
        <v>249</v>
      </c>
      <c r="EUX47" s="58" t="s">
        <v>250</v>
      </c>
      <c r="EUY47" s="58" t="s">
        <v>247</v>
      </c>
      <c r="EUZ47" s="58" t="s">
        <v>248</v>
      </c>
      <c r="EVA47" s="58" t="s">
        <v>249</v>
      </c>
      <c r="EVB47" s="58" t="s">
        <v>250</v>
      </c>
      <c r="EVC47" s="58" t="s">
        <v>247</v>
      </c>
      <c r="EVD47" s="58" t="s">
        <v>248</v>
      </c>
      <c r="EVE47" s="58" t="s">
        <v>249</v>
      </c>
      <c r="EVF47" s="58" t="s">
        <v>250</v>
      </c>
      <c r="EVG47" s="58" t="s">
        <v>247</v>
      </c>
      <c r="EVH47" s="58" t="s">
        <v>248</v>
      </c>
      <c r="EVI47" s="58" t="s">
        <v>249</v>
      </c>
      <c r="EVJ47" s="58" t="s">
        <v>250</v>
      </c>
      <c r="EVK47" s="58" t="s">
        <v>247</v>
      </c>
      <c r="EVL47" s="58" t="s">
        <v>248</v>
      </c>
      <c r="EVM47" s="58" t="s">
        <v>249</v>
      </c>
      <c r="EVN47" s="58" t="s">
        <v>250</v>
      </c>
      <c r="EVO47" s="58" t="s">
        <v>247</v>
      </c>
      <c r="EVP47" s="58" t="s">
        <v>248</v>
      </c>
      <c r="EVQ47" s="58" t="s">
        <v>249</v>
      </c>
      <c r="EVR47" s="58" t="s">
        <v>250</v>
      </c>
      <c r="EVS47" s="58" t="s">
        <v>247</v>
      </c>
      <c r="EVT47" s="58" t="s">
        <v>248</v>
      </c>
      <c r="EVU47" s="58" t="s">
        <v>249</v>
      </c>
      <c r="EVV47" s="58" t="s">
        <v>250</v>
      </c>
      <c r="EVW47" s="58" t="s">
        <v>247</v>
      </c>
      <c r="EVX47" s="58" t="s">
        <v>248</v>
      </c>
      <c r="EVY47" s="58" t="s">
        <v>249</v>
      </c>
      <c r="EVZ47" s="58" t="s">
        <v>250</v>
      </c>
      <c r="EWA47" s="58" t="s">
        <v>247</v>
      </c>
      <c r="EWB47" s="58" t="s">
        <v>248</v>
      </c>
      <c r="EWC47" s="58" t="s">
        <v>249</v>
      </c>
      <c r="EWD47" s="58" t="s">
        <v>250</v>
      </c>
      <c r="EWE47" s="58" t="s">
        <v>247</v>
      </c>
      <c r="EWF47" s="58" t="s">
        <v>248</v>
      </c>
      <c r="EWG47" s="58" t="s">
        <v>249</v>
      </c>
      <c r="EWH47" s="58" t="s">
        <v>250</v>
      </c>
      <c r="EWI47" s="58" t="s">
        <v>247</v>
      </c>
      <c r="EWJ47" s="58" t="s">
        <v>248</v>
      </c>
      <c r="EWK47" s="58" t="s">
        <v>249</v>
      </c>
      <c r="EWL47" s="58" t="s">
        <v>250</v>
      </c>
      <c r="EWM47" s="58" t="s">
        <v>247</v>
      </c>
      <c r="EWN47" s="58" t="s">
        <v>248</v>
      </c>
      <c r="EWO47" s="58" t="s">
        <v>249</v>
      </c>
      <c r="EWP47" s="58" t="s">
        <v>250</v>
      </c>
      <c r="EWQ47" s="58" t="s">
        <v>247</v>
      </c>
      <c r="EWR47" s="58" t="s">
        <v>248</v>
      </c>
      <c r="EWS47" s="58" t="s">
        <v>249</v>
      </c>
      <c r="EWT47" s="58" t="s">
        <v>250</v>
      </c>
      <c r="EWU47" s="58" t="s">
        <v>247</v>
      </c>
      <c r="EWV47" s="58" t="s">
        <v>248</v>
      </c>
      <c r="EWW47" s="58" t="s">
        <v>249</v>
      </c>
      <c r="EWX47" s="58" t="s">
        <v>250</v>
      </c>
      <c r="EWY47" s="58" t="s">
        <v>247</v>
      </c>
      <c r="EWZ47" s="58" t="s">
        <v>248</v>
      </c>
      <c r="EXA47" s="58" t="s">
        <v>249</v>
      </c>
      <c r="EXB47" s="58" t="s">
        <v>250</v>
      </c>
      <c r="EXC47" s="58" t="s">
        <v>247</v>
      </c>
      <c r="EXD47" s="58" t="s">
        <v>248</v>
      </c>
      <c r="EXE47" s="58" t="s">
        <v>249</v>
      </c>
      <c r="EXF47" s="58" t="s">
        <v>250</v>
      </c>
      <c r="EXG47" s="58" t="s">
        <v>247</v>
      </c>
      <c r="EXH47" s="58" t="s">
        <v>248</v>
      </c>
      <c r="EXI47" s="58" t="s">
        <v>249</v>
      </c>
      <c r="EXJ47" s="58" t="s">
        <v>250</v>
      </c>
      <c r="EXK47" s="58" t="s">
        <v>247</v>
      </c>
      <c r="EXL47" s="58" t="s">
        <v>248</v>
      </c>
      <c r="EXM47" s="58" t="s">
        <v>249</v>
      </c>
      <c r="EXN47" s="58" t="s">
        <v>250</v>
      </c>
      <c r="EXO47" s="58" t="s">
        <v>247</v>
      </c>
      <c r="EXP47" s="58" t="s">
        <v>248</v>
      </c>
      <c r="EXQ47" s="58" t="s">
        <v>249</v>
      </c>
      <c r="EXR47" s="58" t="s">
        <v>250</v>
      </c>
      <c r="EXS47" s="58" t="s">
        <v>247</v>
      </c>
      <c r="EXT47" s="58" t="s">
        <v>248</v>
      </c>
      <c r="EXU47" s="58" t="s">
        <v>249</v>
      </c>
      <c r="EXV47" s="58" t="s">
        <v>250</v>
      </c>
      <c r="EXW47" s="58" t="s">
        <v>247</v>
      </c>
      <c r="EXX47" s="58" t="s">
        <v>248</v>
      </c>
      <c r="EXY47" s="58" t="s">
        <v>249</v>
      </c>
      <c r="EXZ47" s="58" t="s">
        <v>250</v>
      </c>
      <c r="EYA47" s="58" t="s">
        <v>247</v>
      </c>
      <c r="EYB47" s="58" t="s">
        <v>248</v>
      </c>
      <c r="EYC47" s="58" t="s">
        <v>249</v>
      </c>
      <c r="EYD47" s="58" t="s">
        <v>250</v>
      </c>
      <c r="EYE47" s="58" t="s">
        <v>247</v>
      </c>
      <c r="EYF47" s="58" t="s">
        <v>248</v>
      </c>
      <c r="EYG47" s="58" t="s">
        <v>249</v>
      </c>
      <c r="EYH47" s="58" t="s">
        <v>250</v>
      </c>
      <c r="EYI47" s="58" t="s">
        <v>247</v>
      </c>
      <c r="EYJ47" s="58" t="s">
        <v>248</v>
      </c>
      <c r="EYK47" s="58" t="s">
        <v>249</v>
      </c>
      <c r="EYL47" s="58" t="s">
        <v>250</v>
      </c>
      <c r="EYM47" s="58" t="s">
        <v>247</v>
      </c>
      <c r="EYN47" s="58" t="s">
        <v>248</v>
      </c>
      <c r="EYO47" s="58" t="s">
        <v>249</v>
      </c>
      <c r="EYP47" s="58" t="s">
        <v>250</v>
      </c>
      <c r="EYQ47" s="58" t="s">
        <v>247</v>
      </c>
      <c r="EYR47" s="58" t="s">
        <v>248</v>
      </c>
      <c r="EYS47" s="58" t="s">
        <v>249</v>
      </c>
      <c r="EYT47" s="58" t="s">
        <v>250</v>
      </c>
      <c r="EYU47" s="58" t="s">
        <v>247</v>
      </c>
      <c r="EYV47" s="58" t="s">
        <v>248</v>
      </c>
      <c r="EYW47" s="58" t="s">
        <v>249</v>
      </c>
      <c r="EYX47" s="58" t="s">
        <v>250</v>
      </c>
      <c r="EYY47" s="58" t="s">
        <v>247</v>
      </c>
      <c r="EYZ47" s="58" t="s">
        <v>248</v>
      </c>
      <c r="EZA47" s="58" t="s">
        <v>249</v>
      </c>
      <c r="EZB47" s="58" t="s">
        <v>250</v>
      </c>
      <c r="EZC47" s="58" t="s">
        <v>247</v>
      </c>
      <c r="EZD47" s="58" t="s">
        <v>248</v>
      </c>
      <c r="EZE47" s="58" t="s">
        <v>249</v>
      </c>
      <c r="EZF47" s="58" t="s">
        <v>250</v>
      </c>
      <c r="EZG47" s="58" t="s">
        <v>247</v>
      </c>
      <c r="EZH47" s="58" t="s">
        <v>248</v>
      </c>
      <c r="EZI47" s="58" t="s">
        <v>249</v>
      </c>
      <c r="EZJ47" s="58" t="s">
        <v>250</v>
      </c>
      <c r="EZK47" s="58" t="s">
        <v>247</v>
      </c>
      <c r="EZL47" s="58" t="s">
        <v>248</v>
      </c>
      <c r="EZM47" s="58" t="s">
        <v>249</v>
      </c>
      <c r="EZN47" s="58" t="s">
        <v>250</v>
      </c>
      <c r="EZO47" s="58" t="s">
        <v>247</v>
      </c>
      <c r="EZP47" s="58" t="s">
        <v>248</v>
      </c>
      <c r="EZQ47" s="58" t="s">
        <v>249</v>
      </c>
      <c r="EZR47" s="58" t="s">
        <v>250</v>
      </c>
      <c r="EZS47" s="58" t="s">
        <v>247</v>
      </c>
      <c r="EZT47" s="58" t="s">
        <v>248</v>
      </c>
      <c r="EZU47" s="58" t="s">
        <v>249</v>
      </c>
      <c r="EZV47" s="58" t="s">
        <v>250</v>
      </c>
      <c r="EZW47" s="58" t="s">
        <v>247</v>
      </c>
      <c r="EZX47" s="58" t="s">
        <v>248</v>
      </c>
      <c r="EZY47" s="58" t="s">
        <v>249</v>
      </c>
      <c r="EZZ47" s="58" t="s">
        <v>250</v>
      </c>
      <c r="FAA47" s="58" t="s">
        <v>247</v>
      </c>
      <c r="FAB47" s="58" t="s">
        <v>248</v>
      </c>
      <c r="FAC47" s="58" t="s">
        <v>249</v>
      </c>
      <c r="FAD47" s="58" t="s">
        <v>250</v>
      </c>
      <c r="FAE47" s="58" t="s">
        <v>247</v>
      </c>
      <c r="FAF47" s="58" t="s">
        <v>248</v>
      </c>
      <c r="FAG47" s="58" t="s">
        <v>249</v>
      </c>
      <c r="FAH47" s="58" t="s">
        <v>250</v>
      </c>
      <c r="FAI47" s="58" t="s">
        <v>247</v>
      </c>
      <c r="FAJ47" s="58" t="s">
        <v>248</v>
      </c>
      <c r="FAK47" s="58" t="s">
        <v>249</v>
      </c>
      <c r="FAL47" s="58" t="s">
        <v>250</v>
      </c>
      <c r="FAM47" s="58" t="s">
        <v>247</v>
      </c>
      <c r="FAN47" s="58" t="s">
        <v>248</v>
      </c>
      <c r="FAO47" s="58" t="s">
        <v>249</v>
      </c>
      <c r="FAP47" s="58" t="s">
        <v>250</v>
      </c>
      <c r="FAQ47" s="58" t="s">
        <v>247</v>
      </c>
      <c r="FAR47" s="58" t="s">
        <v>248</v>
      </c>
      <c r="FAS47" s="58" t="s">
        <v>249</v>
      </c>
      <c r="FAT47" s="58" t="s">
        <v>250</v>
      </c>
      <c r="FAU47" s="58" t="s">
        <v>247</v>
      </c>
      <c r="FAV47" s="58" t="s">
        <v>248</v>
      </c>
      <c r="FAW47" s="58" t="s">
        <v>249</v>
      </c>
      <c r="FAX47" s="58" t="s">
        <v>250</v>
      </c>
      <c r="FAY47" s="58" t="s">
        <v>247</v>
      </c>
      <c r="FAZ47" s="58" t="s">
        <v>248</v>
      </c>
      <c r="FBA47" s="58" t="s">
        <v>249</v>
      </c>
      <c r="FBB47" s="58" t="s">
        <v>250</v>
      </c>
      <c r="FBC47" s="58" t="s">
        <v>247</v>
      </c>
      <c r="FBD47" s="58" t="s">
        <v>248</v>
      </c>
      <c r="FBE47" s="58" t="s">
        <v>249</v>
      </c>
      <c r="FBF47" s="58" t="s">
        <v>250</v>
      </c>
      <c r="FBG47" s="58" t="s">
        <v>247</v>
      </c>
      <c r="FBH47" s="58" t="s">
        <v>248</v>
      </c>
      <c r="FBI47" s="58" t="s">
        <v>249</v>
      </c>
      <c r="FBJ47" s="58" t="s">
        <v>250</v>
      </c>
      <c r="FBK47" s="58" t="s">
        <v>247</v>
      </c>
      <c r="FBL47" s="58" t="s">
        <v>248</v>
      </c>
      <c r="FBM47" s="58" t="s">
        <v>249</v>
      </c>
      <c r="FBN47" s="58" t="s">
        <v>250</v>
      </c>
      <c r="FBO47" s="58" t="s">
        <v>247</v>
      </c>
      <c r="FBP47" s="58" t="s">
        <v>248</v>
      </c>
      <c r="FBQ47" s="58" t="s">
        <v>249</v>
      </c>
      <c r="FBR47" s="58" t="s">
        <v>250</v>
      </c>
      <c r="FBS47" s="58" t="s">
        <v>247</v>
      </c>
      <c r="FBT47" s="58" t="s">
        <v>248</v>
      </c>
      <c r="FBU47" s="58" t="s">
        <v>249</v>
      </c>
      <c r="FBV47" s="58" t="s">
        <v>250</v>
      </c>
      <c r="FBW47" s="58" t="s">
        <v>247</v>
      </c>
      <c r="FBX47" s="58" t="s">
        <v>248</v>
      </c>
      <c r="FBY47" s="58" t="s">
        <v>249</v>
      </c>
      <c r="FBZ47" s="58" t="s">
        <v>250</v>
      </c>
      <c r="FCA47" s="58" t="s">
        <v>247</v>
      </c>
      <c r="FCB47" s="58" t="s">
        <v>248</v>
      </c>
      <c r="FCC47" s="58" t="s">
        <v>249</v>
      </c>
      <c r="FCD47" s="58" t="s">
        <v>250</v>
      </c>
      <c r="FCE47" s="58" t="s">
        <v>247</v>
      </c>
      <c r="FCF47" s="58" t="s">
        <v>248</v>
      </c>
      <c r="FCG47" s="58" t="s">
        <v>249</v>
      </c>
      <c r="FCH47" s="58" t="s">
        <v>250</v>
      </c>
      <c r="FCI47" s="58" t="s">
        <v>247</v>
      </c>
      <c r="FCJ47" s="58" t="s">
        <v>248</v>
      </c>
      <c r="FCK47" s="58" t="s">
        <v>249</v>
      </c>
      <c r="FCL47" s="58" t="s">
        <v>250</v>
      </c>
      <c r="FCM47" s="58" t="s">
        <v>247</v>
      </c>
      <c r="FCN47" s="58" t="s">
        <v>248</v>
      </c>
      <c r="FCO47" s="58" t="s">
        <v>249</v>
      </c>
      <c r="FCP47" s="58" t="s">
        <v>250</v>
      </c>
      <c r="FCQ47" s="58" t="s">
        <v>247</v>
      </c>
      <c r="FCR47" s="58" t="s">
        <v>248</v>
      </c>
      <c r="FCS47" s="58" t="s">
        <v>249</v>
      </c>
      <c r="FCT47" s="58" t="s">
        <v>250</v>
      </c>
      <c r="FCU47" s="58" t="s">
        <v>247</v>
      </c>
      <c r="FCV47" s="58" t="s">
        <v>248</v>
      </c>
      <c r="FCW47" s="58" t="s">
        <v>249</v>
      </c>
      <c r="FCX47" s="58" t="s">
        <v>250</v>
      </c>
      <c r="FCY47" s="58" t="s">
        <v>247</v>
      </c>
      <c r="FCZ47" s="58" t="s">
        <v>248</v>
      </c>
      <c r="FDA47" s="58" t="s">
        <v>249</v>
      </c>
      <c r="FDB47" s="58" t="s">
        <v>250</v>
      </c>
      <c r="FDC47" s="58" t="s">
        <v>247</v>
      </c>
      <c r="FDD47" s="58" t="s">
        <v>248</v>
      </c>
      <c r="FDE47" s="58" t="s">
        <v>249</v>
      </c>
      <c r="FDF47" s="58" t="s">
        <v>250</v>
      </c>
      <c r="FDG47" s="58" t="s">
        <v>247</v>
      </c>
      <c r="FDH47" s="58" t="s">
        <v>248</v>
      </c>
      <c r="FDI47" s="58" t="s">
        <v>249</v>
      </c>
      <c r="FDJ47" s="58" t="s">
        <v>250</v>
      </c>
      <c r="FDK47" s="58" t="s">
        <v>247</v>
      </c>
      <c r="FDL47" s="58" t="s">
        <v>248</v>
      </c>
      <c r="FDM47" s="58" t="s">
        <v>249</v>
      </c>
      <c r="FDN47" s="58" t="s">
        <v>250</v>
      </c>
      <c r="FDO47" s="58" t="s">
        <v>247</v>
      </c>
      <c r="FDP47" s="58" t="s">
        <v>248</v>
      </c>
      <c r="FDQ47" s="58" t="s">
        <v>249</v>
      </c>
      <c r="FDR47" s="58" t="s">
        <v>250</v>
      </c>
      <c r="FDS47" s="58" t="s">
        <v>247</v>
      </c>
      <c r="FDT47" s="58" t="s">
        <v>248</v>
      </c>
      <c r="FDU47" s="58" t="s">
        <v>249</v>
      </c>
      <c r="FDV47" s="58" t="s">
        <v>250</v>
      </c>
      <c r="FDW47" s="58" t="s">
        <v>247</v>
      </c>
      <c r="FDX47" s="58" t="s">
        <v>248</v>
      </c>
      <c r="FDY47" s="58" t="s">
        <v>249</v>
      </c>
      <c r="FDZ47" s="58" t="s">
        <v>250</v>
      </c>
      <c r="FEA47" s="58" t="s">
        <v>247</v>
      </c>
      <c r="FEB47" s="58" t="s">
        <v>248</v>
      </c>
      <c r="FEC47" s="58" t="s">
        <v>249</v>
      </c>
      <c r="FED47" s="58" t="s">
        <v>250</v>
      </c>
      <c r="FEE47" s="58" t="s">
        <v>247</v>
      </c>
      <c r="FEF47" s="58" t="s">
        <v>248</v>
      </c>
      <c r="FEG47" s="58" t="s">
        <v>249</v>
      </c>
      <c r="FEH47" s="58" t="s">
        <v>250</v>
      </c>
      <c r="FEI47" s="58" t="s">
        <v>247</v>
      </c>
      <c r="FEJ47" s="58" t="s">
        <v>248</v>
      </c>
      <c r="FEK47" s="58" t="s">
        <v>249</v>
      </c>
      <c r="FEL47" s="58" t="s">
        <v>250</v>
      </c>
      <c r="FEM47" s="58" t="s">
        <v>247</v>
      </c>
      <c r="FEN47" s="58" t="s">
        <v>248</v>
      </c>
      <c r="FEO47" s="58" t="s">
        <v>249</v>
      </c>
      <c r="FEP47" s="58" t="s">
        <v>250</v>
      </c>
      <c r="FEQ47" s="58" t="s">
        <v>247</v>
      </c>
      <c r="FER47" s="58" t="s">
        <v>248</v>
      </c>
      <c r="FES47" s="58" t="s">
        <v>249</v>
      </c>
      <c r="FET47" s="58" t="s">
        <v>250</v>
      </c>
      <c r="FEU47" s="58" t="s">
        <v>247</v>
      </c>
      <c r="FEV47" s="58" t="s">
        <v>248</v>
      </c>
      <c r="FEW47" s="58" t="s">
        <v>249</v>
      </c>
      <c r="FEX47" s="58" t="s">
        <v>250</v>
      </c>
      <c r="FEY47" s="58" t="s">
        <v>247</v>
      </c>
      <c r="FEZ47" s="58" t="s">
        <v>248</v>
      </c>
      <c r="FFA47" s="58" t="s">
        <v>249</v>
      </c>
      <c r="FFB47" s="58" t="s">
        <v>250</v>
      </c>
      <c r="FFC47" s="58" t="s">
        <v>247</v>
      </c>
      <c r="FFD47" s="58" t="s">
        <v>248</v>
      </c>
      <c r="FFE47" s="58" t="s">
        <v>249</v>
      </c>
      <c r="FFF47" s="58" t="s">
        <v>250</v>
      </c>
      <c r="FFG47" s="58" t="s">
        <v>247</v>
      </c>
      <c r="FFH47" s="58" t="s">
        <v>248</v>
      </c>
      <c r="FFI47" s="58" t="s">
        <v>249</v>
      </c>
      <c r="FFJ47" s="58" t="s">
        <v>250</v>
      </c>
      <c r="FFK47" s="58" t="s">
        <v>247</v>
      </c>
      <c r="FFL47" s="58" t="s">
        <v>248</v>
      </c>
      <c r="FFM47" s="58" t="s">
        <v>249</v>
      </c>
      <c r="FFN47" s="58" t="s">
        <v>250</v>
      </c>
      <c r="FFO47" s="58" t="s">
        <v>247</v>
      </c>
      <c r="FFP47" s="58" t="s">
        <v>248</v>
      </c>
      <c r="FFQ47" s="58" t="s">
        <v>249</v>
      </c>
      <c r="FFR47" s="58" t="s">
        <v>250</v>
      </c>
      <c r="FFS47" s="58" t="s">
        <v>247</v>
      </c>
      <c r="FFT47" s="58" t="s">
        <v>248</v>
      </c>
      <c r="FFU47" s="58" t="s">
        <v>249</v>
      </c>
      <c r="FFV47" s="58" t="s">
        <v>250</v>
      </c>
      <c r="FFW47" s="58" t="s">
        <v>247</v>
      </c>
      <c r="FFX47" s="58" t="s">
        <v>248</v>
      </c>
      <c r="FFY47" s="58" t="s">
        <v>249</v>
      </c>
      <c r="FFZ47" s="58" t="s">
        <v>250</v>
      </c>
      <c r="FGA47" s="58" t="s">
        <v>247</v>
      </c>
      <c r="FGB47" s="58" t="s">
        <v>248</v>
      </c>
      <c r="FGC47" s="58" t="s">
        <v>249</v>
      </c>
      <c r="FGD47" s="58" t="s">
        <v>250</v>
      </c>
      <c r="FGE47" s="58" t="s">
        <v>247</v>
      </c>
      <c r="FGF47" s="58" t="s">
        <v>248</v>
      </c>
      <c r="FGG47" s="58" t="s">
        <v>249</v>
      </c>
      <c r="FGH47" s="58" t="s">
        <v>250</v>
      </c>
      <c r="FGI47" s="58" t="s">
        <v>247</v>
      </c>
      <c r="FGJ47" s="58" t="s">
        <v>248</v>
      </c>
      <c r="FGK47" s="58" t="s">
        <v>249</v>
      </c>
      <c r="FGL47" s="58" t="s">
        <v>250</v>
      </c>
      <c r="FGM47" s="58" t="s">
        <v>247</v>
      </c>
      <c r="FGN47" s="58" t="s">
        <v>248</v>
      </c>
      <c r="FGO47" s="58" t="s">
        <v>249</v>
      </c>
      <c r="FGP47" s="58" t="s">
        <v>250</v>
      </c>
      <c r="FGQ47" s="58" t="s">
        <v>247</v>
      </c>
      <c r="FGR47" s="58" t="s">
        <v>248</v>
      </c>
      <c r="FGS47" s="58" t="s">
        <v>249</v>
      </c>
      <c r="FGT47" s="58" t="s">
        <v>250</v>
      </c>
      <c r="FGU47" s="58" t="s">
        <v>247</v>
      </c>
      <c r="FGV47" s="58" t="s">
        <v>248</v>
      </c>
      <c r="FGW47" s="58" t="s">
        <v>249</v>
      </c>
      <c r="FGX47" s="58" t="s">
        <v>250</v>
      </c>
      <c r="FGY47" s="58" t="s">
        <v>247</v>
      </c>
      <c r="FGZ47" s="58" t="s">
        <v>248</v>
      </c>
      <c r="FHA47" s="58" t="s">
        <v>249</v>
      </c>
      <c r="FHB47" s="58" t="s">
        <v>250</v>
      </c>
      <c r="FHC47" s="58" t="s">
        <v>247</v>
      </c>
      <c r="FHD47" s="58" t="s">
        <v>248</v>
      </c>
      <c r="FHE47" s="58" t="s">
        <v>249</v>
      </c>
      <c r="FHF47" s="58" t="s">
        <v>250</v>
      </c>
      <c r="FHG47" s="58" t="s">
        <v>247</v>
      </c>
      <c r="FHH47" s="58" t="s">
        <v>248</v>
      </c>
      <c r="FHI47" s="58" t="s">
        <v>249</v>
      </c>
      <c r="FHJ47" s="58" t="s">
        <v>250</v>
      </c>
      <c r="FHK47" s="58" t="s">
        <v>247</v>
      </c>
      <c r="FHL47" s="58" t="s">
        <v>248</v>
      </c>
      <c r="FHM47" s="58" t="s">
        <v>249</v>
      </c>
      <c r="FHN47" s="58" t="s">
        <v>250</v>
      </c>
      <c r="FHO47" s="58" t="s">
        <v>247</v>
      </c>
      <c r="FHP47" s="58" t="s">
        <v>248</v>
      </c>
      <c r="FHQ47" s="58" t="s">
        <v>249</v>
      </c>
      <c r="FHR47" s="58" t="s">
        <v>250</v>
      </c>
      <c r="FHS47" s="58" t="s">
        <v>247</v>
      </c>
      <c r="FHT47" s="58" t="s">
        <v>248</v>
      </c>
      <c r="FHU47" s="58" t="s">
        <v>249</v>
      </c>
      <c r="FHV47" s="58" t="s">
        <v>250</v>
      </c>
      <c r="FHW47" s="58" t="s">
        <v>247</v>
      </c>
      <c r="FHX47" s="58" t="s">
        <v>248</v>
      </c>
      <c r="FHY47" s="58" t="s">
        <v>249</v>
      </c>
      <c r="FHZ47" s="58" t="s">
        <v>250</v>
      </c>
      <c r="FIA47" s="58" t="s">
        <v>247</v>
      </c>
      <c r="FIB47" s="58" t="s">
        <v>248</v>
      </c>
      <c r="FIC47" s="58" t="s">
        <v>249</v>
      </c>
      <c r="FID47" s="58" t="s">
        <v>250</v>
      </c>
      <c r="FIE47" s="58" t="s">
        <v>247</v>
      </c>
      <c r="FIF47" s="58" t="s">
        <v>248</v>
      </c>
      <c r="FIG47" s="58" t="s">
        <v>249</v>
      </c>
      <c r="FIH47" s="58" t="s">
        <v>250</v>
      </c>
      <c r="FII47" s="58" t="s">
        <v>247</v>
      </c>
      <c r="FIJ47" s="58" t="s">
        <v>248</v>
      </c>
      <c r="FIK47" s="58" t="s">
        <v>249</v>
      </c>
      <c r="FIL47" s="58" t="s">
        <v>250</v>
      </c>
      <c r="FIM47" s="58" t="s">
        <v>247</v>
      </c>
      <c r="FIN47" s="58" t="s">
        <v>248</v>
      </c>
      <c r="FIO47" s="58" t="s">
        <v>249</v>
      </c>
      <c r="FIP47" s="58" t="s">
        <v>250</v>
      </c>
      <c r="FIQ47" s="58" t="s">
        <v>247</v>
      </c>
      <c r="FIR47" s="58" t="s">
        <v>248</v>
      </c>
      <c r="FIS47" s="58" t="s">
        <v>249</v>
      </c>
      <c r="FIT47" s="58" t="s">
        <v>250</v>
      </c>
      <c r="FIU47" s="58" t="s">
        <v>247</v>
      </c>
      <c r="FIV47" s="58" t="s">
        <v>248</v>
      </c>
      <c r="FIW47" s="58" t="s">
        <v>249</v>
      </c>
      <c r="FIX47" s="58" t="s">
        <v>250</v>
      </c>
      <c r="FIY47" s="58" t="s">
        <v>247</v>
      </c>
      <c r="FIZ47" s="58" t="s">
        <v>248</v>
      </c>
      <c r="FJA47" s="58" t="s">
        <v>249</v>
      </c>
      <c r="FJB47" s="58" t="s">
        <v>250</v>
      </c>
      <c r="FJC47" s="58" t="s">
        <v>247</v>
      </c>
      <c r="FJD47" s="58" t="s">
        <v>248</v>
      </c>
      <c r="FJE47" s="58" t="s">
        <v>249</v>
      </c>
      <c r="FJF47" s="58" t="s">
        <v>250</v>
      </c>
      <c r="FJG47" s="58" t="s">
        <v>247</v>
      </c>
      <c r="FJH47" s="58" t="s">
        <v>248</v>
      </c>
      <c r="FJI47" s="58" t="s">
        <v>249</v>
      </c>
      <c r="FJJ47" s="58" t="s">
        <v>250</v>
      </c>
      <c r="FJK47" s="58" t="s">
        <v>247</v>
      </c>
      <c r="FJL47" s="58" t="s">
        <v>248</v>
      </c>
      <c r="FJM47" s="58" t="s">
        <v>249</v>
      </c>
      <c r="FJN47" s="58" t="s">
        <v>250</v>
      </c>
      <c r="FJO47" s="58" t="s">
        <v>247</v>
      </c>
      <c r="FJP47" s="58" t="s">
        <v>248</v>
      </c>
      <c r="FJQ47" s="58" t="s">
        <v>249</v>
      </c>
      <c r="FJR47" s="58" t="s">
        <v>250</v>
      </c>
      <c r="FJS47" s="58" t="s">
        <v>247</v>
      </c>
      <c r="FJT47" s="58" t="s">
        <v>248</v>
      </c>
      <c r="FJU47" s="58" t="s">
        <v>249</v>
      </c>
      <c r="FJV47" s="58" t="s">
        <v>250</v>
      </c>
      <c r="FJW47" s="58" t="s">
        <v>247</v>
      </c>
      <c r="FJX47" s="58" t="s">
        <v>248</v>
      </c>
      <c r="FJY47" s="58" t="s">
        <v>249</v>
      </c>
      <c r="FJZ47" s="58" t="s">
        <v>250</v>
      </c>
      <c r="FKA47" s="58" t="s">
        <v>247</v>
      </c>
      <c r="FKB47" s="58" t="s">
        <v>248</v>
      </c>
      <c r="FKC47" s="58" t="s">
        <v>249</v>
      </c>
      <c r="FKD47" s="58" t="s">
        <v>250</v>
      </c>
      <c r="FKE47" s="58" t="s">
        <v>247</v>
      </c>
      <c r="FKF47" s="58" t="s">
        <v>248</v>
      </c>
      <c r="FKG47" s="58" t="s">
        <v>249</v>
      </c>
      <c r="FKH47" s="58" t="s">
        <v>250</v>
      </c>
      <c r="FKI47" s="58" t="s">
        <v>247</v>
      </c>
      <c r="FKJ47" s="58" t="s">
        <v>248</v>
      </c>
      <c r="FKK47" s="58" t="s">
        <v>249</v>
      </c>
      <c r="FKL47" s="58" t="s">
        <v>250</v>
      </c>
      <c r="FKM47" s="58" t="s">
        <v>247</v>
      </c>
      <c r="FKN47" s="58" t="s">
        <v>248</v>
      </c>
      <c r="FKO47" s="58" t="s">
        <v>249</v>
      </c>
      <c r="FKP47" s="58" t="s">
        <v>250</v>
      </c>
      <c r="FKQ47" s="58" t="s">
        <v>247</v>
      </c>
      <c r="FKR47" s="58" t="s">
        <v>248</v>
      </c>
      <c r="FKS47" s="58" t="s">
        <v>249</v>
      </c>
      <c r="FKT47" s="58" t="s">
        <v>250</v>
      </c>
      <c r="FKU47" s="58" t="s">
        <v>247</v>
      </c>
      <c r="FKV47" s="58" t="s">
        <v>248</v>
      </c>
      <c r="FKW47" s="58" t="s">
        <v>249</v>
      </c>
      <c r="FKX47" s="58" t="s">
        <v>250</v>
      </c>
      <c r="FKY47" s="58" t="s">
        <v>247</v>
      </c>
      <c r="FKZ47" s="58" t="s">
        <v>248</v>
      </c>
      <c r="FLA47" s="58" t="s">
        <v>249</v>
      </c>
      <c r="FLB47" s="58" t="s">
        <v>250</v>
      </c>
      <c r="FLC47" s="58" t="s">
        <v>247</v>
      </c>
      <c r="FLD47" s="58" t="s">
        <v>248</v>
      </c>
      <c r="FLE47" s="58" t="s">
        <v>249</v>
      </c>
      <c r="FLF47" s="58" t="s">
        <v>250</v>
      </c>
      <c r="FLG47" s="58" t="s">
        <v>247</v>
      </c>
      <c r="FLH47" s="58" t="s">
        <v>248</v>
      </c>
      <c r="FLI47" s="58" t="s">
        <v>249</v>
      </c>
      <c r="FLJ47" s="58" t="s">
        <v>250</v>
      </c>
      <c r="FLK47" s="58" t="s">
        <v>247</v>
      </c>
      <c r="FLL47" s="58" t="s">
        <v>248</v>
      </c>
      <c r="FLM47" s="58" t="s">
        <v>249</v>
      </c>
      <c r="FLN47" s="58" t="s">
        <v>250</v>
      </c>
      <c r="FLO47" s="58" t="s">
        <v>247</v>
      </c>
      <c r="FLP47" s="58" t="s">
        <v>248</v>
      </c>
      <c r="FLQ47" s="58" t="s">
        <v>249</v>
      </c>
      <c r="FLR47" s="58" t="s">
        <v>250</v>
      </c>
      <c r="FLS47" s="58" t="s">
        <v>247</v>
      </c>
      <c r="FLT47" s="58" t="s">
        <v>248</v>
      </c>
      <c r="FLU47" s="58" t="s">
        <v>249</v>
      </c>
      <c r="FLV47" s="58" t="s">
        <v>250</v>
      </c>
      <c r="FLW47" s="58" t="s">
        <v>247</v>
      </c>
      <c r="FLX47" s="58" t="s">
        <v>248</v>
      </c>
      <c r="FLY47" s="58" t="s">
        <v>249</v>
      </c>
      <c r="FLZ47" s="58" t="s">
        <v>250</v>
      </c>
      <c r="FMA47" s="58" t="s">
        <v>247</v>
      </c>
      <c r="FMB47" s="58" t="s">
        <v>248</v>
      </c>
      <c r="FMC47" s="58" t="s">
        <v>249</v>
      </c>
      <c r="FMD47" s="58" t="s">
        <v>250</v>
      </c>
      <c r="FME47" s="58" t="s">
        <v>247</v>
      </c>
      <c r="FMF47" s="58" t="s">
        <v>248</v>
      </c>
      <c r="FMG47" s="58" t="s">
        <v>249</v>
      </c>
      <c r="FMH47" s="58" t="s">
        <v>250</v>
      </c>
      <c r="FMI47" s="58" t="s">
        <v>247</v>
      </c>
      <c r="FMJ47" s="58" t="s">
        <v>248</v>
      </c>
      <c r="FMK47" s="58" t="s">
        <v>249</v>
      </c>
      <c r="FML47" s="58" t="s">
        <v>250</v>
      </c>
      <c r="FMM47" s="58" t="s">
        <v>247</v>
      </c>
      <c r="FMN47" s="58" t="s">
        <v>248</v>
      </c>
      <c r="FMO47" s="58" t="s">
        <v>249</v>
      </c>
      <c r="FMP47" s="58" t="s">
        <v>250</v>
      </c>
      <c r="FMQ47" s="58" t="s">
        <v>247</v>
      </c>
      <c r="FMR47" s="58" t="s">
        <v>248</v>
      </c>
      <c r="FMS47" s="58" t="s">
        <v>249</v>
      </c>
      <c r="FMT47" s="58" t="s">
        <v>250</v>
      </c>
      <c r="FMU47" s="58" t="s">
        <v>247</v>
      </c>
      <c r="FMV47" s="58" t="s">
        <v>248</v>
      </c>
      <c r="FMW47" s="58" t="s">
        <v>249</v>
      </c>
      <c r="FMX47" s="58" t="s">
        <v>250</v>
      </c>
      <c r="FMY47" s="58" t="s">
        <v>247</v>
      </c>
      <c r="FMZ47" s="58" t="s">
        <v>248</v>
      </c>
      <c r="FNA47" s="58" t="s">
        <v>249</v>
      </c>
      <c r="FNB47" s="58" t="s">
        <v>250</v>
      </c>
      <c r="FNC47" s="58" t="s">
        <v>247</v>
      </c>
      <c r="FND47" s="58" t="s">
        <v>248</v>
      </c>
      <c r="FNE47" s="58" t="s">
        <v>249</v>
      </c>
      <c r="FNF47" s="58" t="s">
        <v>250</v>
      </c>
      <c r="FNG47" s="58" t="s">
        <v>247</v>
      </c>
      <c r="FNH47" s="58" t="s">
        <v>248</v>
      </c>
      <c r="FNI47" s="58" t="s">
        <v>249</v>
      </c>
      <c r="FNJ47" s="58" t="s">
        <v>250</v>
      </c>
      <c r="FNK47" s="58" t="s">
        <v>247</v>
      </c>
      <c r="FNL47" s="58" t="s">
        <v>248</v>
      </c>
      <c r="FNM47" s="58" t="s">
        <v>249</v>
      </c>
      <c r="FNN47" s="58" t="s">
        <v>250</v>
      </c>
      <c r="FNO47" s="58" t="s">
        <v>247</v>
      </c>
      <c r="FNP47" s="58" t="s">
        <v>248</v>
      </c>
      <c r="FNQ47" s="58" t="s">
        <v>249</v>
      </c>
      <c r="FNR47" s="58" t="s">
        <v>250</v>
      </c>
      <c r="FNS47" s="58" t="s">
        <v>247</v>
      </c>
      <c r="FNT47" s="58" t="s">
        <v>248</v>
      </c>
      <c r="FNU47" s="58" t="s">
        <v>249</v>
      </c>
      <c r="FNV47" s="58" t="s">
        <v>250</v>
      </c>
      <c r="FNW47" s="58" t="s">
        <v>247</v>
      </c>
      <c r="FNX47" s="58" t="s">
        <v>248</v>
      </c>
      <c r="FNY47" s="58" t="s">
        <v>249</v>
      </c>
      <c r="FNZ47" s="58" t="s">
        <v>250</v>
      </c>
      <c r="FOA47" s="58" t="s">
        <v>247</v>
      </c>
      <c r="FOB47" s="58" t="s">
        <v>248</v>
      </c>
      <c r="FOC47" s="58" t="s">
        <v>249</v>
      </c>
      <c r="FOD47" s="58" t="s">
        <v>250</v>
      </c>
      <c r="FOE47" s="58" t="s">
        <v>247</v>
      </c>
      <c r="FOF47" s="58" t="s">
        <v>248</v>
      </c>
      <c r="FOG47" s="58" t="s">
        <v>249</v>
      </c>
      <c r="FOH47" s="58" t="s">
        <v>250</v>
      </c>
      <c r="FOI47" s="58" t="s">
        <v>247</v>
      </c>
      <c r="FOJ47" s="58" t="s">
        <v>248</v>
      </c>
      <c r="FOK47" s="58" t="s">
        <v>249</v>
      </c>
      <c r="FOL47" s="58" t="s">
        <v>250</v>
      </c>
      <c r="FOM47" s="58" t="s">
        <v>247</v>
      </c>
      <c r="FON47" s="58" t="s">
        <v>248</v>
      </c>
      <c r="FOO47" s="58" t="s">
        <v>249</v>
      </c>
      <c r="FOP47" s="58" t="s">
        <v>250</v>
      </c>
      <c r="FOQ47" s="58" t="s">
        <v>247</v>
      </c>
      <c r="FOR47" s="58" t="s">
        <v>248</v>
      </c>
      <c r="FOS47" s="58" t="s">
        <v>249</v>
      </c>
      <c r="FOT47" s="58" t="s">
        <v>250</v>
      </c>
      <c r="FOU47" s="58" t="s">
        <v>247</v>
      </c>
      <c r="FOV47" s="58" t="s">
        <v>248</v>
      </c>
      <c r="FOW47" s="58" t="s">
        <v>249</v>
      </c>
      <c r="FOX47" s="58" t="s">
        <v>250</v>
      </c>
      <c r="FOY47" s="58" t="s">
        <v>247</v>
      </c>
      <c r="FOZ47" s="58" t="s">
        <v>248</v>
      </c>
      <c r="FPA47" s="58" t="s">
        <v>249</v>
      </c>
      <c r="FPB47" s="58" t="s">
        <v>250</v>
      </c>
      <c r="FPC47" s="58" t="s">
        <v>247</v>
      </c>
      <c r="FPD47" s="58" t="s">
        <v>248</v>
      </c>
      <c r="FPE47" s="58" t="s">
        <v>249</v>
      </c>
      <c r="FPF47" s="58" t="s">
        <v>250</v>
      </c>
      <c r="FPG47" s="58" t="s">
        <v>247</v>
      </c>
      <c r="FPH47" s="58" t="s">
        <v>248</v>
      </c>
      <c r="FPI47" s="58" t="s">
        <v>249</v>
      </c>
      <c r="FPJ47" s="58" t="s">
        <v>250</v>
      </c>
      <c r="FPK47" s="58" t="s">
        <v>247</v>
      </c>
      <c r="FPL47" s="58" t="s">
        <v>248</v>
      </c>
      <c r="FPM47" s="58" t="s">
        <v>249</v>
      </c>
      <c r="FPN47" s="58" t="s">
        <v>250</v>
      </c>
      <c r="FPO47" s="58" t="s">
        <v>247</v>
      </c>
      <c r="FPP47" s="58" t="s">
        <v>248</v>
      </c>
      <c r="FPQ47" s="58" t="s">
        <v>249</v>
      </c>
      <c r="FPR47" s="58" t="s">
        <v>250</v>
      </c>
      <c r="FPS47" s="58" t="s">
        <v>247</v>
      </c>
      <c r="FPT47" s="58" t="s">
        <v>248</v>
      </c>
      <c r="FPU47" s="58" t="s">
        <v>249</v>
      </c>
      <c r="FPV47" s="58" t="s">
        <v>250</v>
      </c>
      <c r="FPW47" s="58" t="s">
        <v>247</v>
      </c>
      <c r="FPX47" s="58" t="s">
        <v>248</v>
      </c>
      <c r="FPY47" s="58" t="s">
        <v>249</v>
      </c>
      <c r="FPZ47" s="58" t="s">
        <v>250</v>
      </c>
      <c r="FQA47" s="58" t="s">
        <v>247</v>
      </c>
      <c r="FQB47" s="58" t="s">
        <v>248</v>
      </c>
      <c r="FQC47" s="58" t="s">
        <v>249</v>
      </c>
      <c r="FQD47" s="58" t="s">
        <v>250</v>
      </c>
      <c r="FQE47" s="58" t="s">
        <v>247</v>
      </c>
      <c r="FQF47" s="58" t="s">
        <v>248</v>
      </c>
      <c r="FQG47" s="58" t="s">
        <v>249</v>
      </c>
      <c r="FQH47" s="58" t="s">
        <v>250</v>
      </c>
      <c r="FQI47" s="58" t="s">
        <v>247</v>
      </c>
      <c r="FQJ47" s="58" t="s">
        <v>248</v>
      </c>
      <c r="FQK47" s="58" t="s">
        <v>249</v>
      </c>
      <c r="FQL47" s="58" t="s">
        <v>250</v>
      </c>
      <c r="FQM47" s="58" t="s">
        <v>247</v>
      </c>
      <c r="FQN47" s="58" t="s">
        <v>248</v>
      </c>
      <c r="FQO47" s="58" t="s">
        <v>249</v>
      </c>
      <c r="FQP47" s="58" t="s">
        <v>250</v>
      </c>
      <c r="FQQ47" s="58" t="s">
        <v>247</v>
      </c>
      <c r="FQR47" s="58" t="s">
        <v>248</v>
      </c>
      <c r="FQS47" s="58" t="s">
        <v>249</v>
      </c>
      <c r="FQT47" s="58" t="s">
        <v>250</v>
      </c>
      <c r="FQU47" s="58" t="s">
        <v>247</v>
      </c>
      <c r="FQV47" s="58" t="s">
        <v>248</v>
      </c>
      <c r="FQW47" s="58" t="s">
        <v>249</v>
      </c>
      <c r="FQX47" s="58" t="s">
        <v>250</v>
      </c>
      <c r="FQY47" s="58" t="s">
        <v>247</v>
      </c>
      <c r="FQZ47" s="58" t="s">
        <v>248</v>
      </c>
      <c r="FRA47" s="58" t="s">
        <v>249</v>
      </c>
      <c r="FRB47" s="58" t="s">
        <v>250</v>
      </c>
      <c r="FRC47" s="58" t="s">
        <v>247</v>
      </c>
      <c r="FRD47" s="58" t="s">
        <v>248</v>
      </c>
      <c r="FRE47" s="58" t="s">
        <v>249</v>
      </c>
      <c r="FRF47" s="58" t="s">
        <v>250</v>
      </c>
      <c r="FRG47" s="58" t="s">
        <v>247</v>
      </c>
      <c r="FRH47" s="58" t="s">
        <v>248</v>
      </c>
      <c r="FRI47" s="58" t="s">
        <v>249</v>
      </c>
      <c r="FRJ47" s="58" t="s">
        <v>250</v>
      </c>
      <c r="FRK47" s="58" t="s">
        <v>247</v>
      </c>
      <c r="FRL47" s="58" t="s">
        <v>248</v>
      </c>
      <c r="FRM47" s="58" t="s">
        <v>249</v>
      </c>
      <c r="FRN47" s="58" t="s">
        <v>250</v>
      </c>
      <c r="FRO47" s="58" t="s">
        <v>247</v>
      </c>
      <c r="FRP47" s="58" t="s">
        <v>248</v>
      </c>
      <c r="FRQ47" s="58" t="s">
        <v>249</v>
      </c>
      <c r="FRR47" s="58" t="s">
        <v>250</v>
      </c>
      <c r="FRS47" s="58" t="s">
        <v>247</v>
      </c>
      <c r="FRT47" s="58" t="s">
        <v>248</v>
      </c>
      <c r="FRU47" s="58" t="s">
        <v>249</v>
      </c>
      <c r="FRV47" s="58" t="s">
        <v>250</v>
      </c>
      <c r="FRW47" s="58" t="s">
        <v>247</v>
      </c>
      <c r="FRX47" s="58" t="s">
        <v>248</v>
      </c>
      <c r="FRY47" s="58" t="s">
        <v>249</v>
      </c>
      <c r="FRZ47" s="58" t="s">
        <v>250</v>
      </c>
      <c r="FSA47" s="58" t="s">
        <v>247</v>
      </c>
      <c r="FSB47" s="58" t="s">
        <v>248</v>
      </c>
      <c r="FSC47" s="58" t="s">
        <v>249</v>
      </c>
      <c r="FSD47" s="58" t="s">
        <v>250</v>
      </c>
      <c r="FSE47" s="58" t="s">
        <v>247</v>
      </c>
      <c r="FSF47" s="58" t="s">
        <v>248</v>
      </c>
      <c r="FSG47" s="58" t="s">
        <v>249</v>
      </c>
      <c r="FSH47" s="58" t="s">
        <v>250</v>
      </c>
      <c r="FSI47" s="58" t="s">
        <v>247</v>
      </c>
      <c r="FSJ47" s="58" t="s">
        <v>248</v>
      </c>
      <c r="FSK47" s="58" t="s">
        <v>249</v>
      </c>
      <c r="FSL47" s="58" t="s">
        <v>250</v>
      </c>
      <c r="FSM47" s="58" t="s">
        <v>247</v>
      </c>
      <c r="FSN47" s="58" t="s">
        <v>248</v>
      </c>
      <c r="FSO47" s="58" t="s">
        <v>249</v>
      </c>
      <c r="FSP47" s="58" t="s">
        <v>250</v>
      </c>
      <c r="FSQ47" s="58" t="s">
        <v>247</v>
      </c>
      <c r="FSR47" s="58" t="s">
        <v>248</v>
      </c>
      <c r="FSS47" s="58" t="s">
        <v>249</v>
      </c>
      <c r="FST47" s="58" t="s">
        <v>250</v>
      </c>
      <c r="FSU47" s="58" t="s">
        <v>247</v>
      </c>
      <c r="FSV47" s="58" t="s">
        <v>248</v>
      </c>
      <c r="FSW47" s="58" t="s">
        <v>249</v>
      </c>
      <c r="FSX47" s="58" t="s">
        <v>250</v>
      </c>
      <c r="FSY47" s="58" t="s">
        <v>247</v>
      </c>
      <c r="FSZ47" s="58" t="s">
        <v>248</v>
      </c>
      <c r="FTA47" s="58" t="s">
        <v>249</v>
      </c>
      <c r="FTB47" s="58" t="s">
        <v>250</v>
      </c>
      <c r="FTC47" s="58" t="s">
        <v>247</v>
      </c>
      <c r="FTD47" s="58" t="s">
        <v>248</v>
      </c>
      <c r="FTE47" s="58" t="s">
        <v>249</v>
      </c>
      <c r="FTF47" s="58" t="s">
        <v>250</v>
      </c>
      <c r="FTG47" s="58" t="s">
        <v>247</v>
      </c>
      <c r="FTH47" s="58" t="s">
        <v>248</v>
      </c>
      <c r="FTI47" s="58" t="s">
        <v>249</v>
      </c>
      <c r="FTJ47" s="58" t="s">
        <v>250</v>
      </c>
      <c r="FTK47" s="58" t="s">
        <v>247</v>
      </c>
      <c r="FTL47" s="58" t="s">
        <v>248</v>
      </c>
      <c r="FTM47" s="58" t="s">
        <v>249</v>
      </c>
      <c r="FTN47" s="58" t="s">
        <v>250</v>
      </c>
      <c r="FTO47" s="58" t="s">
        <v>247</v>
      </c>
      <c r="FTP47" s="58" t="s">
        <v>248</v>
      </c>
      <c r="FTQ47" s="58" t="s">
        <v>249</v>
      </c>
      <c r="FTR47" s="58" t="s">
        <v>250</v>
      </c>
      <c r="FTS47" s="58" t="s">
        <v>247</v>
      </c>
      <c r="FTT47" s="58" t="s">
        <v>248</v>
      </c>
      <c r="FTU47" s="58" t="s">
        <v>249</v>
      </c>
      <c r="FTV47" s="58" t="s">
        <v>250</v>
      </c>
      <c r="FTW47" s="58" t="s">
        <v>247</v>
      </c>
      <c r="FTX47" s="58" t="s">
        <v>248</v>
      </c>
      <c r="FTY47" s="58" t="s">
        <v>249</v>
      </c>
      <c r="FTZ47" s="58" t="s">
        <v>250</v>
      </c>
      <c r="FUA47" s="58" t="s">
        <v>247</v>
      </c>
      <c r="FUB47" s="58" t="s">
        <v>248</v>
      </c>
      <c r="FUC47" s="58" t="s">
        <v>249</v>
      </c>
      <c r="FUD47" s="58" t="s">
        <v>250</v>
      </c>
      <c r="FUE47" s="58" t="s">
        <v>247</v>
      </c>
      <c r="FUF47" s="58" t="s">
        <v>248</v>
      </c>
      <c r="FUG47" s="58" t="s">
        <v>249</v>
      </c>
      <c r="FUH47" s="58" t="s">
        <v>250</v>
      </c>
      <c r="FUI47" s="58" t="s">
        <v>247</v>
      </c>
      <c r="FUJ47" s="58" t="s">
        <v>248</v>
      </c>
      <c r="FUK47" s="58" t="s">
        <v>249</v>
      </c>
      <c r="FUL47" s="58" t="s">
        <v>250</v>
      </c>
      <c r="FUM47" s="58" t="s">
        <v>247</v>
      </c>
      <c r="FUN47" s="58" t="s">
        <v>248</v>
      </c>
      <c r="FUO47" s="58" t="s">
        <v>249</v>
      </c>
      <c r="FUP47" s="58" t="s">
        <v>250</v>
      </c>
      <c r="FUQ47" s="58" t="s">
        <v>247</v>
      </c>
      <c r="FUR47" s="58" t="s">
        <v>248</v>
      </c>
      <c r="FUS47" s="58" t="s">
        <v>249</v>
      </c>
      <c r="FUT47" s="58" t="s">
        <v>250</v>
      </c>
      <c r="FUU47" s="58" t="s">
        <v>247</v>
      </c>
      <c r="FUV47" s="58" t="s">
        <v>248</v>
      </c>
      <c r="FUW47" s="58" t="s">
        <v>249</v>
      </c>
      <c r="FUX47" s="58" t="s">
        <v>250</v>
      </c>
      <c r="FUY47" s="58" t="s">
        <v>247</v>
      </c>
      <c r="FUZ47" s="58" t="s">
        <v>248</v>
      </c>
      <c r="FVA47" s="58" t="s">
        <v>249</v>
      </c>
      <c r="FVB47" s="58" t="s">
        <v>250</v>
      </c>
      <c r="FVC47" s="58" t="s">
        <v>247</v>
      </c>
      <c r="FVD47" s="58" t="s">
        <v>248</v>
      </c>
      <c r="FVE47" s="58" t="s">
        <v>249</v>
      </c>
      <c r="FVF47" s="58" t="s">
        <v>250</v>
      </c>
      <c r="FVG47" s="58" t="s">
        <v>247</v>
      </c>
      <c r="FVH47" s="58" t="s">
        <v>248</v>
      </c>
      <c r="FVI47" s="58" t="s">
        <v>249</v>
      </c>
      <c r="FVJ47" s="58" t="s">
        <v>250</v>
      </c>
      <c r="FVK47" s="58" t="s">
        <v>247</v>
      </c>
      <c r="FVL47" s="58" t="s">
        <v>248</v>
      </c>
      <c r="FVM47" s="58" t="s">
        <v>249</v>
      </c>
      <c r="FVN47" s="58" t="s">
        <v>250</v>
      </c>
      <c r="FVO47" s="58" t="s">
        <v>247</v>
      </c>
      <c r="FVP47" s="58" t="s">
        <v>248</v>
      </c>
      <c r="FVQ47" s="58" t="s">
        <v>249</v>
      </c>
      <c r="FVR47" s="58" t="s">
        <v>250</v>
      </c>
      <c r="FVS47" s="58" t="s">
        <v>247</v>
      </c>
      <c r="FVT47" s="58" t="s">
        <v>248</v>
      </c>
      <c r="FVU47" s="58" t="s">
        <v>249</v>
      </c>
      <c r="FVV47" s="58" t="s">
        <v>250</v>
      </c>
      <c r="FVW47" s="58" t="s">
        <v>247</v>
      </c>
      <c r="FVX47" s="58" t="s">
        <v>248</v>
      </c>
      <c r="FVY47" s="58" t="s">
        <v>249</v>
      </c>
      <c r="FVZ47" s="58" t="s">
        <v>250</v>
      </c>
      <c r="FWA47" s="58" t="s">
        <v>247</v>
      </c>
      <c r="FWB47" s="58" t="s">
        <v>248</v>
      </c>
      <c r="FWC47" s="58" t="s">
        <v>249</v>
      </c>
      <c r="FWD47" s="58" t="s">
        <v>250</v>
      </c>
      <c r="FWE47" s="58" t="s">
        <v>247</v>
      </c>
      <c r="FWF47" s="58" t="s">
        <v>248</v>
      </c>
      <c r="FWG47" s="58" t="s">
        <v>249</v>
      </c>
      <c r="FWH47" s="58" t="s">
        <v>250</v>
      </c>
      <c r="FWI47" s="58" t="s">
        <v>247</v>
      </c>
      <c r="FWJ47" s="58" t="s">
        <v>248</v>
      </c>
      <c r="FWK47" s="58" t="s">
        <v>249</v>
      </c>
      <c r="FWL47" s="58" t="s">
        <v>250</v>
      </c>
      <c r="FWM47" s="58" t="s">
        <v>247</v>
      </c>
      <c r="FWN47" s="58" t="s">
        <v>248</v>
      </c>
      <c r="FWO47" s="58" t="s">
        <v>249</v>
      </c>
      <c r="FWP47" s="58" t="s">
        <v>250</v>
      </c>
      <c r="FWQ47" s="58" t="s">
        <v>247</v>
      </c>
      <c r="FWR47" s="58" t="s">
        <v>248</v>
      </c>
      <c r="FWS47" s="58" t="s">
        <v>249</v>
      </c>
      <c r="FWT47" s="58" t="s">
        <v>250</v>
      </c>
      <c r="FWU47" s="58" t="s">
        <v>247</v>
      </c>
      <c r="FWV47" s="58" t="s">
        <v>248</v>
      </c>
      <c r="FWW47" s="58" t="s">
        <v>249</v>
      </c>
      <c r="FWX47" s="58" t="s">
        <v>250</v>
      </c>
      <c r="FWY47" s="58" t="s">
        <v>247</v>
      </c>
      <c r="FWZ47" s="58" t="s">
        <v>248</v>
      </c>
      <c r="FXA47" s="58" t="s">
        <v>249</v>
      </c>
      <c r="FXB47" s="58" t="s">
        <v>250</v>
      </c>
      <c r="FXC47" s="58" t="s">
        <v>247</v>
      </c>
      <c r="FXD47" s="58" t="s">
        <v>248</v>
      </c>
      <c r="FXE47" s="58" t="s">
        <v>249</v>
      </c>
      <c r="FXF47" s="58" t="s">
        <v>250</v>
      </c>
      <c r="FXG47" s="58" t="s">
        <v>247</v>
      </c>
      <c r="FXH47" s="58" t="s">
        <v>248</v>
      </c>
      <c r="FXI47" s="58" t="s">
        <v>249</v>
      </c>
      <c r="FXJ47" s="58" t="s">
        <v>250</v>
      </c>
      <c r="FXK47" s="58" t="s">
        <v>247</v>
      </c>
      <c r="FXL47" s="58" t="s">
        <v>248</v>
      </c>
      <c r="FXM47" s="58" t="s">
        <v>249</v>
      </c>
      <c r="FXN47" s="58" t="s">
        <v>250</v>
      </c>
      <c r="FXO47" s="58" t="s">
        <v>247</v>
      </c>
      <c r="FXP47" s="58" t="s">
        <v>248</v>
      </c>
      <c r="FXQ47" s="58" t="s">
        <v>249</v>
      </c>
      <c r="FXR47" s="58" t="s">
        <v>250</v>
      </c>
      <c r="FXS47" s="58" t="s">
        <v>247</v>
      </c>
      <c r="FXT47" s="58" t="s">
        <v>248</v>
      </c>
      <c r="FXU47" s="58" t="s">
        <v>249</v>
      </c>
      <c r="FXV47" s="58" t="s">
        <v>250</v>
      </c>
      <c r="FXW47" s="58" t="s">
        <v>247</v>
      </c>
      <c r="FXX47" s="58" t="s">
        <v>248</v>
      </c>
      <c r="FXY47" s="58" t="s">
        <v>249</v>
      </c>
      <c r="FXZ47" s="58" t="s">
        <v>250</v>
      </c>
      <c r="FYA47" s="58" t="s">
        <v>247</v>
      </c>
      <c r="FYB47" s="58" t="s">
        <v>248</v>
      </c>
      <c r="FYC47" s="58" t="s">
        <v>249</v>
      </c>
      <c r="FYD47" s="58" t="s">
        <v>250</v>
      </c>
      <c r="FYE47" s="58" t="s">
        <v>247</v>
      </c>
      <c r="FYF47" s="58" t="s">
        <v>248</v>
      </c>
      <c r="FYG47" s="58" t="s">
        <v>249</v>
      </c>
      <c r="FYH47" s="58" t="s">
        <v>250</v>
      </c>
      <c r="FYI47" s="58" t="s">
        <v>247</v>
      </c>
      <c r="FYJ47" s="58" t="s">
        <v>248</v>
      </c>
      <c r="FYK47" s="58" t="s">
        <v>249</v>
      </c>
      <c r="FYL47" s="58" t="s">
        <v>250</v>
      </c>
      <c r="FYM47" s="58" t="s">
        <v>247</v>
      </c>
      <c r="FYN47" s="58" t="s">
        <v>248</v>
      </c>
      <c r="FYO47" s="58" t="s">
        <v>249</v>
      </c>
      <c r="FYP47" s="58" t="s">
        <v>250</v>
      </c>
      <c r="FYQ47" s="58" t="s">
        <v>247</v>
      </c>
      <c r="FYR47" s="58" t="s">
        <v>248</v>
      </c>
      <c r="FYS47" s="58" t="s">
        <v>249</v>
      </c>
      <c r="FYT47" s="58" t="s">
        <v>250</v>
      </c>
      <c r="FYU47" s="58" t="s">
        <v>247</v>
      </c>
      <c r="FYV47" s="58" t="s">
        <v>248</v>
      </c>
      <c r="FYW47" s="58" t="s">
        <v>249</v>
      </c>
      <c r="FYX47" s="58" t="s">
        <v>250</v>
      </c>
      <c r="FYY47" s="58" t="s">
        <v>247</v>
      </c>
      <c r="FYZ47" s="58" t="s">
        <v>248</v>
      </c>
      <c r="FZA47" s="58" t="s">
        <v>249</v>
      </c>
      <c r="FZB47" s="58" t="s">
        <v>250</v>
      </c>
      <c r="FZC47" s="58" t="s">
        <v>247</v>
      </c>
      <c r="FZD47" s="58" t="s">
        <v>248</v>
      </c>
      <c r="FZE47" s="58" t="s">
        <v>249</v>
      </c>
      <c r="FZF47" s="58" t="s">
        <v>250</v>
      </c>
      <c r="FZG47" s="58" t="s">
        <v>247</v>
      </c>
      <c r="FZH47" s="58" t="s">
        <v>248</v>
      </c>
      <c r="FZI47" s="58" t="s">
        <v>249</v>
      </c>
      <c r="FZJ47" s="58" t="s">
        <v>250</v>
      </c>
      <c r="FZK47" s="58" t="s">
        <v>247</v>
      </c>
      <c r="FZL47" s="58" t="s">
        <v>248</v>
      </c>
      <c r="FZM47" s="58" t="s">
        <v>249</v>
      </c>
      <c r="FZN47" s="58" t="s">
        <v>250</v>
      </c>
      <c r="FZO47" s="58" t="s">
        <v>247</v>
      </c>
      <c r="FZP47" s="58" t="s">
        <v>248</v>
      </c>
      <c r="FZQ47" s="58" t="s">
        <v>249</v>
      </c>
      <c r="FZR47" s="58" t="s">
        <v>250</v>
      </c>
      <c r="FZS47" s="58" t="s">
        <v>247</v>
      </c>
      <c r="FZT47" s="58" t="s">
        <v>248</v>
      </c>
      <c r="FZU47" s="58" t="s">
        <v>249</v>
      </c>
      <c r="FZV47" s="58" t="s">
        <v>250</v>
      </c>
      <c r="FZW47" s="58" t="s">
        <v>247</v>
      </c>
      <c r="FZX47" s="58" t="s">
        <v>248</v>
      </c>
      <c r="FZY47" s="58" t="s">
        <v>249</v>
      </c>
      <c r="FZZ47" s="58" t="s">
        <v>250</v>
      </c>
      <c r="GAA47" s="58" t="s">
        <v>247</v>
      </c>
      <c r="GAB47" s="58" t="s">
        <v>248</v>
      </c>
      <c r="GAC47" s="58" t="s">
        <v>249</v>
      </c>
      <c r="GAD47" s="58" t="s">
        <v>250</v>
      </c>
      <c r="GAE47" s="58" t="s">
        <v>247</v>
      </c>
      <c r="GAF47" s="58" t="s">
        <v>248</v>
      </c>
      <c r="GAG47" s="58" t="s">
        <v>249</v>
      </c>
      <c r="GAH47" s="58" t="s">
        <v>250</v>
      </c>
      <c r="GAI47" s="58" t="s">
        <v>247</v>
      </c>
      <c r="GAJ47" s="58" t="s">
        <v>248</v>
      </c>
      <c r="GAK47" s="58" t="s">
        <v>249</v>
      </c>
      <c r="GAL47" s="58" t="s">
        <v>250</v>
      </c>
      <c r="GAM47" s="58" t="s">
        <v>247</v>
      </c>
      <c r="GAN47" s="58" t="s">
        <v>248</v>
      </c>
      <c r="GAO47" s="58" t="s">
        <v>249</v>
      </c>
      <c r="GAP47" s="58" t="s">
        <v>250</v>
      </c>
      <c r="GAQ47" s="58" t="s">
        <v>247</v>
      </c>
      <c r="GAR47" s="58" t="s">
        <v>248</v>
      </c>
      <c r="GAS47" s="58" t="s">
        <v>249</v>
      </c>
      <c r="GAT47" s="58" t="s">
        <v>250</v>
      </c>
      <c r="GAU47" s="58" t="s">
        <v>247</v>
      </c>
      <c r="GAV47" s="58" t="s">
        <v>248</v>
      </c>
      <c r="GAW47" s="58" t="s">
        <v>249</v>
      </c>
      <c r="GAX47" s="58" t="s">
        <v>250</v>
      </c>
      <c r="GAY47" s="58" t="s">
        <v>247</v>
      </c>
      <c r="GAZ47" s="58" t="s">
        <v>248</v>
      </c>
      <c r="GBA47" s="58" t="s">
        <v>249</v>
      </c>
      <c r="GBB47" s="58" t="s">
        <v>250</v>
      </c>
      <c r="GBC47" s="58" t="s">
        <v>247</v>
      </c>
      <c r="GBD47" s="58" t="s">
        <v>248</v>
      </c>
      <c r="GBE47" s="58" t="s">
        <v>249</v>
      </c>
      <c r="GBF47" s="58" t="s">
        <v>250</v>
      </c>
      <c r="GBG47" s="58" t="s">
        <v>247</v>
      </c>
      <c r="GBH47" s="58" t="s">
        <v>248</v>
      </c>
      <c r="GBI47" s="58" t="s">
        <v>249</v>
      </c>
      <c r="GBJ47" s="58" t="s">
        <v>250</v>
      </c>
      <c r="GBK47" s="58" t="s">
        <v>247</v>
      </c>
      <c r="GBL47" s="58" t="s">
        <v>248</v>
      </c>
      <c r="GBM47" s="58" t="s">
        <v>249</v>
      </c>
      <c r="GBN47" s="58" t="s">
        <v>250</v>
      </c>
      <c r="GBO47" s="58" t="s">
        <v>247</v>
      </c>
      <c r="GBP47" s="58" t="s">
        <v>248</v>
      </c>
      <c r="GBQ47" s="58" t="s">
        <v>249</v>
      </c>
      <c r="GBR47" s="58" t="s">
        <v>250</v>
      </c>
      <c r="GBS47" s="58" t="s">
        <v>247</v>
      </c>
      <c r="GBT47" s="58" t="s">
        <v>248</v>
      </c>
      <c r="GBU47" s="58" t="s">
        <v>249</v>
      </c>
      <c r="GBV47" s="58" t="s">
        <v>250</v>
      </c>
      <c r="GBW47" s="58" t="s">
        <v>247</v>
      </c>
      <c r="GBX47" s="58" t="s">
        <v>248</v>
      </c>
      <c r="GBY47" s="58" t="s">
        <v>249</v>
      </c>
      <c r="GBZ47" s="58" t="s">
        <v>250</v>
      </c>
      <c r="GCA47" s="58" t="s">
        <v>247</v>
      </c>
      <c r="GCB47" s="58" t="s">
        <v>248</v>
      </c>
      <c r="GCC47" s="58" t="s">
        <v>249</v>
      </c>
      <c r="GCD47" s="58" t="s">
        <v>250</v>
      </c>
      <c r="GCE47" s="58" t="s">
        <v>247</v>
      </c>
      <c r="GCF47" s="58" t="s">
        <v>248</v>
      </c>
      <c r="GCG47" s="58" t="s">
        <v>249</v>
      </c>
      <c r="GCH47" s="58" t="s">
        <v>250</v>
      </c>
      <c r="GCI47" s="58" t="s">
        <v>247</v>
      </c>
      <c r="GCJ47" s="58" t="s">
        <v>248</v>
      </c>
      <c r="GCK47" s="58" t="s">
        <v>249</v>
      </c>
      <c r="GCL47" s="58" t="s">
        <v>250</v>
      </c>
      <c r="GCM47" s="58" t="s">
        <v>247</v>
      </c>
      <c r="GCN47" s="58" t="s">
        <v>248</v>
      </c>
      <c r="GCO47" s="58" t="s">
        <v>249</v>
      </c>
      <c r="GCP47" s="58" t="s">
        <v>250</v>
      </c>
      <c r="GCQ47" s="58" t="s">
        <v>247</v>
      </c>
      <c r="GCR47" s="58" t="s">
        <v>248</v>
      </c>
      <c r="GCS47" s="58" t="s">
        <v>249</v>
      </c>
      <c r="GCT47" s="58" t="s">
        <v>250</v>
      </c>
      <c r="GCU47" s="58" t="s">
        <v>247</v>
      </c>
      <c r="GCV47" s="58" t="s">
        <v>248</v>
      </c>
      <c r="GCW47" s="58" t="s">
        <v>249</v>
      </c>
      <c r="GCX47" s="58" t="s">
        <v>250</v>
      </c>
      <c r="GCY47" s="58" t="s">
        <v>247</v>
      </c>
      <c r="GCZ47" s="58" t="s">
        <v>248</v>
      </c>
      <c r="GDA47" s="58" t="s">
        <v>249</v>
      </c>
      <c r="GDB47" s="58" t="s">
        <v>250</v>
      </c>
      <c r="GDC47" s="58" t="s">
        <v>247</v>
      </c>
      <c r="GDD47" s="58" t="s">
        <v>248</v>
      </c>
      <c r="GDE47" s="58" t="s">
        <v>249</v>
      </c>
      <c r="GDF47" s="58" t="s">
        <v>250</v>
      </c>
      <c r="GDG47" s="58" t="s">
        <v>247</v>
      </c>
      <c r="GDH47" s="58" t="s">
        <v>248</v>
      </c>
      <c r="GDI47" s="58" t="s">
        <v>249</v>
      </c>
      <c r="GDJ47" s="58" t="s">
        <v>250</v>
      </c>
      <c r="GDK47" s="58" t="s">
        <v>247</v>
      </c>
      <c r="GDL47" s="58" t="s">
        <v>248</v>
      </c>
      <c r="GDM47" s="58" t="s">
        <v>249</v>
      </c>
      <c r="GDN47" s="58" t="s">
        <v>250</v>
      </c>
      <c r="GDO47" s="58" t="s">
        <v>247</v>
      </c>
      <c r="GDP47" s="58" t="s">
        <v>248</v>
      </c>
      <c r="GDQ47" s="58" t="s">
        <v>249</v>
      </c>
      <c r="GDR47" s="58" t="s">
        <v>250</v>
      </c>
      <c r="GDS47" s="58" t="s">
        <v>247</v>
      </c>
      <c r="GDT47" s="58" t="s">
        <v>248</v>
      </c>
      <c r="GDU47" s="58" t="s">
        <v>249</v>
      </c>
      <c r="GDV47" s="58" t="s">
        <v>250</v>
      </c>
      <c r="GDW47" s="58" t="s">
        <v>247</v>
      </c>
      <c r="GDX47" s="58" t="s">
        <v>248</v>
      </c>
      <c r="GDY47" s="58" t="s">
        <v>249</v>
      </c>
      <c r="GDZ47" s="58" t="s">
        <v>250</v>
      </c>
      <c r="GEA47" s="58" t="s">
        <v>247</v>
      </c>
      <c r="GEB47" s="58" t="s">
        <v>248</v>
      </c>
      <c r="GEC47" s="58" t="s">
        <v>249</v>
      </c>
      <c r="GED47" s="58" t="s">
        <v>250</v>
      </c>
      <c r="GEE47" s="58" t="s">
        <v>247</v>
      </c>
      <c r="GEF47" s="58" t="s">
        <v>248</v>
      </c>
      <c r="GEG47" s="58" t="s">
        <v>249</v>
      </c>
      <c r="GEH47" s="58" t="s">
        <v>250</v>
      </c>
      <c r="GEI47" s="58" t="s">
        <v>247</v>
      </c>
      <c r="GEJ47" s="58" t="s">
        <v>248</v>
      </c>
      <c r="GEK47" s="58" t="s">
        <v>249</v>
      </c>
      <c r="GEL47" s="58" t="s">
        <v>250</v>
      </c>
      <c r="GEM47" s="58" t="s">
        <v>247</v>
      </c>
      <c r="GEN47" s="58" t="s">
        <v>248</v>
      </c>
      <c r="GEO47" s="58" t="s">
        <v>249</v>
      </c>
      <c r="GEP47" s="58" t="s">
        <v>250</v>
      </c>
      <c r="GEQ47" s="58" t="s">
        <v>247</v>
      </c>
      <c r="GER47" s="58" t="s">
        <v>248</v>
      </c>
      <c r="GES47" s="58" t="s">
        <v>249</v>
      </c>
      <c r="GET47" s="58" t="s">
        <v>250</v>
      </c>
      <c r="GEU47" s="58" t="s">
        <v>247</v>
      </c>
      <c r="GEV47" s="58" t="s">
        <v>248</v>
      </c>
      <c r="GEW47" s="58" t="s">
        <v>249</v>
      </c>
      <c r="GEX47" s="58" t="s">
        <v>250</v>
      </c>
      <c r="GEY47" s="58" t="s">
        <v>247</v>
      </c>
      <c r="GEZ47" s="58" t="s">
        <v>248</v>
      </c>
      <c r="GFA47" s="58" t="s">
        <v>249</v>
      </c>
      <c r="GFB47" s="58" t="s">
        <v>250</v>
      </c>
      <c r="GFC47" s="58" t="s">
        <v>247</v>
      </c>
      <c r="GFD47" s="58" t="s">
        <v>248</v>
      </c>
      <c r="GFE47" s="58" t="s">
        <v>249</v>
      </c>
      <c r="GFF47" s="58" t="s">
        <v>250</v>
      </c>
      <c r="GFG47" s="58" t="s">
        <v>247</v>
      </c>
      <c r="GFH47" s="58" t="s">
        <v>248</v>
      </c>
      <c r="GFI47" s="58" t="s">
        <v>249</v>
      </c>
      <c r="GFJ47" s="58" t="s">
        <v>250</v>
      </c>
      <c r="GFK47" s="58" t="s">
        <v>247</v>
      </c>
      <c r="GFL47" s="58" t="s">
        <v>248</v>
      </c>
      <c r="GFM47" s="58" t="s">
        <v>249</v>
      </c>
      <c r="GFN47" s="58" t="s">
        <v>250</v>
      </c>
      <c r="GFO47" s="58" t="s">
        <v>247</v>
      </c>
      <c r="GFP47" s="58" t="s">
        <v>248</v>
      </c>
      <c r="GFQ47" s="58" t="s">
        <v>249</v>
      </c>
      <c r="GFR47" s="58" t="s">
        <v>250</v>
      </c>
      <c r="GFS47" s="58" t="s">
        <v>247</v>
      </c>
      <c r="GFT47" s="58" t="s">
        <v>248</v>
      </c>
      <c r="GFU47" s="58" t="s">
        <v>249</v>
      </c>
      <c r="GFV47" s="58" t="s">
        <v>250</v>
      </c>
      <c r="GFW47" s="58" t="s">
        <v>247</v>
      </c>
      <c r="GFX47" s="58" t="s">
        <v>248</v>
      </c>
      <c r="GFY47" s="58" t="s">
        <v>249</v>
      </c>
      <c r="GFZ47" s="58" t="s">
        <v>250</v>
      </c>
      <c r="GGA47" s="58" t="s">
        <v>247</v>
      </c>
      <c r="GGB47" s="58" t="s">
        <v>248</v>
      </c>
      <c r="GGC47" s="58" t="s">
        <v>249</v>
      </c>
      <c r="GGD47" s="58" t="s">
        <v>250</v>
      </c>
      <c r="GGE47" s="58" t="s">
        <v>247</v>
      </c>
      <c r="GGF47" s="58" t="s">
        <v>248</v>
      </c>
      <c r="GGG47" s="58" t="s">
        <v>249</v>
      </c>
      <c r="GGH47" s="58" t="s">
        <v>250</v>
      </c>
      <c r="GGI47" s="58" t="s">
        <v>247</v>
      </c>
      <c r="GGJ47" s="58" t="s">
        <v>248</v>
      </c>
      <c r="GGK47" s="58" t="s">
        <v>249</v>
      </c>
      <c r="GGL47" s="58" t="s">
        <v>250</v>
      </c>
      <c r="GGM47" s="58" t="s">
        <v>247</v>
      </c>
      <c r="GGN47" s="58" t="s">
        <v>248</v>
      </c>
      <c r="GGO47" s="58" t="s">
        <v>249</v>
      </c>
      <c r="GGP47" s="58" t="s">
        <v>250</v>
      </c>
      <c r="GGQ47" s="58" t="s">
        <v>247</v>
      </c>
      <c r="GGR47" s="58" t="s">
        <v>248</v>
      </c>
      <c r="GGS47" s="58" t="s">
        <v>249</v>
      </c>
      <c r="GGT47" s="58" t="s">
        <v>250</v>
      </c>
      <c r="GGU47" s="58" t="s">
        <v>247</v>
      </c>
      <c r="GGV47" s="58" t="s">
        <v>248</v>
      </c>
      <c r="GGW47" s="58" t="s">
        <v>249</v>
      </c>
      <c r="GGX47" s="58" t="s">
        <v>250</v>
      </c>
      <c r="GGY47" s="58" t="s">
        <v>247</v>
      </c>
      <c r="GGZ47" s="58" t="s">
        <v>248</v>
      </c>
      <c r="GHA47" s="58" t="s">
        <v>249</v>
      </c>
      <c r="GHB47" s="58" t="s">
        <v>250</v>
      </c>
      <c r="GHC47" s="58" t="s">
        <v>247</v>
      </c>
      <c r="GHD47" s="58" t="s">
        <v>248</v>
      </c>
      <c r="GHE47" s="58" t="s">
        <v>249</v>
      </c>
      <c r="GHF47" s="58" t="s">
        <v>250</v>
      </c>
      <c r="GHG47" s="58" t="s">
        <v>247</v>
      </c>
      <c r="GHH47" s="58" t="s">
        <v>248</v>
      </c>
      <c r="GHI47" s="58" t="s">
        <v>249</v>
      </c>
      <c r="GHJ47" s="58" t="s">
        <v>250</v>
      </c>
      <c r="GHK47" s="58" t="s">
        <v>247</v>
      </c>
      <c r="GHL47" s="58" t="s">
        <v>248</v>
      </c>
      <c r="GHM47" s="58" t="s">
        <v>249</v>
      </c>
      <c r="GHN47" s="58" t="s">
        <v>250</v>
      </c>
      <c r="GHO47" s="58" t="s">
        <v>247</v>
      </c>
      <c r="GHP47" s="58" t="s">
        <v>248</v>
      </c>
      <c r="GHQ47" s="58" t="s">
        <v>249</v>
      </c>
      <c r="GHR47" s="58" t="s">
        <v>250</v>
      </c>
      <c r="GHS47" s="58" t="s">
        <v>247</v>
      </c>
      <c r="GHT47" s="58" t="s">
        <v>248</v>
      </c>
      <c r="GHU47" s="58" t="s">
        <v>249</v>
      </c>
      <c r="GHV47" s="58" t="s">
        <v>250</v>
      </c>
      <c r="GHW47" s="58" t="s">
        <v>247</v>
      </c>
      <c r="GHX47" s="58" t="s">
        <v>248</v>
      </c>
      <c r="GHY47" s="58" t="s">
        <v>249</v>
      </c>
      <c r="GHZ47" s="58" t="s">
        <v>250</v>
      </c>
      <c r="GIA47" s="58" t="s">
        <v>247</v>
      </c>
      <c r="GIB47" s="58" t="s">
        <v>248</v>
      </c>
      <c r="GIC47" s="58" t="s">
        <v>249</v>
      </c>
      <c r="GID47" s="58" t="s">
        <v>250</v>
      </c>
      <c r="GIE47" s="58" t="s">
        <v>247</v>
      </c>
      <c r="GIF47" s="58" t="s">
        <v>248</v>
      </c>
      <c r="GIG47" s="58" t="s">
        <v>249</v>
      </c>
      <c r="GIH47" s="58" t="s">
        <v>250</v>
      </c>
      <c r="GII47" s="58" t="s">
        <v>247</v>
      </c>
      <c r="GIJ47" s="58" t="s">
        <v>248</v>
      </c>
      <c r="GIK47" s="58" t="s">
        <v>249</v>
      </c>
      <c r="GIL47" s="58" t="s">
        <v>250</v>
      </c>
      <c r="GIM47" s="58" t="s">
        <v>247</v>
      </c>
      <c r="GIN47" s="58" t="s">
        <v>248</v>
      </c>
      <c r="GIO47" s="58" t="s">
        <v>249</v>
      </c>
      <c r="GIP47" s="58" t="s">
        <v>250</v>
      </c>
      <c r="GIQ47" s="58" t="s">
        <v>247</v>
      </c>
      <c r="GIR47" s="58" t="s">
        <v>248</v>
      </c>
      <c r="GIS47" s="58" t="s">
        <v>249</v>
      </c>
      <c r="GIT47" s="58" t="s">
        <v>250</v>
      </c>
      <c r="GIU47" s="58" t="s">
        <v>247</v>
      </c>
      <c r="GIV47" s="58" t="s">
        <v>248</v>
      </c>
      <c r="GIW47" s="58" t="s">
        <v>249</v>
      </c>
      <c r="GIX47" s="58" t="s">
        <v>250</v>
      </c>
      <c r="GIY47" s="58" t="s">
        <v>247</v>
      </c>
      <c r="GIZ47" s="58" t="s">
        <v>248</v>
      </c>
      <c r="GJA47" s="58" t="s">
        <v>249</v>
      </c>
      <c r="GJB47" s="58" t="s">
        <v>250</v>
      </c>
      <c r="GJC47" s="58" t="s">
        <v>247</v>
      </c>
      <c r="GJD47" s="58" t="s">
        <v>248</v>
      </c>
      <c r="GJE47" s="58" t="s">
        <v>249</v>
      </c>
      <c r="GJF47" s="58" t="s">
        <v>250</v>
      </c>
      <c r="GJG47" s="58" t="s">
        <v>247</v>
      </c>
      <c r="GJH47" s="58" t="s">
        <v>248</v>
      </c>
      <c r="GJI47" s="58" t="s">
        <v>249</v>
      </c>
      <c r="GJJ47" s="58" t="s">
        <v>250</v>
      </c>
      <c r="GJK47" s="58" t="s">
        <v>247</v>
      </c>
      <c r="GJL47" s="58" t="s">
        <v>248</v>
      </c>
      <c r="GJM47" s="58" t="s">
        <v>249</v>
      </c>
      <c r="GJN47" s="58" t="s">
        <v>250</v>
      </c>
      <c r="GJO47" s="58" t="s">
        <v>247</v>
      </c>
      <c r="GJP47" s="58" t="s">
        <v>248</v>
      </c>
      <c r="GJQ47" s="58" t="s">
        <v>249</v>
      </c>
      <c r="GJR47" s="58" t="s">
        <v>250</v>
      </c>
      <c r="GJS47" s="58" t="s">
        <v>247</v>
      </c>
      <c r="GJT47" s="58" t="s">
        <v>248</v>
      </c>
      <c r="GJU47" s="58" t="s">
        <v>249</v>
      </c>
      <c r="GJV47" s="58" t="s">
        <v>250</v>
      </c>
      <c r="GJW47" s="58" t="s">
        <v>247</v>
      </c>
      <c r="GJX47" s="58" t="s">
        <v>248</v>
      </c>
      <c r="GJY47" s="58" t="s">
        <v>249</v>
      </c>
      <c r="GJZ47" s="58" t="s">
        <v>250</v>
      </c>
      <c r="GKA47" s="58" t="s">
        <v>247</v>
      </c>
      <c r="GKB47" s="58" t="s">
        <v>248</v>
      </c>
      <c r="GKC47" s="58" t="s">
        <v>249</v>
      </c>
      <c r="GKD47" s="58" t="s">
        <v>250</v>
      </c>
      <c r="GKE47" s="58" t="s">
        <v>247</v>
      </c>
      <c r="GKF47" s="58" t="s">
        <v>248</v>
      </c>
      <c r="GKG47" s="58" t="s">
        <v>249</v>
      </c>
      <c r="GKH47" s="58" t="s">
        <v>250</v>
      </c>
      <c r="GKI47" s="58" t="s">
        <v>247</v>
      </c>
      <c r="GKJ47" s="58" t="s">
        <v>248</v>
      </c>
      <c r="GKK47" s="58" t="s">
        <v>249</v>
      </c>
      <c r="GKL47" s="58" t="s">
        <v>250</v>
      </c>
      <c r="GKM47" s="58" t="s">
        <v>247</v>
      </c>
      <c r="GKN47" s="58" t="s">
        <v>248</v>
      </c>
      <c r="GKO47" s="58" t="s">
        <v>249</v>
      </c>
      <c r="GKP47" s="58" t="s">
        <v>250</v>
      </c>
      <c r="GKQ47" s="58" t="s">
        <v>247</v>
      </c>
      <c r="GKR47" s="58" t="s">
        <v>248</v>
      </c>
      <c r="GKS47" s="58" t="s">
        <v>249</v>
      </c>
      <c r="GKT47" s="58" t="s">
        <v>250</v>
      </c>
      <c r="GKU47" s="58" t="s">
        <v>247</v>
      </c>
      <c r="GKV47" s="58" t="s">
        <v>248</v>
      </c>
      <c r="GKW47" s="58" t="s">
        <v>249</v>
      </c>
      <c r="GKX47" s="58" t="s">
        <v>250</v>
      </c>
      <c r="GKY47" s="58" t="s">
        <v>247</v>
      </c>
      <c r="GKZ47" s="58" t="s">
        <v>248</v>
      </c>
      <c r="GLA47" s="58" t="s">
        <v>249</v>
      </c>
      <c r="GLB47" s="58" t="s">
        <v>250</v>
      </c>
      <c r="GLC47" s="58" t="s">
        <v>247</v>
      </c>
      <c r="GLD47" s="58" t="s">
        <v>248</v>
      </c>
      <c r="GLE47" s="58" t="s">
        <v>249</v>
      </c>
      <c r="GLF47" s="58" t="s">
        <v>250</v>
      </c>
      <c r="GLG47" s="58" t="s">
        <v>247</v>
      </c>
      <c r="GLH47" s="58" t="s">
        <v>248</v>
      </c>
      <c r="GLI47" s="58" t="s">
        <v>249</v>
      </c>
      <c r="GLJ47" s="58" t="s">
        <v>250</v>
      </c>
      <c r="GLK47" s="58" t="s">
        <v>247</v>
      </c>
      <c r="GLL47" s="58" t="s">
        <v>248</v>
      </c>
      <c r="GLM47" s="58" t="s">
        <v>249</v>
      </c>
      <c r="GLN47" s="58" t="s">
        <v>250</v>
      </c>
      <c r="GLO47" s="58" t="s">
        <v>247</v>
      </c>
      <c r="GLP47" s="58" t="s">
        <v>248</v>
      </c>
      <c r="GLQ47" s="58" t="s">
        <v>249</v>
      </c>
      <c r="GLR47" s="58" t="s">
        <v>250</v>
      </c>
      <c r="GLS47" s="58" t="s">
        <v>247</v>
      </c>
      <c r="GLT47" s="58" t="s">
        <v>248</v>
      </c>
      <c r="GLU47" s="58" t="s">
        <v>249</v>
      </c>
      <c r="GLV47" s="58" t="s">
        <v>250</v>
      </c>
      <c r="GLW47" s="58" t="s">
        <v>247</v>
      </c>
      <c r="GLX47" s="58" t="s">
        <v>248</v>
      </c>
      <c r="GLY47" s="58" t="s">
        <v>249</v>
      </c>
      <c r="GLZ47" s="58" t="s">
        <v>250</v>
      </c>
      <c r="GMA47" s="58" t="s">
        <v>247</v>
      </c>
      <c r="GMB47" s="58" t="s">
        <v>248</v>
      </c>
      <c r="GMC47" s="58" t="s">
        <v>249</v>
      </c>
      <c r="GMD47" s="58" t="s">
        <v>250</v>
      </c>
      <c r="GME47" s="58" t="s">
        <v>247</v>
      </c>
      <c r="GMF47" s="58" t="s">
        <v>248</v>
      </c>
      <c r="GMG47" s="58" t="s">
        <v>249</v>
      </c>
      <c r="GMH47" s="58" t="s">
        <v>250</v>
      </c>
      <c r="GMI47" s="58" t="s">
        <v>247</v>
      </c>
      <c r="GMJ47" s="58" t="s">
        <v>248</v>
      </c>
      <c r="GMK47" s="58" t="s">
        <v>249</v>
      </c>
      <c r="GML47" s="58" t="s">
        <v>250</v>
      </c>
      <c r="GMM47" s="58" t="s">
        <v>247</v>
      </c>
      <c r="GMN47" s="58" t="s">
        <v>248</v>
      </c>
      <c r="GMO47" s="58" t="s">
        <v>249</v>
      </c>
      <c r="GMP47" s="58" t="s">
        <v>250</v>
      </c>
      <c r="GMQ47" s="58" t="s">
        <v>247</v>
      </c>
      <c r="GMR47" s="58" t="s">
        <v>248</v>
      </c>
      <c r="GMS47" s="58" t="s">
        <v>249</v>
      </c>
      <c r="GMT47" s="58" t="s">
        <v>250</v>
      </c>
      <c r="GMU47" s="58" t="s">
        <v>247</v>
      </c>
      <c r="GMV47" s="58" t="s">
        <v>248</v>
      </c>
      <c r="GMW47" s="58" t="s">
        <v>249</v>
      </c>
      <c r="GMX47" s="58" t="s">
        <v>250</v>
      </c>
      <c r="GMY47" s="58" t="s">
        <v>247</v>
      </c>
      <c r="GMZ47" s="58" t="s">
        <v>248</v>
      </c>
      <c r="GNA47" s="58" t="s">
        <v>249</v>
      </c>
      <c r="GNB47" s="58" t="s">
        <v>250</v>
      </c>
      <c r="GNC47" s="58" t="s">
        <v>247</v>
      </c>
      <c r="GND47" s="58" t="s">
        <v>248</v>
      </c>
      <c r="GNE47" s="58" t="s">
        <v>249</v>
      </c>
      <c r="GNF47" s="58" t="s">
        <v>250</v>
      </c>
      <c r="GNG47" s="58" t="s">
        <v>247</v>
      </c>
      <c r="GNH47" s="58" t="s">
        <v>248</v>
      </c>
      <c r="GNI47" s="58" t="s">
        <v>249</v>
      </c>
      <c r="GNJ47" s="58" t="s">
        <v>250</v>
      </c>
      <c r="GNK47" s="58" t="s">
        <v>247</v>
      </c>
      <c r="GNL47" s="58" t="s">
        <v>248</v>
      </c>
      <c r="GNM47" s="58" t="s">
        <v>249</v>
      </c>
      <c r="GNN47" s="58" t="s">
        <v>250</v>
      </c>
      <c r="GNO47" s="58" t="s">
        <v>247</v>
      </c>
      <c r="GNP47" s="58" t="s">
        <v>248</v>
      </c>
      <c r="GNQ47" s="58" t="s">
        <v>249</v>
      </c>
      <c r="GNR47" s="58" t="s">
        <v>250</v>
      </c>
      <c r="GNS47" s="58" t="s">
        <v>247</v>
      </c>
      <c r="GNT47" s="58" t="s">
        <v>248</v>
      </c>
      <c r="GNU47" s="58" t="s">
        <v>249</v>
      </c>
      <c r="GNV47" s="58" t="s">
        <v>250</v>
      </c>
      <c r="GNW47" s="58" t="s">
        <v>247</v>
      </c>
      <c r="GNX47" s="58" t="s">
        <v>248</v>
      </c>
      <c r="GNY47" s="58" t="s">
        <v>249</v>
      </c>
      <c r="GNZ47" s="58" t="s">
        <v>250</v>
      </c>
      <c r="GOA47" s="58" t="s">
        <v>247</v>
      </c>
      <c r="GOB47" s="58" t="s">
        <v>248</v>
      </c>
      <c r="GOC47" s="58" t="s">
        <v>249</v>
      </c>
      <c r="GOD47" s="58" t="s">
        <v>250</v>
      </c>
      <c r="GOE47" s="58" t="s">
        <v>247</v>
      </c>
      <c r="GOF47" s="58" t="s">
        <v>248</v>
      </c>
      <c r="GOG47" s="58" t="s">
        <v>249</v>
      </c>
      <c r="GOH47" s="58" t="s">
        <v>250</v>
      </c>
      <c r="GOI47" s="58" t="s">
        <v>247</v>
      </c>
      <c r="GOJ47" s="58" t="s">
        <v>248</v>
      </c>
      <c r="GOK47" s="58" t="s">
        <v>249</v>
      </c>
      <c r="GOL47" s="58" t="s">
        <v>250</v>
      </c>
      <c r="GOM47" s="58" t="s">
        <v>247</v>
      </c>
      <c r="GON47" s="58" t="s">
        <v>248</v>
      </c>
      <c r="GOO47" s="58" t="s">
        <v>249</v>
      </c>
      <c r="GOP47" s="58" t="s">
        <v>250</v>
      </c>
      <c r="GOQ47" s="58" t="s">
        <v>247</v>
      </c>
      <c r="GOR47" s="58" t="s">
        <v>248</v>
      </c>
      <c r="GOS47" s="58" t="s">
        <v>249</v>
      </c>
      <c r="GOT47" s="58" t="s">
        <v>250</v>
      </c>
      <c r="GOU47" s="58" t="s">
        <v>247</v>
      </c>
      <c r="GOV47" s="58" t="s">
        <v>248</v>
      </c>
      <c r="GOW47" s="58" t="s">
        <v>249</v>
      </c>
      <c r="GOX47" s="58" t="s">
        <v>250</v>
      </c>
      <c r="GOY47" s="58" t="s">
        <v>247</v>
      </c>
      <c r="GOZ47" s="58" t="s">
        <v>248</v>
      </c>
      <c r="GPA47" s="58" t="s">
        <v>249</v>
      </c>
      <c r="GPB47" s="58" t="s">
        <v>250</v>
      </c>
      <c r="GPC47" s="58" t="s">
        <v>247</v>
      </c>
      <c r="GPD47" s="58" t="s">
        <v>248</v>
      </c>
      <c r="GPE47" s="58" t="s">
        <v>249</v>
      </c>
      <c r="GPF47" s="58" t="s">
        <v>250</v>
      </c>
      <c r="GPG47" s="58" t="s">
        <v>247</v>
      </c>
      <c r="GPH47" s="58" t="s">
        <v>248</v>
      </c>
      <c r="GPI47" s="58" t="s">
        <v>249</v>
      </c>
      <c r="GPJ47" s="58" t="s">
        <v>250</v>
      </c>
      <c r="GPK47" s="58" t="s">
        <v>247</v>
      </c>
      <c r="GPL47" s="58" t="s">
        <v>248</v>
      </c>
      <c r="GPM47" s="58" t="s">
        <v>249</v>
      </c>
      <c r="GPN47" s="58" t="s">
        <v>250</v>
      </c>
      <c r="GPO47" s="58" t="s">
        <v>247</v>
      </c>
      <c r="GPP47" s="58" t="s">
        <v>248</v>
      </c>
      <c r="GPQ47" s="58" t="s">
        <v>249</v>
      </c>
      <c r="GPR47" s="58" t="s">
        <v>250</v>
      </c>
      <c r="GPS47" s="58" t="s">
        <v>247</v>
      </c>
      <c r="GPT47" s="58" t="s">
        <v>248</v>
      </c>
      <c r="GPU47" s="58" t="s">
        <v>249</v>
      </c>
      <c r="GPV47" s="58" t="s">
        <v>250</v>
      </c>
      <c r="GPW47" s="58" t="s">
        <v>247</v>
      </c>
      <c r="GPX47" s="58" t="s">
        <v>248</v>
      </c>
      <c r="GPY47" s="58" t="s">
        <v>249</v>
      </c>
      <c r="GPZ47" s="58" t="s">
        <v>250</v>
      </c>
      <c r="GQA47" s="58" t="s">
        <v>247</v>
      </c>
      <c r="GQB47" s="58" t="s">
        <v>248</v>
      </c>
      <c r="GQC47" s="58" t="s">
        <v>249</v>
      </c>
      <c r="GQD47" s="58" t="s">
        <v>250</v>
      </c>
      <c r="GQE47" s="58" t="s">
        <v>247</v>
      </c>
      <c r="GQF47" s="58" t="s">
        <v>248</v>
      </c>
      <c r="GQG47" s="58" t="s">
        <v>249</v>
      </c>
      <c r="GQH47" s="58" t="s">
        <v>250</v>
      </c>
      <c r="GQI47" s="58" t="s">
        <v>247</v>
      </c>
      <c r="GQJ47" s="58" t="s">
        <v>248</v>
      </c>
      <c r="GQK47" s="58" t="s">
        <v>249</v>
      </c>
      <c r="GQL47" s="58" t="s">
        <v>250</v>
      </c>
      <c r="GQM47" s="58" t="s">
        <v>247</v>
      </c>
      <c r="GQN47" s="58" t="s">
        <v>248</v>
      </c>
      <c r="GQO47" s="58" t="s">
        <v>249</v>
      </c>
      <c r="GQP47" s="58" t="s">
        <v>250</v>
      </c>
      <c r="GQQ47" s="58" t="s">
        <v>247</v>
      </c>
      <c r="GQR47" s="58" t="s">
        <v>248</v>
      </c>
      <c r="GQS47" s="58" t="s">
        <v>249</v>
      </c>
      <c r="GQT47" s="58" t="s">
        <v>250</v>
      </c>
      <c r="GQU47" s="58" t="s">
        <v>247</v>
      </c>
      <c r="GQV47" s="58" t="s">
        <v>248</v>
      </c>
      <c r="GQW47" s="58" t="s">
        <v>249</v>
      </c>
      <c r="GQX47" s="58" t="s">
        <v>250</v>
      </c>
      <c r="GQY47" s="58" t="s">
        <v>247</v>
      </c>
      <c r="GQZ47" s="58" t="s">
        <v>248</v>
      </c>
      <c r="GRA47" s="58" t="s">
        <v>249</v>
      </c>
      <c r="GRB47" s="58" t="s">
        <v>250</v>
      </c>
      <c r="GRC47" s="58" t="s">
        <v>247</v>
      </c>
      <c r="GRD47" s="58" t="s">
        <v>248</v>
      </c>
      <c r="GRE47" s="58" t="s">
        <v>249</v>
      </c>
      <c r="GRF47" s="58" t="s">
        <v>250</v>
      </c>
      <c r="GRG47" s="58" t="s">
        <v>247</v>
      </c>
      <c r="GRH47" s="58" t="s">
        <v>248</v>
      </c>
      <c r="GRI47" s="58" t="s">
        <v>249</v>
      </c>
      <c r="GRJ47" s="58" t="s">
        <v>250</v>
      </c>
      <c r="GRK47" s="58" t="s">
        <v>247</v>
      </c>
      <c r="GRL47" s="58" t="s">
        <v>248</v>
      </c>
      <c r="GRM47" s="58" t="s">
        <v>249</v>
      </c>
      <c r="GRN47" s="58" t="s">
        <v>250</v>
      </c>
      <c r="GRO47" s="58" t="s">
        <v>247</v>
      </c>
      <c r="GRP47" s="58" t="s">
        <v>248</v>
      </c>
      <c r="GRQ47" s="58" t="s">
        <v>249</v>
      </c>
      <c r="GRR47" s="58" t="s">
        <v>250</v>
      </c>
      <c r="GRS47" s="58" t="s">
        <v>247</v>
      </c>
      <c r="GRT47" s="58" t="s">
        <v>248</v>
      </c>
      <c r="GRU47" s="58" t="s">
        <v>249</v>
      </c>
      <c r="GRV47" s="58" t="s">
        <v>250</v>
      </c>
      <c r="GRW47" s="58" t="s">
        <v>247</v>
      </c>
      <c r="GRX47" s="58" t="s">
        <v>248</v>
      </c>
      <c r="GRY47" s="58" t="s">
        <v>249</v>
      </c>
      <c r="GRZ47" s="58" t="s">
        <v>250</v>
      </c>
      <c r="GSA47" s="58" t="s">
        <v>247</v>
      </c>
      <c r="GSB47" s="58" t="s">
        <v>248</v>
      </c>
      <c r="GSC47" s="58" t="s">
        <v>249</v>
      </c>
      <c r="GSD47" s="58" t="s">
        <v>250</v>
      </c>
      <c r="GSE47" s="58" t="s">
        <v>247</v>
      </c>
      <c r="GSF47" s="58" t="s">
        <v>248</v>
      </c>
      <c r="GSG47" s="58" t="s">
        <v>249</v>
      </c>
      <c r="GSH47" s="58" t="s">
        <v>250</v>
      </c>
      <c r="GSI47" s="58" t="s">
        <v>247</v>
      </c>
      <c r="GSJ47" s="58" t="s">
        <v>248</v>
      </c>
      <c r="GSK47" s="58" t="s">
        <v>249</v>
      </c>
      <c r="GSL47" s="58" t="s">
        <v>250</v>
      </c>
      <c r="GSM47" s="58" t="s">
        <v>247</v>
      </c>
      <c r="GSN47" s="58" t="s">
        <v>248</v>
      </c>
      <c r="GSO47" s="58" t="s">
        <v>249</v>
      </c>
      <c r="GSP47" s="58" t="s">
        <v>250</v>
      </c>
      <c r="GSQ47" s="58" t="s">
        <v>247</v>
      </c>
      <c r="GSR47" s="58" t="s">
        <v>248</v>
      </c>
      <c r="GSS47" s="58" t="s">
        <v>249</v>
      </c>
      <c r="GST47" s="58" t="s">
        <v>250</v>
      </c>
      <c r="GSU47" s="58" t="s">
        <v>247</v>
      </c>
      <c r="GSV47" s="58" t="s">
        <v>248</v>
      </c>
      <c r="GSW47" s="58" t="s">
        <v>249</v>
      </c>
      <c r="GSX47" s="58" t="s">
        <v>250</v>
      </c>
      <c r="GSY47" s="58" t="s">
        <v>247</v>
      </c>
      <c r="GSZ47" s="58" t="s">
        <v>248</v>
      </c>
      <c r="GTA47" s="58" t="s">
        <v>249</v>
      </c>
      <c r="GTB47" s="58" t="s">
        <v>250</v>
      </c>
      <c r="GTC47" s="58" t="s">
        <v>247</v>
      </c>
      <c r="GTD47" s="58" t="s">
        <v>248</v>
      </c>
      <c r="GTE47" s="58" t="s">
        <v>249</v>
      </c>
      <c r="GTF47" s="58" t="s">
        <v>250</v>
      </c>
      <c r="GTG47" s="58" t="s">
        <v>247</v>
      </c>
      <c r="GTH47" s="58" t="s">
        <v>248</v>
      </c>
      <c r="GTI47" s="58" t="s">
        <v>249</v>
      </c>
      <c r="GTJ47" s="58" t="s">
        <v>250</v>
      </c>
      <c r="GTK47" s="58" t="s">
        <v>247</v>
      </c>
      <c r="GTL47" s="58" t="s">
        <v>248</v>
      </c>
      <c r="GTM47" s="58" t="s">
        <v>249</v>
      </c>
      <c r="GTN47" s="58" t="s">
        <v>250</v>
      </c>
      <c r="GTO47" s="58" t="s">
        <v>247</v>
      </c>
      <c r="GTP47" s="58" t="s">
        <v>248</v>
      </c>
      <c r="GTQ47" s="58" t="s">
        <v>249</v>
      </c>
      <c r="GTR47" s="58" t="s">
        <v>250</v>
      </c>
      <c r="GTS47" s="58" t="s">
        <v>247</v>
      </c>
      <c r="GTT47" s="58" t="s">
        <v>248</v>
      </c>
      <c r="GTU47" s="58" t="s">
        <v>249</v>
      </c>
      <c r="GTV47" s="58" t="s">
        <v>250</v>
      </c>
      <c r="GTW47" s="58" t="s">
        <v>247</v>
      </c>
      <c r="GTX47" s="58" t="s">
        <v>248</v>
      </c>
      <c r="GTY47" s="58" t="s">
        <v>249</v>
      </c>
      <c r="GTZ47" s="58" t="s">
        <v>250</v>
      </c>
      <c r="GUA47" s="58" t="s">
        <v>247</v>
      </c>
      <c r="GUB47" s="58" t="s">
        <v>248</v>
      </c>
      <c r="GUC47" s="58" t="s">
        <v>249</v>
      </c>
      <c r="GUD47" s="58" t="s">
        <v>250</v>
      </c>
      <c r="GUE47" s="58" t="s">
        <v>247</v>
      </c>
      <c r="GUF47" s="58" t="s">
        <v>248</v>
      </c>
      <c r="GUG47" s="58" t="s">
        <v>249</v>
      </c>
      <c r="GUH47" s="58" t="s">
        <v>250</v>
      </c>
      <c r="GUI47" s="58" t="s">
        <v>247</v>
      </c>
      <c r="GUJ47" s="58" t="s">
        <v>248</v>
      </c>
      <c r="GUK47" s="58" t="s">
        <v>249</v>
      </c>
      <c r="GUL47" s="58" t="s">
        <v>250</v>
      </c>
      <c r="GUM47" s="58" t="s">
        <v>247</v>
      </c>
      <c r="GUN47" s="58" t="s">
        <v>248</v>
      </c>
      <c r="GUO47" s="58" t="s">
        <v>249</v>
      </c>
      <c r="GUP47" s="58" t="s">
        <v>250</v>
      </c>
      <c r="GUQ47" s="58" t="s">
        <v>247</v>
      </c>
      <c r="GUR47" s="58" t="s">
        <v>248</v>
      </c>
      <c r="GUS47" s="58" t="s">
        <v>249</v>
      </c>
      <c r="GUT47" s="58" t="s">
        <v>250</v>
      </c>
      <c r="GUU47" s="58" t="s">
        <v>247</v>
      </c>
      <c r="GUV47" s="58" t="s">
        <v>248</v>
      </c>
      <c r="GUW47" s="58" t="s">
        <v>249</v>
      </c>
      <c r="GUX47" s="58" t="s">
        <v>250</v>
      </c>
      <c r="GUY47" s="58" t="s">
        <v>247</v>
      </c>
      <c r="GUZ47" s="58" t="s">
        <v>248</v>
      </c>
      <c r="GVA47" s="58" t="s">
        <v>249</v>
      </c>
      <c r="GVB47" s="58" t="s">
        <v>250</v>
      </c>
      <c r="GVC47" s="58" t="s">
        <v>247</v>
      </c>
      <c r="GVD47" s="58" t="s">
        <v>248</v>
      </c>
      <c r="GVE47" s="58" t="s">
        <v>249</v>
      </c>
      <c r="GVF47" s="58" t="s">
        <v>250</v>
      </c>
      <c r="GVG47" s="58" t="s">
        <v>247</v>
      </c>
      <c r="GVH47" s="58" t="s">
        <v>248</v>
      </c>
      <c r="GVI47" s="58" t="s">
        <v>249</v>
      </c>
      <c r="GVJ47" s="58" t="s">
        <v>250</v>
      </c>
      <c r="GVK47" s="58" t="s">
        <v>247</v>
      </c>
      <c r="GVL47" s="58" t="s">
        <v>248</v>
      </c>
      <c r="GVM47" s="58" t="s">
        <v>249</v>
      </c>
      <c r="GVN47" s="58" t="s">
        <v>250</v>
      </c>
      <c r="GVO47" s="58" t="s">
        <v>247</v>
      </c>
      <c r="GVP47" s="58" t="s">
        <v>248</v>
      </c>
      <c r="GVQ47" s="58" t="s">
        <v>249</v>
      </c>
      <c r="GVR47" s="58" t="s">
        <v>250</v>
      </c>
      <c r="GVS47" s="58" t="s">
        <v>247</v>
      </c>
      <c r="GVT47" s="58" t="s">
        <v>248</v>
      </c>
      <c r="GVU47" s="58" t="s">
        <v>249</v>
      </c>
      <c r="GVV47" s="58" t="s">
        <v>250</v>
      </c>
      <c r="GVW47" s="58" t="s">
        <v>247</v>
      </c>
      <c r="GVX47" s="58" t="s">
        <v>248</v>
      </c>
      <c r="GVY47" s="58" t="s">
        <v>249</v>
      </c>
      <c r="GVZ47" s="58" t="s">
        <v>250</v>
      </c>
      <c r="GWA47" s="58" t="s">
        <v>247</v>
      </c>
      <c r="GWB47" s="58" t="s">
        <v>248</v>
      </c>
      <c r="GWC47" s="58" t="s">
        <v>249</v>
      </c>
      <c r="GWD47" s="58" t="s">
        <v>250</v>
      </c>
      <c r="GWE47" s="58" t="s">
        <v>247</v>
      </c>
      <c r="GWF47" s="58" t="s">
        <v>248</v>
      </c>
      <c r="GWG47" s="58" t="s">
        <v>249</v>
      </c>
      <c r="GWH47" s="58" t="s">
        <v>250</v>
      </c>
      <c r="GWI47" s="58" t="s">
        <v>247</v>
      </c>
      <c r="GWJ47" s="58" t="s">
        <v>248</v>
      </c>
      <c r="GWK47" s="58" t="s">
        <v>249</v>
      </c>
      <c r="GWL47" s="58" t="s">
        <v>250</v>
      </c>
      <c r="GWM47" s="58" t="s">
        <v>247</v>
      </c>
      <c r="GWN47" s="58" t="s">
        <v>248</v>
      </c>
      <c r="GWO47" s="58" t="s">
        <v>249</v>
      </c>
      <c r="GWP47" s="58" t="s">
        <v>250</v>
      </c>
      <c r="GWQ47" s="58" t="s">
        <v>247</v>
      </c>
      <c r="GWR47" s="58" t="s">
        <v>248</v>
      </c>
      <c r="GWS47" s="58" t="s">
        <v>249</v>
      </c>
      <c r="GWT47" s="58" t="s">
        <v>250</v>
      </c>
      <c r="GWU47" s="58" t="s">
        <v>247</v>
      </c>
      <c r="GWV47" s="58" t="s">
        <v>248</v>
      </c>
      <c r="GWW47" s="58" t="s">
        <v>249</v>
      </c>
      <c r="GWX47" s="58" t="s">
        <v>250</v>
      </c>
      <c r="GWY47" s="58" t="s">
        <v>247</v>
      </c>
      <c r="GWZ47" s="58" t="s">
        <v>248</v>
      </c>
      <c r="GXA47" s="58" t="s">
        <v>249</v>
      </c>
      <c r="GXB47" s="58" t="s">
        <v>250</v>
      </c>
      <c r="GXC47" s="58" t="s">
        <v>247</v>
      </c>
      <c r="GXD47" s="58" t="s">
        <v>248</v>
      </c>
      <c r="GXE47" s="58" t="s">
        <v>249</v>
      </c>
      <c r="GXF47" s="58" t="s">
        <v>250</v>
      </c>
      <c r="GXG47" s="58" t="s">
        <v>247</v>
      </c>
      <c r="GXH47" s="58" t="s">
        <v>248</v>
      </c>
      <c r="GXI47" s="58" t="s">
        <v>249</v>
      </c>
      <c r="GXJ47" s="58" t="s">
        <v>250</v>
      </c>
      <c r="GXK47" s="58" t="s">
        <v>247</v>
      </c>
      <c r="GXL47" s="58" t="s">
        <v>248</v>
      </c>
      <c r="GXM47" s="58" t="s">
        <v>249</v>
      </c>
      <c r="GXN47" s="58" t="s">
        <v>250</v>
      </c>
      <c r="GXO47" s="58" t="s">
        <v>247</v>
      </c>
      <c r="GXP47" s="58" t="s">
        <v>248</v>
      </c>
      <c r="GXQ47" s="58" t="s">
        <v>249</v>
      </c>
      <c r="GXR47" s="58" t="s">
        <v>250</v>
      </c>
      <c r="GXS47" s="58" t="s">
        <v>247</v>
      </c>
      <c r="GXT47" s="58" t="s">
        <v>248</v>
      </c>
      <c r="GXU47" s="58" t="s">
        <v>249</v>
      </c>
      <c r="GXV47" s="58" t="s">
        <v>250</v>
      </c>
      <c r="GXW47" s="58" t="s">
        <v>247</v>
      </c>
      <c r="GXX47" s="58" t="s">
        <v>248</v>
      </c>
      <c r="GXY47" s="58" t="s">
        <v>249</v>
      </c>
      <c r="GXZ47" s="58" t="s">
        <v>250</v>
      </c>
      <c r="GYA47" s="58" t="s">
        <v>247</v>
      </c>
      <c r="GYB47" s="58" t="s">
        <v>248</v>
      </c>
      <c r="GYC47" s="58" t="s">
        <v>249</v>
      </c>
      <c r="GYD47" s="58" t="s">
        <v>250</v>
      </c>
      <c r="GYE47" s="58" t="s">
        <v>247</v>
      </c>
      <c r="GYF47" s="58" t="s">
        <v>248</v>
      </c>
      <c r="GYG47" s="58" t="s">
        <v>249</v>
      </c>
      <c r="GYH47" s="58" t="s">
        <v>250</v>
      </c>
      <c r="GYI47" s="58" t="s">
        <v>247</v>
      </c>
      <c r="GYJ47" s="58" t="s">
        <v>248</v>
      </c>
      <c r="GYK47" s="58" t="s">
        <v>249</v>
      </c>
      <c r="GYL47" s="58" t="s">
        <v>250</v>
      </c>
      <c r="GYM47" s="58" t="s">
        <v>247</v>
      </c>
      <c r="GYN47" s="58" t="s">
        <v>248</v>
      </c>
      <c r="GYO47" s="58" t="s">
        <v>249</v>
      </c>
      <c r="GYP47" s="58" t="s">
        <v>250</v>
      </c>
      <c r="GYQ47" s="58" t="s">
        <v>247</v>
      </c>
      <c r="GYR47" s="58" t="s">
        <v>248</v>
      </c>
      <c r="GYS47" s="58" t="s">
        <v>249</v>
      </c>
      <c r="GYT47" s="58" t="s">
        <v>250</v>
      </c>
      <c r="GYU47" s="58" t="s">
        <v>247</v>
      </c>
      <c r="GYV47" s="58" t="s">
        <v>248</v>
      </c>
      <c r="GYW47" s="58" t="s">
        <v>249</v>
      </c>
      <c r="GYX47" s="58" t="s">
        <v>250</v>
      </c>
      <c r="GYY47" s="58" t="s">
        <v>247</v>
      </c>
      <c r="GYZ47" s="58" t="s">
        <v>248</v>
      </c>
      <c r="GZA47" s="58" t="s">
        <v>249</v>
      </c>
      <c r="GZB47" s="58" t="s">
        <v>250</v>
      </c>
      <c r="GZC47" s="58" t="s">
        <v>247</v>
      </c>
      <c r="GZD47" s="58" t="s">
        <v>248</v>
      </c>
      <c r="GZE47" s="58" t="s">
        <v>249</v>
      </c>
      <c r="GZF47" s="58" t="s">
        <v>250</v>
      </c>
      <c r="GZG47" s="58" t="s">
        <v>247</v>
      </c>
      <c r="GZH47" s="58" t="s">
        <v>248</v>
      </c>
      <c r="GZI47" s="58" t="s">
        <v>249</v>
      </c>
      <c r="GZJ47" s="58" t="s">
        <v>250</v>
      </c>
      <c r="GZK47" s="58" t="s">
        <v>247</v>
      </c>
      <c r="GZL47" s="58" t="s">
        <v>248</v>
      </c>
      <c r="GZM47" s="58" t="s">
        <v>249</v>
      </c>
      <c r="GZN47" s="58" t="s">
        <v>250</v>
      </c>
      <c r="GZO47" s="58" t="s">
        <v>247</v>
      </c>
      <c r="GZP47" s="58" t="s">
        <v>248</v>
      </c>
      <c r="GZQ47" s="58" t="s">
        <v>249</v>
      </c>
      <c r="GZR47" s="58" t="s">
        <v>250</v>
      </c>
      <c r="GZS47" s="58" t="s">
        <v>247</v>
      </c>
      <c r="GZT47" s="58" t="s">
        <v>248</v>
      </c>
      <c r="GZU47" s="58" t="s">
        <v>249</v>
      </c>
      <c r="GZV47" s="58" t="s">
        <v>250</v>
      </c>
      <c r="GZW47" s="58" t="s">
        <v>247</v>
      </c>
      <c r="GZX47" s="58" t="s">
        <v>248</v>
      </c>
      <c r="GZY47" s="58" t="s">
        <v>249</v>
      </c>
      <c r="GZZ47" s="58" t="s">
        <v>250</v>
      </c>
      <c r="HAA47" s="58" t="s">
        <v>247</v>
      </c>
      <c r="HAB47" s="58" t="s">
        <v>248</v>
      </c>
      <c r="HAC47" s="58" t="s">
        <v>249</v>
      </c>
      <c r="HAD47" s="58" t="s">
        <v>250</v>
      </c>
      <c r="HAE47" s="58" t="s">
        <v>247</v>
      </c>
      <c r="HAF47" s="58" t="s">
        <v>248</v>
      </c>
      <c r="HAG47" s="58" t="s">
        <v>249</v>
      </c>
      <c r="HAH47" s="58" t="s">
        <v>250</v>
      </c>
      <c r="HAI47" s="58" t="s">
        <v>247</v>
      </c>
      <c r="HAJ47" s="58" t="s">
        <v>248</v>
      </c>
      <c r="HAK47" s="58" t="s">
        <v>249</v>
      </c>
      <c r="HAL47" s="58" t="s">
        <v>250</v>
      </c>
      <c r="HAM47" s="58" t="s">
        <v>247</v>
      </c>
      <c r="HAN47" s="58" t="s">
        <v>248</v>
      </c>
      <c r="HAO47" s="58" t="s">
        <v>249</v>
      </c>
      <c r="HAP47" s="58" t="s">
        <v>250</v>
      </c>
      <c r="HAQ47" s="58" t="s">
        <v>247</v>
      </c>
      <c r="HAR47" s="58" t="s">
        <v>248</v>
      </c>
      <c r="HAS47" s="58" t="s">
        <v>249</v>
      </c>
      <c r="HAT47" s="58" t="s">
        <v>250</v>
      </c>
      <c r="HAU47" s="58" t="s">
        <v>247</v>
      </c>
      <c r="HAV47" s="58" t="s">
        <v>248</v>
      </c>
      <c r="HAW47" s="58" t="s">
        <v>249</v>
      </c>
      <c r="HAX47" s="58" t="s">
        <v>250</v>
      </c>
      <c r="HAY47" s="58" t="s">
        <v>247</v>
      </c>
      <c r="HAZ47" s="58" t="s">
        <v>248</v>
      </c>
      <c r="HBA47" s="58" t="s">
        <v>249</v>
      </c>
      <c r="HBB47" s="58" t="s">
        <v>250</v>
      </c>
      <c r="HBC47" s="58" t="s">
        <v>247</v>
      </c>
      <c r="HBD47" s="58" t="s">
        <v>248</v>
      </c>
      <c r="HBE47" s="58" t="s">
        <v>249</v>
      </c>
      <c r="HBF47" s="58" t="s">
        <v>250</v>
      </c>
      <c r="HBG47" s="58" t="s">
        <v>247</v>
      </c>
      <c r="HBH47" s="58" t="s">
        <v>248</v>
      </c>
      <c r="HBI47" s="58" t="s">
        <v>249</v>
      </c>
      <c r="HBJ47" s="58" t="s">
        <v>250</v>
      </c>
      <c r="HBK47" s="58" t="s">
        <v>247</v>
      </c>
      <c r="HBL47" s="58" t="s">
        <v>248</v>
      </c>
      <c r="HBM47" s="58" t="s">
        <v>249</v>
      </c>
      <c r="HBN47" s="58" t="s">
        <v>250</v>
      </c>
      <c r="HBO47" s="58" t="s">
        <v>247</v>
      </c>
      <c r="HBP47" s="58" t="s">
        <v>248</v>
      </c>
      <c r="HBQ47" s="58" t="s">
        <v>249</v>
      </c>
      <c r="HBR47" s="58" t="s">
        <v>250</v>
      </c>
      <c r="HBS47" s="58" t="s">
        <v>247</v>
      </c>
      <c r="HBT47" s="58" t="s">
        <v>248</v>
      </c>
      <c r="HBU47" s="58" t="s">
        <v>249</v>
      </c>
      <c r="HBV47" s="58" t="s">
        <v>250</v>
      </c>
      <c r="HBW47" s="58" t="s">
        <v>247</v>
      </c>
      <c r="HBX47" s="58" t="s">
        <v>248</v>
      </c>
      <c r="HBY47" s="58" t="s">
        <v>249</v>
      </c>
      <c r="HBZ47" s="58" t="s">
        <v>250</v>
      </c>
      <c r="HCA47" s="58" t="s">
        <v>247</v>
      </c>
      <c r="HCB47" s="58" t="s">
        <v>248</v>
      </c>
      <c r="HCC47" s="58" t="s">
        <v>249</v>
      </c>
      <c r="HCD47" s="58" t="s">
        <v>250</v>
      </c>
      <c r="HCE47" s="58" t="s">
        <v>247</v>
      </c>
      <c r="HCF47" s="58" t="s">
        <v>248</v>
      </c>
      <c r="HCG47" s="58" t="s">
        <v>249</v>
      </c>
      <c r="HCH47" s="58" t="s">
        <v>250</v>
      </c>
      <c r="HCI47" s="58" t="s">
        <v>247</v>
      </c>
      <c r="HCJ47" s="58" t="s">
        <v>248</v>
      </c>
      <c r="HCK47" s="58" t="s">
        <v>249</v>
      </c>
      <c r="HCL47" s="58" t="s">
        <v>250</v>
      </c>
      <c r="HCM47" s="58" t="s">
        <v>247</v>
      </c>
      <c r="HCN47" s="58" t="s">
        <v>248</v>
      </c>
      <c r="HCO47" s="58" t="s">
        <v>249</v>
      </c>
      <c r="HCP47" s="58" t="s">
        <v>250</v>
      </c>
      <c r="HCQ47" s="58" t="s">
        <v>247</v>
      </c>
      <c r="HCR47" s="58" t="s">
        <v>248</v>
      </c>
      <c r="HCS47" s="58" t="s">
        <v>249</v>
      </c>
      <c r="HCT47" s="58" t="s">
        <v>250</v>
      </c>
      <c r="HCU47" s="58" t="s">
        <v>247</v>
      </c>
      <c r="HCV47" s="58" t="s">
        <v>248</v>
      </c>
      <c r="HCW47" s="58" t="s">
        <v>249</v>
      </c>
      <c r="HCX47" s="58" t="s">
        <v>250</v>
      </c>
      <c r="HCY47" s="58" t="s">
        <v>247</v>
      </c>
      <c r="HCZ47" s="58" t="s">
        <v>248</v>
      </c>
      <c r="HDA47" s="58" t="s">
        <v>249</v>
      </c>
      <c r="HDB47" s="58" t="s">
        <v>250</v>
      </c>
      <c r="HDC47" s="58" t="s">
        <v>247</v>
      </c>
      <c r="HDD47" s="58" t="s">
        <v>248</v>
      </c>
      <c r="HDE47" s="58" t="s">
        <v>249</v>
      </c>
      <c r="HDF47" s="58" t="s">
        <v>250</v>
      </c>
      <c r="HDG47" s="58" t="s">
        <v>247</v>
      </c>
      <c r="HDH47" s="58" t="s">
        <v>248</v>
      </c>
      <c r="HDI47" s="58" t="s">
        <v>249</v>
      </c>
      <c r="HDJ47" s="58" t="s">
        <v>250</v>
      </c>
      <c r="HDK47" s="58" t="s">
        <v>247</v>
      </c>
      <c r="HDL47" s="58" t="s">
        <v>248</v>
      </c>
      <c r="HDM47" s="58" t="s">
        <v>249</v>
      </c>
      <c r="HDN47" s="58" t="s">
        <v>250</v>
      </c>
      <c r="HDO47" s="58" t="s">
        <v>247</v>
      </c>
      <c r="HDP47" s="58" t="s">
        <v>248</v>
      </c>
      <c r="HDQ47" s="58" t="s">
        <v>249</v>
      </c>
      <c r="HDR47" s="58" t="s">
        <v>250</v>
      </c>
      <c r="HDS47" s="58" t="s">
        <v>247</v>
      </c>
      <c r="HDT47" s="58" t="s">
        <v>248</v>
      </c>
      <c r="HDU47" s="58" t="s">
        <v>249</v>
      </c>
      <c r="HDV47" s="58" t="s">
        <v>250</v>
      </c>
      <c r="HDW47" s="58" t="s">
        <v>247</v>
      </c>
      <c r="HDX47" s="58" t="s">
        <v>248</v>
      </c>
      <c r="HDY47" s="58" t="s">
        <v>249</v>
      </c>
      <c r="HDZ47" s="58" t="s">
        <v>250</v>
      </c>
      <c r="HEA47" s="58" t="s">
        <v>247</v>
      </c>
      <c r="HEB47" s="58" t="s">
        <v>248</v>
      </c>
      <c r="HEC47" s="58" t="s">
        <v>249</v>
      </c>
      <c r="HED47" s="58" t="s">
        <v>250</v>
      </c>
      <c r="HEE47" s="58" t="s">
        <v>247</v>
      </c>
      <c r="HEF47" s="58" t="s">
        <v>248</v>
      </c>
      <c r="HEG47" s="58" t="s">
        <v>249</v>
      </c>
      <c r="HEH47" s="58" t="s">
        <v>250</v>
      </c>
      <c r="HEI47" s="58" t="s">
        <v>247</v>
      </c>
      <c r="HEJ47" s="58" t="s">
        <v>248</v>
      </c>
      <c r="HEK47" s="58" t="s">
        <v>249</v>
      </c>
      <c r="HEL47" s="58" t="s">
        <v>250</v>
      </c>
      <c r="HEM47" s="58" t="s">
        <v>247</v>
      </c>
      <c r="HEN47" s="58" t="s">
        <v>248</v>
      </c>
      <c r="HEO47" s="58" t="s">
        <v>249</v>
      </c>
      <c r="HEP47" s="58" t="s">
        <v>250</v>
      </c>
      <c r="HEQ47" s="58" t="s">
        <v>247</v>
      </c>
      <c r="HER47" s="58" t="s">
        <v>248</v>
      </c>
      <c r="HES47" s="58" t="s">
        <v>249</v>
      </c>
      <c r="HET47" s="58" t="s">
        <v>250</v>
      </c>
      <c r="HEU47" s="58" t="s">
        <v>247</v>
      </c>
      <c r="HEV47" s="58" t="s">
        <v>248</v>
      </c>
      <c r="HEW47" s="58" t="s">
        <v>249</v>
      </c>
      <c r="HEX47" s="58" t="s">
        <v>250</v>
      </c>
      <c r="HEY47" s="58" t="s">
        <v>247</v>
      </c>
      <c r="HEZ47" s="58" t="s">
        <v>248</v>
      </c>
      <c r="HFA47" s="58" t="s">
        <v>249</v>
      </c>
      <c r="HFB47" s="58" t="s">
        <v>250</v>
      </c>
      <c r="HFC47" s="58" t="s">
        <v>247</v>
      </c>
      <c r="HFD47" s="58" t="s">
        <v>248</v>
      </c>
      <c r="HFE47" s="58" t="s">
        <v>249</v>
      </c>
      <c r="HFF47" s="58" t="s">
        <v>250</v>
      </c>
      <c r="HFG47" s="58" t="s">
        <v>247</v>
      </c>
      <c r="HFH47" s="58" t="s">
        <v>248</v>
      </c>
      <c r="HFI47" s="58" t="s">
        <v>249</v>
      </c>
      <c r="HFJ47" s="58" t="s">
        <v>250</v>
      </c>
      <c r="HFK47" s="58" t="s">
        <v>247</v>
      </c>
      <c r="HFL47" s="58" t="s">
        <v>248</v>
      </c>
      <c r="HFM47" s="58" t="s">
        <v>249</v>
      </c>
      <c r="HFN47" s="58" t="s">
        <v>250</v>
      </c>
      <c r="HFO47" s="58" t="s">
        <v>247</v>
      </c>
      <c r="HFP47" s="58" t="s">
        <v>248</v>
      </c>
      <c r="HFQ47" s="58" t="s">
        <v>249</v>
      </c>
      <c r="HFR47" s="58" t="s">
        <v>250</v>
      </c>
      <c r="HFS47" s="58" t="s">
        <v>247</v>
      </c>
      <c r="HFT47" s="58" t="s">
        <v>248</v>
      </c>
      <c r="HFU47" s="58" t="s">
        <v>249</v>
      </c>
      <c r="HFV47" s="58" t="s">
        <v>250</v>
      </c>
      <c r="HFW47" s="58" t="s">
        <v>247</v>
      </c>
      <c r="HFX47" s="58" t="s">
        <v>248</v>
      </c>
      <c r="HFY47" s="58" t="s">
        <v>249</v>
      </c>
      <c r="HFZ47" s="58" t="s">
        <v>250</v>
      </c>
      <c r="HGA47" s="58" t="s">
        <v>247</v>
      </c>
      <c r="HGB47" s="58" t="s">
        <v>248</v>
      </c>
      <c r="HGC47" s="58" t="s">
        <v>249</v>
      </c>
      <c r="HGD47" s="58" t="s">
        <v>250</v>
      </c>
      <c r="HGE47" s="58" t="s">
        <v>247</v>
      </c>
      <c r="HGF47" s="58" t="s">
        <v>248</v>
      </c>
      <c r="HGG47" s="58" t="s">
        <v>249</v>
      </c>
      <c r="HGH47" s="58" t="s">
        <v>250</v>
      </c>
      <c r="HGI47" s="58" t="s">
        <v>247</v>
      </c>
      <c r="HGJ47" s="58" t="s">
        <v>248</v>
      </c>
      <c r="HGK47" s="58" t="s">
        <v>249</v>
      </c>
      <c r="HGL47" s="58" t="s">
        <v>250</v>
      </c>
      <c r="HGM47" s="58" t="s">
        <v>247</v>
      </c>
      <c r="HGN47" s="58" t="s">
        <v>248</v>
      </c>
      <c r="HGO47" s="58" t="s">
        <v>249</v>
      </c>
      <c r="HGP47" s="58" t="s">
        <v>250</v>
      </c>
      <c r="HGQ47" s="58" t="s">
        <v>247</v>
      </c>
      <c r="HGR47" s="58" t="s">
        <v>248</v>
      </c>
      <c r="HGS47" s="58" t="s">
        <v>249</v>
      </c>
      <c r="HGT47" s="58" t="s">
        <v>250</v>
      </c>
      <c r="HGU47" s="58" t="s">
        <v>247</v>
      </c>
      <c r="HGV47" s="58" t="s">
        <v>248</v>
      </c>
      <c r="HGW47" s="58" t="s">
        <v>249</v>
      </c>
      <c r="HGX47" s="58" t="s">
        <v>250</v>
      </c>
      <c r="HGY47" s="58" t="s">
        <v>247</v>
      </c>
      <c r="HGZ47" s="58" t="s">
        <v>248</v>
      </c>
      <c r="HHA47" s="58" t="s">
        <v>249</v>
      </c>
      <c r="HHB47" s="58" t="s">
        <v>250</v>
      </c>
      <c r="HHC47" s="58" t="s">
        <v>247</v>
      </c>
      <c r="HHD47" s="58" t="s">
        <v>248</v>
      </c>
      <c r="HHE47" s="58" t="s">
        <v>249</v>
      </c>
      <c r="HHF47" s="58" t="s">
        <v>250</v>
      </c>
      <c r="HHG47" s="58" t="s">
        <v>247</v>
      </c>
      <c r="HHH47" s="58" t="s">
        <v>248</v>
      </c>
      <c r="HHI47" s="58" t="s">
        <v>249</v>
      </c>
      <c r="HHJ47" s="58" t="s">
        <v>250</v>
      </c>
      <c r="HHK47" s="58" t="s">
        <v>247</v>
      </c>
      <c r="HHL47" s="58" t="s">
        <v>248</v>
      </c>
      <c r="HHM47" s="58" t="s">
        <v>249</v>
      </c>
      <c r="HHN47" s="58" t="s">
        <v>250</v>
      </c>
      <c r="HHO47" s="58" t="s">
        <v>247</v>
      </c>
      <c r="HHP47" s="58" t="s">
        <v>248</v>
      </c>
      <c r="HHQ47" s="58" t="s">
        <v>249</v>
      </c>
      <c r="HHR47" s="58" t="s">
        <v>250</v>
      </c>
      <c r="HHS47" s="58" t="s">
        <v>247</v>
      </c>
      <c r="HHT47" s="58" t="s">
        <v>248</v>
      </c>
      <c r="HHU47" s="58" t="s">
        <v>249</v>
      </c>
      <c r="HHV47" s="58" t="s">
        <v>250</v>
      </c>
      <c r="HHW47" s="58" t="s">
        <v>247</v>
      </c>
      <c r="HHX47" s="58" t="s">
        <v>248</v>
      </c>
      <c r="HHY47" s="58" t="s">
        <v>249</v>
      </c>
      <c r="HHZ47" s="58" t="s">
        <v>250</v>
      </c>
      <c r="HIA47" s="58" t="s">
        <v>247</v>
      </c>
      <c r="HIB47" s="58" t="s">
        <v>248</v>
      </c>
      <c r="HIC47" s="58" t="s">
        <v>249</v>
      </c>
      <c r="HID47" s="58" t="s">
        <v>250</v>
      </c>
      <c r="HIE47" s="58" t="s">
        <v>247</v>
      </c>
      <c r="HIF47" s="58" t="s">
        <v>248</v>
      </c>
      <c r="HIG47" s="58" t="s">
        <v>249</v>
      </c>
      <c r="HIH47" s="58" t="s">
        <v>250</v>
      </c>
      <c r="HII47" s="58" t="s">
        <v>247</v>
      </c>
      <c r="HIJ47" s="58" t="s">
        <v>248</v>
      </c>
      <c r="HIK47" s="58" t="s">
        <v>249</v>
      </c>
      <c r="HIL47" s="58" t="s">
        <v>250</v>
      </c>
      <c r="HIM47" s="58" t="s">
        <v>247</v>
      </c>
      <c r="HIN47" s="58" t="s">
        <v>248</v>
      </c>
      <c r="HIO47" s="58" t="s">
        <v>249</v>
      </c>
      <c r="HIP47" s="58" t="s">
        <v>250</v>
      </c>
      <c r="HIQ47" s="58" t="s">
        <v>247</v>
      </c>
      <c r="HIR47" s="58" t="s">
        <v>248</v>
      </c>
      <c r="HIS47" s="58" t="s">
        <v>249</v>
      </c>
      <c r="HIT47" s="58" t="s">
        <v>250</v>
      </c>
      <c r="HIU47" s="58" t="s">
        <v>247</v>
      </c>
      <c r="HIV47" s="58" t="s">
        <v>248</v>
      </c>
      <c r="HIW47" s="58" t="s">
        <v>249</v>
      </c>
      <c r="HIX47" s="58" t="s">
        <v>250</v>
      </c>
      <c r="HIY47" s="58" t="s">
        <v>247</v>
      </c>
      <c r="HIZ47" s="58" t="s">
        <v>248</v>
      </c>
      <c r="HJA47" s="58" t="s">
        <v>249</v>
      </c>
      <c r="HJB47" s="58" t="s">
        <v>250</v>
      </c>
      <c r="HJC47" s="58" t="s">
        <v>247</v>
      </c>
      <c r="HJD47" s="58" t="s">
        <v>248</v>
      </c>
      <c r="HJE47" s="58" t="s">
        <v>249</v>
      </c>
      <c r="HJF47" s="58" t="s">
        <v>250</v>
      </c>
      <c r="HJG47" s="58" t="s">
        <v>247</v>
      </c>
      <c r="HJH47" s="58" t="s">
        <v>248</v>
      </c>
      <c r="HJI47" s="58" t="s">
        <v>249</v>
      </c>
      <c r="HJJ47" s="58" t="s">
        <v>250</v>
      </c>
      <c r="HJK47" s="58" t="s">
        <v>247</v>
      </c>
      <c r="HJL47" s="58" t="s">
        <v>248</v>
      </c>
      <c r="HJM47" s="58" t="s">
        <v>249</v>
      </c>
      <c r="HJN47" s="58" t="s">
        <v>250</v>
      </c>
      <c r="HJO47" s="58" t="s">
        <v>247</v>
      </c>
      <c r="HJP47" s="58" t="s">
        <v>248</v>
      </c>
      <c r="HJQ47" s="58" t="s">
        <v>249</v>
      </c>
      <c r="HJR47" s="58" t="s">
        <v>250</v>
      </c>
      <c r="HJS47" s="58" t="s">
        <v>247</v>
      </c>
      <c r="HJT47" s="58" t="s">
        <v>248</v>
      </c>
      <c r="HJU47" s="58" t="s">
        <v>249</v>
      </c>
      <c r="HJV47" s="58" t="s">
        <v>250</v>
      </c>
      <c r="HJW47" s="58" t="s">
        <v>247</v>
      </c>
      <c r="HJX47" s="58" t="s">
        <v>248</v>
      </c>
      <c r="HJY47" s="58" t="s">
        <v>249</v>
      </c>
      <c r="HJZ47" s="58" t="s">
        <v>250</v>
      </c>
      <c r="HKA47" s="58" t="s">
        <v>247</v>
      </c>
      <c r="HKB47" s="58" t="s">
        <v>248</v>
      </c>
      <c r="HKC47" s="58" t="s">
        <v>249</v>
      </c>
      <c r="HKD47" s="58" t="s">
        <v>250</v>
      </c>
      <c r="HKE47" s="58" t="s">
        <v>247</v>
      </c>
      <c r="HKF47" s="58" t="s">
        <v>248</v>
      </c>
      <c r="HKG47" s="58" t="s">
        <v>249</v>
      </c>
      <c r="HKH47" s="58" t="s">
        <v>250</v>
      </c>
      <c r="HKI47" s="58" t="s">
        <v>247</v>
      </c>
      <c r="HKJ47" s="58" t="s">
        <v>248</v>
      </c>
      <c r="HKK47" s="58" t="s">
        <v>249</v>
      </c>
      <c r="HKL47" s="58" t="s">
        <v>250</v>
      </c>
      <c r="HKM47" s="58" t="s">
        <v>247</v>
      </c>
      <c r="HKN47" s="58" t="s">
        <v>248</v>
      </c>
      <c r="HKO47" s="58" t="s">
        <v>249</v>
      </c>
      <c r="HKP47" s="58" t="s">
        <v>250</v>
      </c>
      <c r="HKQ47" s="58" t="s">
        <v>247</v>
      </c>
      <c r="HKR47" s="58" t="s">
        <v>248</v>
      </c>
      <c r="HKS47" s="58" t="s">
        <v>249</v>
      </c>
      <c r="HKT47" s="58" t="s">
        <v>250</v>
      </c>
      <c r="HKU47" s="58" t="s">
        <v>247</v>
      </c>
      <c r="HKV47" s="58" t="s">
        <v>248</v>
      </c>
      <c r="HKW47" s="58" t="s">
        <v>249</v>
      </c>
      <c r="HKX47" s="58" t="s">
        <v>250</v>
      </c>
      <c r="HKY47" s="58" t="s">
        <v>247</v>
      </c>
      <c r="HKZ47" s="58" t="s">
        <v>248</v>
      </c>
      <c r="HLA47" s="58" t="s">
        <v>249</v>
      </c>
      <c r="HLB47" s="58" t="s">
        <v>250</v>
      </c>
      <c r="HLC47" s="58" t="s">
        <v>247</v>
      </c>
      <c r="HLD47" s="58" t="s">
        <v>248</v>
      </c>
      <c r="HLE47" s="58" t="s">
        <v>249</v>
      </c>
      <c r="HLF47" s="58" t="s">
        <v>250</v>
      </c>
      <c r="HLG47" s="58" t="s">
        <v>247</v>
      </c>
      <c r="HLH47" s="58" t="s">
        <v>248</v>
      </c>
      <c r="HLI47" s="58" t="s">
        <v>249</v>
      </c>
      <c r="HLJ47" s="58" t="s">
        <v>250</v>
      </c>
      <c r="HLK47" s="58" t="s">
        <v>247</v>
      </c>
      <c r="HLL47" s="58" t="s">
        <v>248</v>
      </c>
      <c r="HLM47" s="58" t="s">
        <v>249</v>
      </c>
      <c r="HLN47" s="58" t="s">
        <v>250</v>
      </c>
      <c r="HLO47" s="58" t="s">
        <v>247</v>
      </c>
      <c r="HLP47" s="58" t="s">
        <v>248</v>
      </c>
      <c r="HLQ47" s="58" t="s">
        <v>249</v>
      </c>
      <c r="HLR47" s="58" t="s">
        <v>250</v>
      </c>
      <c r="HLS47" s="58" t="s">
        <v>247</v>
      </c>
      <c r="HLT47" s="58" t="s">
        <v>248</v>
      </c>
      <c r="HLU47" s="58" t="s">
        <v>249</v>
      </c>
      <c r="HLV47" s="58" t="s">
        <v>250</v>
      </c>
      <c r="HLW47" s="58" t="s">
        <v>247</v>
      </c>
      <c r="HLX47" s="58" t="s">
        <v>248</v>
      </c>
      <c r="HLY47" s="58" t="s">
        <v>249</v>
      </c>
      <c r="HLZ47" s="58" t="s">
        <v>250</v>
      </c>
      <c r="HMA47" s="58" t="s">
        <v>247</v>
      </c>
      <c r="HMB47" s="58" t="s">
        <v>248</v>
      </c>
      <c r="HMC47" s="58" t="s">
        <v>249</v>
      </c>
      <c r="HMD47" s="58" t="s">
        <v>250</v>
      </c>
      <c r="HME47" s="58" t="s">
        <v>247</v>
      </c>
      <c r="HMF47" s="58" t="s">
        <v>248</v>
      </c>
      <c r="HMG47" s="58" t="s">
        <v>249</v>
      </c>
      <c r="HMH47" s="58" t="s">
        <v>250</v>
      </c>
      <c r="HMI47" s="58" t="s">
        <v>247</v>
      </c>
      <c r="HMJ47" s="58" t="s">
        <v>248</v>
      </c>
      <c r="HMK47" s="58" t="s">
        <v>249</v>
      </c>
      <c r="HML47" s="58" t="s">
        <v>250</v>
      </c>
      <c r="HMM47" s="58" t="s">
        <v>247</v>
      </c>
      <c r="HMN47" s="58" t="s">
        <v>248</v>
      </c>
      <c r="HMO47" s="58" t="s">
        <v>249</v>
      </c>
      <c r="HMP47" s="58" t="s">
        <v>250</v>
      </c>
      <c r="HMQ47" s="58" t="s">
        <v>247</v>
      </c>
      <c r="HMR47" s="58" t="s">
        <v>248</v>
      </c>
      <c r="HMS47" s="58" t="s">
        <v>249</v>
      </c>
      <c r="HMT47" s="58" t="s">
        <v>250</v>
      </c>
      <c r="HMU47" s="58" t="s">
        <v>247</v>
      </c>
      <c r="HMV47" s="58" t="s">
        <v>248</v>
      </c>
      <c r="HMW47" s="58" t="s">
        <v>249</v>
      </c>
      <c r="HMX47" s="58" t="s">
        <v>250</v>
      </c>
      <c r="HMY47" s="58" t="s">
        <v>247</v>
      </c>
      <c r="HMZ47" s="58" t="s">
        <v>248</v>
      </c>
      <c r="HNA47" s="58" t="s">
        <v>249</v>
      </c>
      <c r="HNB47" s="58" t="s">
        <v>250</v>
      </c>
      <c r="HNC47" s="58" t="s">
        <v>247</v>
      </c>
      <c r="HND47" s="58" t="s">
        <v>248</v>
      </c>
      <c r="HNE47" s="58" t="s">
        <v>249</v>
      </c>
      <c r="HNF47" s="58" t="s">
        <v>250</v>
      </c>
      <c r="HNG47" s="58" t="s">
        <v>247</v>
      </c>
      <c r="HNH47" s="58" t="s">
        <v>248</v>
      </c>
      <c r="HNI47" s="58" t="s">
        <v>249</v>
      </c>
      <c r="HNJ47" s="58" t="s">
        <v>250</v>
      </c>
      <c r="HNK47" s="58" t="s">
        <v>247</v>
      </c>
      <c r="HNL47" s="58" t="s">
        <v>248</v>
      </c>
      <c r="HNM47" s="58" t="s">
        <v>249</v>
      </c>
      <c r="HNN47" s="58" t="s">
        <v>250</v>
      </c>
      <c r="HNO47" s="58" t="s">
        <v>247</v>
      </c>
      <c r="HNP47" s="58" t="s">
        <v>248</v>
      </c>
      <c r="HNQ47" s="58" t="s">
        <v>249</v>
      </c>
      <c r="HNR47" s="58" t="s">
        <v>250</v>
      </c>
      <c r="HNS47" s="58" t="s">
        <v>247</v>
      </c>
      <c r="HNT47" s="58" t="s">
        <v>248</v>
      </c>
      <c r="HNU47" s="58" t="s">
        <v>249</v>
      </c>
      <c r="HNV47" s="58" t="s">
        <v>250</v>
      </c>
      <c r="HNW47" s="58" t="s">
        <v>247</v>
      </c>
      <c r="HNX47" s="58" t="s">
        <v>248</v>
      </c>
      <c r="HNY47" s="58" t="s">
        <v>249</v>
      </c>
      <c r="HNZ47" s="58" t="s">
        <v>250</v>
      </c>
      <c r="HOA47" s="58" t="s">
        <v>247</v>
      </c>
      <c r="HOB47" s="58" t="s">
        <v>248</v>
      </c>
      <c r="HOC47" s="58" t="s">
        <v>249</v>
      </c>
      <c r="HOD47" s="58" t="s">
        <v>250</v>
      </c>
      <c r="HOE47" s="58" t="s">
        <v>247</v>
      </c>
      <c r="HOF47" s="58" t="s">
        <v>248</v>
      </c>
      <c r="HOG47" s="58" t="s">
        <v>249</v>
      </c>
      <c r="HOH47" s="58" t="s">
        <v>250</v>
      </c>
      <c r="HOI47" s="58" t="s">
        <v>247</v>
      </c>
      <c r="HOJ47" s="58" t="s">
        <v>248</v>
      </c>
      <c r="HOK47" s="58" t="s">
        <v>249</v>
      </c>
      <c r="HOL47" s="58" t="s">
        <v>250</v>
      </c>
      <c r="HOM47" s="58" t="s">
        <v>247</v>
      </c>
      <c r="HON47" s="58" t="s">
        <v>248</v>
      </c>
      <c r="HOO47" s="58" t="s">
        <v>249</v>
      </c>
      <c r="HOP47" s="58" t="s">
        <v>250</v>
      </c>
      <c r="HOQ47" s="58" t="s">
        <v>247</v>
      </c>
      <c r="HOR47" s="58" t="s">
        <v>248</v>
      </c>
      <c r="HOS47" s="58" t="s">
        <v>249</v>
      </c>
      <c r="HOT47" s="58" t="s">
        <v>250</v>
      </c>
      <c r="HOU47" s="58" t="s">
        <v>247</v>
      </c>
      <c r="HOV47" s="58" t="s">
        <v>248</v>
      </c>
      <c r="HOW47" s="58" t="s">
        <v>249</v>
      </c>
      <c r="HOX47" s="58" t="s">
        <v>250</v>
      </c>
      <c r="HOY47" s="58" t="s">
        <v>247</v>
      </c>
      <c r="HOZ47" s="58" t="s">
        <v>248</v>
      </c>
      <c r="HPA47" s="58" t="s">
        <v>249</v>
      </c>
      <c r="HPB47" s="58" t="s">
        <v>250</v>
      </c>
      <c r="HPC47" s="58" t="s">
        <v>247</v>
      </c>
      <c r="HPD47" s="58" t="s">
        <v>248</v>
      </c>
      <c r="HPE47" s="58" t="s">
        <v>249</v>
      </c>
      <c r="HPF47" s="58" t="s">
        <v>250</v>
      </c>
      <c r="HPG47" s="58" t="s">
        <v>247</v>
      </c>
      <c r="HPH47" s="58" t="s">
        <v>248</v>
      </c>
      <c r="HPI47" s="58" t="s">
        <v>249</v>
      </c>
      <c r="HPJ47" s="58" t="s">
        <v>250</v>
      </c>
      <c r="HPK47" s="58" t="s">
        <v>247</v>
      </c>
      <c r="HPL47" s="58" t="s">
        <v>248</v>
      </c>
      <c r="HPM47" s="58" t="s">
        <v>249</v>
      </c>
      <c r="HPN47" s="58" t="s">
        <v>250</v>
      </c>
      <c r="HPO47" s="58" t="s">
        <v>247</v>
      </c>
      <c r="HPP47" s="58" t="s">
        <v>248</v>
      </c>
      <c r="HPQ47" s="58" t="s">
        <v>249</v>
      </c>
      <c r="HPR47" s="58" t="s">
        <v>250</v>
      </c>
      <c r="HPS47" s="58" t="s">
        <v>247</v>
      </c>
      <c r="HPT47" s="58" t="s">
        <v>248</v>
      </c>
      <c r="HPU47" s="58" t="s">
        <v>249</v>
      </c>
      <c r="HPV47" s="58" t="s">
        <v>250</v>
      </c>
      <c r="HPW47" s="58" t="s">
        <v>247</v>
      </c>
      <c r="HPX47" s="58" t="s">
        <v>248</v>
      </c>
      <c r="HPY47" s="58" t="s">
        <v>249</v>
      </c>
      <c r="HPZ47" s="58" t="s">
        <v>250</v>
      </c>
      <c r="HQA47" s="58" t="s">
        <v>247</v>
      </c>
      <c r="HQB47" s="58" t="s">
        <v>248</v>
      </c>
      <c r="HQC47" s="58" t="s">
        <v>249</v>
      </c>
      <c r="HQD47" s="58" t="s">
        <v>250</v>
      </c>
      <c r="HQE47" s="58" t="s">
        <v>247</v>
      </c>
      <c r="HQF47" s="58" t="s">
        <v>248</v>
      </c>
      <c r="HQG47" s="58" t="s">
        <v>249</v>
      </c>
      <c r="HQH47" s="58" t="s">
        <v>250</v>
      </c>
      <c r="HQI47" s="58" t="s">
        <v>247</v>
      </c>
      <c r="HQJ47" s="58" t="s">
        <v>248</v>
      </c>
      <c r="HQK47" s="58" t="s">
        <v>249</v>
      </c>
      <c r="HQL47" s="58" t="s">
        <v>250</v>
      </c>
      <c r="HQM47" s="58" t="s">
        <v>247</v>
      </c>
      <c r="HQN47" s="58" t="s">
        <v>248</v>
      </c>
      <c r="HQO47" s="58" t="s">
        <v>249</v>
      </c>
      <c r="HQP47" s="58" t="s">
        <v>250</v>
      </c>
      <c r="HQQ47" s="58" t="s">
        <v>247</v>
      </c>
      <c r="HQR47" s="58" t="s">
        <v>248</v>
      </c>
      <c r="HQS47" s="58" t="s">
        <v>249</v>
      </c>
      <c r="HQT47" s="58" t="s">
        <v>250</v>
      </c>
      <c r="HQU47" s="58" t="s">
        <v>247</v>
      </c>
      <c r="HQV47" s="58" t="s">
        <v>248</v>
      </c>
      <c r="HQW47" s="58" t="s">
        <v>249</v>
      </c>
      <c r="HQX47" s="58" t="s">
        <v>250</v>
      </c>
      <c r="HQY47" s="58" t="s">
        <v>247</v>
      </c>
      <c r="HQZ47" s="58" t="s">
        <v>248</v>
      </c>
      <c r="HRA47" s="58" t="s">
        <v>249</v>
      </c>
      <c r="HRB47" s="58" t="s">
        <v>250</v>
      </c>
      <c r="HRC47" s="58" t="s">
        <v>247</v>
      </c>
      <c r="HRD47" s="58" t="s">
        <v>248</v>
      </c>
      <c r="HRE47" s="58" t="s">
        <v>249</v>
      </c>
      <c r="HRF47" s="58" t="s">
        <v>250</v>
      </c>
      <c r="HRG47" s="58" t="s">
        <v>247</v>
      </c>
      <c r="HRH47" s="58" t="s">
        <v>248</v>
      </c>
      <c r="HRI47" s="58" t="s">
        <v>249</v>
      </c>
      <c r="HRJ47" s="58" t="s">
        <v>250</v>
      </c>
      <c r="HRK47" s="58" t="s">
        <v>247</v>
      </c>
      <c r="HRL47" s="58" t="s">
        <v>248</v>
      </c>
      <c r="HRM47" s="58" t="s">
        <v>249</v>
      </c>
      <c r="HRN47" s="58" t="s">
        <v>250</v>
      </c>
      <c r="HRO47" s="58" t="s">
        <v>247</v>
      </c>
      <c r="HRP47" s="58" t="s">
        <v>248</v>
      </c>
      <c r="HRQ47" s="58" t="s">
        <v>249</v>
      </c>
      <c r="HRR47" s="58" t="s">
        <v>250</v>
      </c>
      <c r="HRS47" s="58" t="s">
        <v>247</v>
      </c>
      <c r="HRT47" s="58" t="s">
        <v>248</v>
      </c>
      <c r="HRU47" s="58" t="s">
        <v>249</v>
      </c>
      <c r="HRV47" s="58" t="s">
        <v>250</v>
      </c>
      <c r="HRW47" s="58" t="s">
        <v>247</v>
      </c>
      <c r="HRX47" s="58" t="s">
        <v>248</v>
      </c>
      <c r="HRY47" s="58" t="s">
        <v>249</v>
      </c>
      <c r="HRZ47" s="58" t="s">
        <v>250</v>
      </c>
      <c r="HSA47" s="58" t="s">
        <v>247</v>
      </c>
      <c r="HSB47" s="58" t="s">
        <v>248</v>
      </c>
      <c r="HSC47" s="58" t="s">
        <v>249</v>
      </c>
      <c r="HSD47" s="58" t="s">
        <v>250</v>
      </c>
      <c r="HSE47" s="58" t="s">
        <v>247</v>
      </c>
      <c r="HSF47" s="58" t="s">
        <v>248</v>
      </c>
      <c r="HSG47" s="58" t="s">
        <v>249</v>
      </c>
      <c r="HSH47" s="58" t="s">
        <v>250</v>
      </c>
      <c r="HSI47" s="58" t="s">
        <v>247</v>
      </c>
      <c r="HSJ47" s="58" t="s">
        <v>248</v>
      </c>
      <c r="HSK47" s="58" t="s">
        <v>249</v>
      </c>
      <c r="HSL47" s="58" t="s">
        <v>250</v>
      </c>
      <c r="HSM47" s="58" t="s">
        <v>247</v>
      </c>
      <c r="HSN47" s="58" t="s">
        <v>248</v>
      </c>
      <c r="HSO47" s="58" t="s">
        <v>249</v>
      </c>
      <c r="HSP47" s="58" t="s">
        <v>250</v>
      </c>
      <c r="HSQ47" s="58" t="s">
        <v>247</v>
      </c>
      <c r="HSR47" s="58" t="s">
        <v>248</v>
      </c>
      <c r="HSS47" s="58" t="s">
        <v>249</v>
      </c>
      <c r="HST47" s="58" t="s">
        <v>250</v>
      </c>
      <c r="HSU47" s="58" t="s">
        <v>247</v>
      </c>
      <c r="HSV47" s="58" t="s">
        <v>248</v>
      </c>
      <c r="HSW47" s="58" t="s">
        <v>249</v>
      </c>
      <c r="HSX47" s="58" t="s">
        <v>250</v>
      </c>
      <c r="HSY47" s="58" t="s">
        <v>247</v>
      </c>
      <c r="HSZ47" s="58" t="s">
        <v>248</v>
      </c>
      <c r="HTA47" s="58" t="s">
        <v>249</v>
      </c>
      <c r="HTB47" s="58" t="s">
        <v>250</v>
      </c>
      <c r="HTC47" s="58" t="s">
        <v>247</v>
      </c>
      <c r="HTD47" s="58" t="s">
        <v>248</v>
      </c>
      <c r="HTE47" s="58" t="s">
        <v>249</v>
      </c>
      <c r="HTF47" s="58" t="s">
        <v>250</v>
      </c>
      <c r="HTG47" s="58" t="s">
        <v>247</v>
      </c>
      <c r="HTH47" s="58" t="s">
        <v>248</v>
      </c>
      <c r="HTI47" s="58" t="s">
        <v>249</v>
      </c>
      <c r="HTJ47" s="58" t="s">
        <v>250</v>
      </c>
      <c r="HTK47" s="58" t="s">
        <v>247</v>
      </c>
      <c r="HTL47" s="58" t="s">
        <v>248</v>
      </c>
      <c r="HTM47" s="58" t="s">
        <v>249</v>
      </c>
      <c r="HTN47" s="58" t="s">
        <v>250</v>
      </c>
      <c r="HTO47" s="58" t="s">
        <v>247</v>
      </c>
      <c r="HTP47" s="58" t="s">
        <v>248</v>
      </c>
      <c r="HTQ47" s="58" t="s">
        <v>249</v>
      </c>
      <c r="HTR47" s="58" t="s">
        <v>250</v>
      </c>
      <c r="HTS47" s="58" t="s">
        <v>247</v>
      </c>
      <c r="HTT47" s="58" t="s">
        <v>248</v>
      </c>
      <c r="HTU47" s="58" t="s">
        <v>249</v>
      </c>
      <c r="HTV47" s="58" t="s">
        <v>250</v>
      </c>
      <c r="HTW47" s="58" t="s">
        <v>247</v>
      </c>
      <c r="HTX47" s="58" t="s">
        <v>248</v>
      </c>
      <c r="HTY47" s="58" t="s">
        <v>249</v>
      </c>
      <c r="HTZ47" s="58" t="s">
        <v>250</v>
      </c>
      <c r="HUA47" s="58" t="s">
        <v>247</v>
      </c>
      <c r="HUB47" s="58" t="s">
        <v>248</v>
      </c>
      <c r="HUC47" s="58" t="s">
        <v>249</v>
      </c>
      <c r="HUD47" s="58" t="s">
        <v>250</v>
      </c>
      <c r="HUE47" s="58" t="s">
        <v>247</v>
      </c>
      <c r="HUF47" s="58" t="s">
        <v>248</v>
      </c>
      <c r="HUG47" s="58" t="s">
        <v>249</v>
      </c>
      <c r="HUH47" s="58" t="s">
        <v>250</v>
      </c>
      <c r="HUI47" s="58" t="s">
        <v>247</v>
      </c>
      <c r="HUJ47" s="58" t="s">
        <v>248</v>
      </c>
      <c r="HUK47" s="58" t="s">
        <v>249</v>
      </c>
      <c r="HUL47" s="58" t="s">
        <v>250</v>
      </c>
      <c r="HUM47" s="58" t="s">
        <v>247</v>
      </c>
      <c r="HUN47" s="58" t="s">
        <v>248</v>
      </c>
      <c r="HUO47" s="58" t="s">
        <v>249</v>
      </c>
      <c r="HUP47" s="58" t="s">
        <v>250</v>
      </c>
      <c r="HUQ47" s="58" t="s">
        <v>247</v>
      </c>
      <c r="HUR47" s="58" t="s">
        <v>248</v>
      </c>
      <c r="HUS47" s="58" t="s">
        <v>249</v>
      </c>
      <c r="HUT47" s="58" t="s">
        <v>250</v>
      </c>
      <c r="HUU47" s="58" t="s">
        <v>247</v>
      </c>
      <c r="HUV47" s="58" t="s">
        <v>248</v>
      </c>
      <c r="HUW47" s="58" t="s">
        <v>249</v>
      </c>
      <c r="HUX47" s="58" t="s">
        <v>250</v>
      </c>
      <c r="HUY47" s="58" t="s">
        <v>247</v>
      </c>
      <c r="HUZ47" s="58" t="s">
        <v>248</v>
      </c>
      <c r="HVA47" s="58" t="s">
        <v>249</v>
      </c>
      <c r="HVB47" s="58" t="s">
        <v>250</v>
      </c>
      <c r="HVC47" s="58" t="s">
        <v>247</v>
      </c>
      <c r="HVD47" s="58" t="s">
        <v>248</v>
      </c>
      <c r="HVE47" s="58" t="s">
        <v>249</v>
      </c>
      <c r="HVF47" s="58" t="s">
        <v>250</v>
      </c>
      <c r="HVG47" s="58" t="s">
        <v>247</v>
      </c>
      <c r="HVH47" s="58" t="s">
        <v>248</v>
      </c>
      <c r="HVI47" s="58" t="s">
        <v>249</v>
      </c>
      <c r="HVJ47" s="58" t="s">
        <v>250</v>
      </c>
      <c r="HVK47" s="58" t="s">
        <v>247</v>
      </c>
      <c r="HVL47" s="58" t="s">
        <v>248</v>
      </c>
      <c r="HVM47" s="58" t="s">
        <v>249</v>
      </c>
      <c r="HVN47" s="58" t="s">
        <v>250</v>
      </c>
      <c r="HVO47" s="58" t="s">
        <v>247</v>
      </c>
      <c r="HVP47" s="58" t="s">
        <v>248</v>
      </c>
      <c r="HVQ47" s="58" t="s">
        <v>249</v>
      </c>
      <c r="HVR47" s="58" t="s">
        <v>250</v>
      </c>
      <c r="HVS47" s="58" t="s">
        <v>247</v>
      </c>
      <c r="HVT47" s="58" t="s">
        <v>248</v>
      </c>
      <c r="HVU47" s="58" t="s">
        <v>249</v>
      </c>
      <c r="HVV47" s="58" t="s">
        <v>250</v>
      </c>
      <c r="HVW47" s="58" t="s">
        <v>247</v>
      </c>
      <c r="HVX47" s="58" t="s">
        <v>248</v>
      </c>
      <c r="HVY47" s="58" t="s">
        <v>249</v>
      </c>
      <c r="HVZ47" s="58" t="s">
        <v>250</v>
      </c>
      <c r="HWA47" s="58" t="s">
        <v>247</v>
      </c>
      <c r="HWB47" s="58" t="s">
        <v>248</v>
      </c>
      <c r="HWC47" s="58" t="s">
        <v>249</v>
      </c>
      <c r="HWD47" s="58" t="s">
        <v>250</v>
      </c>
      <c r="HWE47" s="58" t="s">
        <v>247</v>
      </c>
      <c r="HWF47" s="58" t="s">
        <v>248</v>
      </c>
      <c r="HWG47" s="58" t="s">
        <v>249</v>
      </c>
      <c r="HWH47" s="58" t="s">
        <v>250</v>
      </c>
      <c r="HWI47" s="58" t="s">
        <v>247</v>
      </c>
      <c r="HWJ47" s="58" t="s">
        <v>248</v>
      </c>
      <c r="HWK47" s="58" t="s">
        <v>249</v>
      </c>
      <c r="HWL47" s="58" t="s">
        <v>250</v>
      </c>
      <c r="HWM47" s="58" t="s">
        <v>247</v>
      </c>
      <c r="HWN47" s="58" t="s">
        <v>248</v>
      </c>
      <c r="HWO47" s="58" t="s">
        <v>249</v>
      </c>
      <c r="HWP47" s="58" t="s">
        <v>250</v>
      </c>
      <c r="HWQ47" s="58" t="s">
        <v>247</v>
      </c>
      <c r="HWR47" s="58" t="s">
        <v>248</v>
      </c>
      <c r="HWS47" s="58" t="s">
        <v>249</v>
      </c>
      <c r="HWT47" s="58" t="s">
        <v>250</v>
      </c>
      <c r="HWU47" s="58" t="s">
        <v>247</v>
      </c>
      <c r="HWV47" s="58" t="s">
        <v>248</v>
      </c>
      <c r="HWW47" s="58" t="s">
        <v>249</v>
      </c>
      <c r="HWX47" s="58" t="s">
        <v>250</v>
      </c>
      <c r="HWY47" s="58" t="s">
        <v>247</v>
      </c>
      <c r="HWZ47" s="58" t="s">
        <v>248</v>
      </c>
      <c r="HXA47" s="58" t="s">
        <v>249</v>
      </c>
      <c r="HXB47" s="58" t="s">
        <v>250</v>
      </c>
      <c r="HXC47" s="58" t="s">
        <v>247</v>
      </c>
      <c r="HXD47" s="58" t="s">
        <v>248</v>
      </c>
      <c r="HXE47" s="58" t="s">
        <v>249</v>
      </c>
      <c r="HXF47" s="58" t="s">
        <v>250</v>
      </c>
      <c r="HXG47" s="58" t="s">
        <v>247</v>
      </c>
      <c r="HXH47" s="58" t="s">
        <v>248</v>
      </c>
      <c r="HXI47" s="58" t="s">
        <v>249</v>
      </c>
      <c r="HXJ47" s="58" t="s">
        <v>250</v>
      </c>
      <c r="HXK47" s="58" t="s">
        <v>247</v>
      </c>
      <c r="HXL47" s="58" t="s">
        <v>248</v>
      </c>
      <c r="HXM47" s="58" t="s">
        <v>249</v>
      </c>
      <c r="HXN47" s="58" t="s">
        <v>250</v>
      </c>
      <c r="HXO47" s="58" t="s">
        <v>247</v>
      </c>
      <c r="HXP47" s="58" t="s">
        <v>248</v>
      </c>
      <c r="HXQ47" s="58" t="s">
        <v>249</v>
      </c>
      <c r="HXR47" s="58" t="s">
        <v>250</v>
      </c>
      <c r="HXS47" s="58" t="s">
        <v>247</v>
      </c>
      <c r="HXT47" s="58" t="s">
        <v>248</v>
      </c>
      <c r="HXU47" s="58" t="s">
        <v>249</v>
      </c>
      <c r="HXV47" s="58" t="s">
        <v>250</v>
      </c>
      <c r="HXW47" s="58" t="s">
        <v>247</v>
      </c>
      <c r="HXX47" s="58" t="s">
        <v>248</v>
      </c>
      <c r="HXY47" s="58" t="s">
        <v>249</v>
      </c>
      <c r="HXZ47" s="58" t="s">
        <v>250</v>
      </c>
      <c r="HYA47" s="58" t="s">
        <v>247</v>
      </c>
      <c r="HYB47" s="58" t="s">
        <v>248</v>
      </c>
      <c r="HYC47" s="58" t="s">
        <v>249</v>
      </c>
      <c r="HYD47" s="58" t="s">
        <v>250</v>
      </c>
      <c r="HYE47" s="58" t="s">
        <v>247</v>
      </c>
      <c r="HYF47" s="58" t="s">
        <v>248</v>
      </c>
      <c r="HYG47" s="58" t="s">
        <v>249</v>
      </c>
      <c r="HYH47" s="58" t="s">
        <v>250</v>
      </c>
      <c r="HYI47" s="58" t="s">
        <v>247</v>
      </c>
      <c r="HYJ47" s="58" t="s">
        <v>248</v>
      </c>
      <c r="HYK47" s="58" t="s">
        <v>249</v>
      </c>
      <c r="HYL47" s="58" t="s">
        <v>250</v>
      </c>
      <c r="HYM47" s="58" t="s">
        <v>247</v>
      </c>
      <c r="HYN47" s="58" t="s">
        <v>248</v>
      </c>
      <c r="HYO47" s="58" t="s">
        <v>249</v>
      </c>
      <c r="HYP47" s="58" t="s">
        <v>250</v>
      </c>
      <c r="HYQ47" s="58" t="s">
        <v>247</v>
      </c>
      <c r="HYR47" s="58" t="s">
        <v>248</v>
      </c>
      <c r="HYS47" s="58" t="s">
        <v>249</v>
      </c>
      <c r="HYT47" s="58" t="s">
        <v>250</v>
      </c>
      <c r="HYU47" s="58" t="s">
        <v>247</v>
      </c>
      <c r="HYV47" s="58" t="s">
        <v>248</v>
      </c>
      <c r="HYW47" s="58" t="s">
        <v>249</v>
      </c>
      <c r="HYX47" s="58" t="s">
        <v>250</v>
      </c>
      <c r="HYY47" s="58" t="s">
        <v>247</v>
      </c>
      <c r="HYZ47" s="58" t="s">
        <v>248</v>
      </c>
      <c r="HZA47" s="58" t="s">
        <v>249</v>
      </c>
      <c r="HZB47" s="58" t="s">
        <v>250</v>
      </c>
      <c r="HZC47" s="58" t="s">
        <v>247</v>
      </c>
      <c r="HZD47" s="58" t="s">
        <v>248</v>
      </c>
      <c r="HZE47" s="58" t="s">
        <v>249</v>
      </c>
      <c r="HZF47" s="58" t="s">
        <v>250</v>
      </c>
      <c r="HZG47" s="58" t="s">
        <v>247</v>
      </c>
      <c r="HZH47" s="58" t="s">
        <v>248</v>
      </c>
      <c r="HZI47" s="58" t="s">
        <v>249</v>
      </c>
      <c r="HZJ47" s="58" t="s">
        <v>250</v>
      </c>
      <c r="HZK47" s="58" t="s">
        <v>247</v>
      </c>
      <c r="HZL47" s="58" t="s">
        <v>248</v>
      </c>
      <c r="HZM47" s="58" t="s">
        <v>249</v>
      </c>
      <c r="HZN47" s="58" t="s">
        <v>250</v>
      </c>
      <c r="HZO47" s="58" t="s">
        <v>247</v>
      </c>
      <c r="HZP47" s="58" t="s">
        <v>248</v>
      </c>
      <c r="HZQ47" s="58" t="s">
        <v>249</v>
      </c>
      <c r="HZR47" s="58" t="s">
        <v>250</v>
      </c>
      <c r="HZS47" s="58" t="s">
        <v>247</v>
      </c>
      <c r="HZT47" s="58" t="s">
        <v>248</v>
      </c>
      <c r="HZU47" s="58" t="s">
        <v>249</v>
      </c>
      <c r="HZV47" s="58" t="s">
        <v>250</v>
      </c>
      <c r="HZW47" s="58" t="s">
        <v>247</v>
      </c>
      <c r="HZX47" s="58" t="s">
        <v>248</v>
      </c>
      <c r="HZY47" s="58" t="s">
        <v>249</v>
      </c>
      <c r="HZZ47" s="58" t="s">
        <v>250</v>
      </c>
      <c r="IAA47" s="58" t="s">
        <v>247</v>
      </c>
      <c r="IAB47" s="58" t="s">
        <v>248</v>
      </c>
      <c r="IAC47" s="58" t="s">
        <v>249</v>
      </c>
      <c r="IAD47" s="58" t="s">
        <v>250</v>
      </c>
      <c r="IAE47" s="58" t="s">
        <v>247</v>
      </c>
      <c r="IAF47" s="58" t="s">
        <v>248</v>
      </c>
      <c r="IAG47" s="58" t="s">
        <v>249</v>
      </c>
      <c r="IAH47" s="58" t="s">
        <v>250</v>
      </c>
      <c r="IAI47" s="58" t="s">
        <v>247</v>
      </c>
      <c r="IAJ47" s="58" t="s">
        <v>248</v>
      </c>
      <c r="IAK47" s="58" t="s">
        <v>249</v>
      </c>
      <c r="IAL47" s="58" t="s">
        <v>250</v>
      </c>
      <c r="IAM47" s="58" t="s">
        <v>247</v>
      </c>
      <c r="IAN47" s="58" t="s">
        <v>248</v>
      </c>
      <c r="IAO47" s="58" t="s">
        <v>249</v>
      </c>
      <c r="IAP47" s="58" t="s">
        <v>250</v>
      </c>
      <c r="IAQ47" s="58" t="s">
        <v>247</v>
      </c>
      <c r="IAR47" s="58" t="s">
        <v>248</v>
      </c>
      <c r="IAS47" s="58" t="s">
        <v>249</v>
      </c>
      <c r="IAT47" s="58" t="s">
        <v>250</v>
      </c>
      <c r="IAU47" s="58" t="s">
        <v>247</v>
      </c>
      <c r="IAV47" s="58" t="s">
        <v>248</v>
      </c>
      <c r="IAW47" s="58" t="s">
        <v>249</v>
      </c>
      <c r="IAX47" s="58" t="s">
        <v>250</v>
      </c>
      <c r="IAY47" s="58" t="s">
        <v>247</v>
      </c>
      <c r="IAZ47" s="58" t="s">
        <v>248</v>
      </c>
      <c r="IBA47" s="58" t="s">
        <v>249</v>
      </c>
      <c r="IBB47" s="58" t="s">
        <v>250</v>
      </c>
      <c r="IBC47" s="58" t="s">
        <v>247</v>
      </c>
      <c r="IBD47" s="58" t="s">
        <v>248</v>
      </c>
      <c r="IBE47" s="58" t="s">
        <v>249</v>
      </c>
      <c r="IBF47" s="58" t="s">
        <v>250</v>
      </c>
      <c r="IBG47" s="58" t="s">
        <v>247</v>
      </c>
      <c r="IBH47" s="58" t="s">
        <v>248</v>
      </c>
      <c r="IBI47" s="58" t="s">
        <v>249</v>
      </c>
      <c r="IBJ47" s="58" t="s">
        <v>250</v>
      </c>
      <c r="IBK47" s="58" t="s">
        <v>247</v>
      </c>
      <c r="IBL47" s="58" t="s">
        <v>248</v>
      </c>
      <c r="IBM47" s="58" t="s">
        <v>249</v>
      </c>
      <c r="IBN47" s="58" t="s">
        <v>250</v>
      </c>
      <c r="IBO47" s="58" t="s">
        <v>247</v>
      </c>
      <c r="IBP47" s="58" t="s">
        <v>248</v>
      </c>
      <c r="IBQ47" s="58" t="s">
        <v>249</v>
      </c>
      <c r="IBR47" s="58" t="s">
        <v>250</v>
      </c>
      <c r="IBS47" s="58" t="s">
        <v>247</v>
      </c>
      <c r="IBT47" s="58" t="s">
        <v>248</v>
      </c>
      <c r="IBU47" s="58" t="s">
        <v>249</v>
      </c>
      <c r="IBV47" s="58" t="s">
        <v>250</v>
      </c>
      <c r="IBW47" s="58" t="s">
        <v>247</v>
      </c>
      <c r="IBX47" s="58" t="s">
        <v>248</v>
      </c>
      <c r="IBY47" s="58" t="s">
        <v>249</v>
      </c>
      <c r="IBZ47" s="58" t="s">
        <v>250</v>
      </c>
      <c r="ICA47" s="58" t="s">
        <v>247</v>
      </c>
      <c r="ICB47" s="58" t="s">
        <v>248</v>
      </c>
      <c r="ICC47" s="58" t="s">
        <v>249</v>
      </c>
      <c r="ICD47" s="58" t="s">
        <v>250</v>
      </c>
      <c r="ICE47" s="58" t="s">
        <v>247</v>
      </c>
      <c r="ICF47" s="58" t="s">
        <v>248</v>
      </c>
      <c r="ICG47" s="58" t="s">
        <v>249</v>
      </c>
      <c r="ICH47" s="58" t="s">
        <v>250</v>
      </c>
      <c r="ICI47" s="58" t="s">
        <v>247</v>
      </c>
      <c r="ICJ47" s="58" t="s">
        <v>248</v>
      </c>
      <c r="ICK47" s="58" t="s">
        <v>249</v>
      </c>
      <c r="ICL47" s="58" t="s">
        <v>250</v>
      </c>
      <c r="ICM47" s="58" t="s">
        <v>247</v>
      </c>
      <c r="ICN47" s="58" t="s">
        <v>248</v>
      </c>
      <c r="ICO47" s="58" t="s">
        <v>249</v>
      </c>
      <c r="ICP47" s="58" t="s">
        <v>250</v>
      </c>
      <c r="ICQ47" s="58" t="s">
        <v>247</v>
      </c>
      <c r="ICR47" s="58" t="s">
        <v>248</v>
      </c>
      <c r="ICS47" s="58" t="s">
        <v>249</v>
      </c>
      <c r="ICT47" s="58" t="s">
        <v>250</v>
      </c>
      <c r="ICU47" s="58" t="s">
        <v>247</v>
      </c>
      <c r="ICV47" s="58" t="s">
        <v>248</v>
      </c>
      <c r="ICW47" s="58" t="s">
        <v>249</v>
      </c>
      <c r="ICX47" s="58" t="s">
        <v>250</v>
      </c>
      <c r="ICY47" s="58" t="s">
        <v>247</v>
      </c>
      <c r="ICZ47" s="58" t="s">
        <v>248</v>
      </c>
      <c r="IDA47" s="58" t="s">
        <v>249</v>
      </c>
      <c r="IDB47" s="58" t="s">
        <v>250</v>
      </c>
      <c r="IDC47" s="58" t="s">
        <v>247</v>
      </c>
      <c r="IDD47" s="58" t="s">
        <v>248</v>
      </c>
      <c r="IDE47" s="58" t="s">
        <v>249</v>
      </c>
      <c r="IDF47" s="58" t="s">
        <v>250</v>
      </c>
      <c r="IDG47" s="58" t="s">
        <v>247</v>
      </c>
      <c r="IDH47" s="58" t="s">
        <v>248</v>
      </c>
      <c r="IDI47" s="58" t="s">
        <v>249</v>
      </c>
      <c r="IDJ47" s="58" t="s">
        <v>250</v>
      </c>
      <c r="IDK47" s="58" t="s">
        <v>247</v>
      </c>
      <c r="IDL47" s="58" t="s">
        <v>248</v>
      </c>
      <c r="IDM47" s="58" t="s">
        <v>249</v>
      </c>
      <c r="IDN47" s="58" t="s">
        <v>250</v>
      </c>
      <c r="IDO47" s="58" t="s">
        <v>247</v>
      </c>
      <c r="IDP47" s="58" t="s">
        <v>248</v>
      </c>
      <c r="IDQ47" s="58" t="s">
        <v>249</v>
      </c>
      <c r="IDR47" s="58" t="s">
        <v>250</v>
      </c>
      <c r="IDS47" s="58" t="s">
        <v>247</v>
      </c>
      <c r="IDT47" s="58" t="s">
        <v>248</v>
      </c>
      <c r="IDU47" s="58" t="s">
        <v>249</v>
      </c>
      <c r="IDV47" s="58" t="s">
        <v>250</v>
      </c>
      <c r="IDW47" s="58" t="s">
        <v>247</v>
      </c>
      <c r="IDX47" s="58" t="s">
        <v>248</v>
      </c>
      <c r="IDY47" s="58" t="s">
        <v>249</v>
      </c>
      <c r="IDZ47" s="58" t="s">
        <v>250</v>
      </c>
      <c r="IEA47" s="58" t="s">
        <v>247</v>
      </c>
      <c r="IEB47" s="58" t="s">
        <v>248</v>
      </c>
      <c r="IEC47" s="58" t="s">
        <v>249</v>
      </c>
      <c r="IED47" s="58" t="s">
        <v>250</v>
      </c>
      <c r="IEE47" s="58" t="s">
        <v>247</v>
      </c>
      <c r="IEF47" s="58" t="s">
        <v>248</v>
      </c>
      <c r="IEG47" s="58" t="s">
        <v>249</v>
      </c>
      <c r="IEH47" s="58" t="s">
        <v>250</v>
      </c>
      <c r="IEI47" s="58" t="s">
        <v>247</v>
      </c>
      <c r="IEJ47" s="58" t="s">
        <v>248</v>
      </c>
      <c r="IEK47" s="58" t="s">
        <v>249</v>
      </c>
      <c r="IEL47" s="58" t="s">
        <v>250</v>
      </c>
      <c r="IEM47" s="58" t="s">
        <v>247</v>
      </c>
      <c r="IEN47" s="58" t="s">
        <v>248</v>
      </c>
      <c r="IEO47" s="58" t="s">
        <v>249</v>
      </c>
      <c r="IEP47" s="58" t="s">
        <v>250</v>
      </c>
      <c r="IEQ47" s="58" t="s">
        <v>247</v>
      </c>
      <c r="IER47" s="58" t="s">
        <v>248</v>
      </c>
      <c r="IES47" s="58" t="s">
        <v>249</v>
      </c>
      <c r="IET47" s="58" t="s">
        <v>250</v>
      </c>
      <c r="IEU47" s="58" t="s">
        <v>247</v>
      </c>
      <c r="IEV47" s="58" t="s">
        <v>248</v>
      </c>
      <c r="IEW47" s="58" t="s">
        <v>249</v>
      </c>
      <c r="IEX47" s="58" t="s">
        <v>250</v>
      </c>
      <c r="IEY47" s="58" t="s">
        <v>247</v>
      </c>
      <c r="IEZ47" s="58" t="s">
        <v>248</v>
      </c>
      <c r="IFA47" s="58" t="s">
        <v>249</v>
      </c>
      <c r="IFB47" s="58" t="s">
        <v>250</v>
      </c>
      <c r="IFC47" s="58" t="s">
        <v>247</v>
      </c>
      <c r="IFD47" s="58" t="s">
        <v>248</v>
      </c>
      <c r="IFE47" s="58" t="s">
        <v>249</v>
      </c>
      <c r="IFF47" s="58" t="s">
        <v>250</v>
      </c>
      <c r="IFG47" s="58" t="s">
        <v>247</v>
      </c>
      <c r="IFH47" s="58" t="s">
        <v>248</v>
      </c>
      <c r="IFI47" s="58" t="s">
        <v>249</v>
      </c>
      <c r="IFJ47" s="58" t="s">
        <v>250</v>
      </c>
      <c r="IFK47" s="58" t="s">
        <v>247</v>
      </c>
      <c r="IFL47" s="58" t="s">
        <v>248</v>
      </c>
      <c r="IFM47" s="58" t="s">
        <v>249</v>
      </c>
      <c r="IFN47" s="58" t="s">
        <v>250</v>
      </c>
      <c r="IFO47" s="58" t="s">
        <v>247</v>
      </c>
      <c r="IFP47" s="58" t="s">
        <v>248</v>
      </c>
      <c r="IFQ47" s="58" t="s">
        <v>249</v>
      </c>
      <c r="IFR47" s="58" t="s">
        <v>250</v>
      </c>
      <c r="IFS47" s="58" t="s">
        <v>247</v>
      </c>
      <c r="IFT47" s="58" t="s">
        <v>248</v>
      </c>
      <c r="IFU47" s="58" t="s">
        <v>249</v>
      </c>
      <c r="IFV47" s="58" t="s">
        <v>250</v>
      </c>
      <c r="IFW47" s="58" t="s">
        <v>247</v>
      </c>
      <c r="IFX47" s="58" t="s">
        <v>248</v>
      </c>
      <c r="IFY47" s="58" t="s">
        <v>249</v>
      </c>
      <c r="IFZ47" s="58" t="s">
        <v>250</v>
      </c>
      <c r="IGA47" s="58" t="s">
        <v>247</v>
      </c>
      <c r="IGB47" s="58" t="s">
        <v>248</v>
      </c>
      <c r="IGC47" s="58" t="s">
        <v>249</v>
      </c>
      <c r="IGD47" s="58" t="s">
        <v>250</v>
      </c>
      <c r="IGE47" s="58" t="s">
        <v>247</v>
      </c>
      <c r="IGF47" s="58" t="s">
        <v>248</v>
      </c>
      <c r="IGG47" s="58" t="s">
        <v>249</v>
      </c>
      <c r="IGH47" s="58" t="s">
        <v>250</v>
      </c>
      <c r="IGI47" s="58" t="s">
        <v>247</v>
      </c>
      <c r="IGJ47" s="58" t="s">
        <v>248</v>
      </c>
      <c r="IGK47" s="58" t="s">
        <v>249</v>
      </c>
      <c r="IGL47" s="58" t="s">
        <v>250</v>
      </c>
      <c r="IGM47" s="58" t="s">
        <v>247</v>
      </c>
      <c r="IGN47" s="58" t="s">
        <v>248</v>
      </c>
      <c r="IGO47" s="58" t="s">
        <v>249</v>
      </c>
      <c r="IGP47" s="58" t="s">
        <v>250</v>
      </c>
      <c r="IGQ47" s="58" t="s">
        <v>247</v>
      </c>
      <c r="IGR47" s="58" t="s">
        <v>248</v>
      </c>
      <c r="IGS47" s="58" t="s">
        <v>249</v>
      </c>
      <c r="IGT47" s="58" t="s">
        <v>250</v>
      </c>
      <c r="IGU47" s="58" t="s">
        <v>247</v>
      </c>
      <c r="IGV47" s="58" t="s">
        <v>248</v>
      </c>
      <c r="IGW47" s="58" t="s">
        <v>249</v>
      </c>
      <c r="IGX47" s="58" t="s">
        <v>250</v>
      </c>
      <c r="IGY47" s="58" t="s">
        <v>247</v>
      </c>
      <c r="IGZ47" s="58" t="s">
        <v>248</v>
      </c>
      <c r="IHA47" s="58" t="s">
        <v>249</v>
      </c>
      <c r="IHB47" s="58" t="s">
        <v>250</v>
      </c>
      <c r="IHC47" s="58" t="s">
        <v>247</v>
      </c>
      <c r="IHD47" s="58" t="s">
        <v>248</v>
      </c>
      <c r="IHE47" s="58" t="s">
        <v>249</v>
      </c>
      <c r="IHF47" s="58" t="s">
        <v>250</v>
      </c>
      <c r="IHG47" s="58" t="s">
        <v>247</v>
      </c>
      <c r="IHH47" s="58" t="s">
        <v>248</v>
      </c>
      <c r="IHI47" s="58" t="s">
        <v>249</v>
      </c>
      <c r="IHJ47" s="58" t="s">
        <v>250</v>
      </c>
      <c r="IHK47" s="58" t="s">
        <v>247</v>
      </c>
      <c r="IHL47" s="58" t="s">
        <v>248</v>
      </c>
      <c r="IHM47" s="58" t="s">
        <v>249</v>
      </c>
      <c r="IHN47" s="58" t="s">
        <v>250</v>
      </c>
      <c r="IHO47" s="58" t="s">
        <v>247</v>
      </c>
      <c r="IHP47" s="58" t="s">
        <v>248</v>
      </c>
      <c r="IHQ47" s="58" t="s">
        <v>249</v>
      </c>
      <c r="IHR47" s="58" t="s">
        <v>250</v>
      </c>
      <c r="IHS47" s="58" t="s">
        <v>247</v>
      </c>
      <c r="IHT47" s="58" t="s">
        <v>248</v>
      </c>
      <c r="IHU47" s="58" t="s">
        <v>249</v>
      </c>
      <c r="IHV47" s="58" t="s">
        <v>250</v>
      </c>
      <c r="IHW47" s="58" t="s">
        <v>247</v>
      </c>
      <c r="IHX47" s="58" t="s">
        <v>248</v>
      </c>
      <c r="IHY47" s="58" t="s">
        <v>249</v>
      </c>
      <c r="IHZ47" s="58" t="s">
        <v>250</v>
      </c>
      <c r="IIA47" s="58" t="s">
        <v>247</v>
      </c>
      <c r="IIB47" s="58" t="s">
        <v>248</v>
      </c>
      <c r="IIC47" s="58" t="s">
        <v>249</v>
      </c>
      <c r="IID47" s="58" t="s">
        <v>250</v>
      </c>
      <c r="IIE47" s="58" t="s">
        <v>247</v>
      </c>
      <c r="IIF47" s="58" t="s">
        <v>248</v>
      </c>
      <c r="IIG47" s="58" t="s">
        <v>249</v>
      </c>
      <c r="IIH47" s="58" t="s">
        <v>250</v>
      </c>
      <c r="III47" s="58" t="s">
        <v>247</v>
      </c>
      <c r="IIJ47" s="58" t="s">
        <v>248</v>
      </c>
      <c r="IIK47" s="58" t="s">
        <v>249</v>
      </c>
      <c r="IIL47" s="58" t="s">
        <v>250</v>
      </c>
      <c r="IIM47" s="58" t="s">
        <v>247</v>
      </c>
      <c r="IIN47" s="58" t="s">
        <v>248</v>
      </c>
      <c r="IIO47" s="58" t="s">
        <v>249</v>
      </c>
      <c r="IIP47" s="58" t="s">
        <v>250</v>
      </c>
      <c r="IIQ47" s="58" t="s">
        <v>247</v>
      </c>
      <c r="IIR47" s="58" t="s">
        <v>248</v>
      </c>
      <c r="IIS47" s="58" t="s">
        <v>249</v>
      </c>
      <c r="IIT47" s="58" t="s">
        <v>250</v>
      </c>
      <c r="IIU47" s="58" t="s">
        <v>247</v>
      </c>
      <c r="IIV47" s="58" t="s">
        <v>248</v>
      </c>
      <c r="IIW47" s="58" t="s">
        <v>249</v>
      </c>
      <c r="IIX47" s="58" t="s">
        <v>250</v>
      </c>
      <c r="IIY47" s="58" t="s">
        <v>247</v>
      </c>
      <c r="IIZ47" s="58" t="s">
        <v>248</v>
      </c>
      <c r="IJA47" s="58" t="s">
        <v>249</v>
      </c>
      <c r="IJB47" s="58" t="s">
        <v>250</v>
      </c>
      <c r="IJC47" s="58" t="s">
        <v>247</v>
      </c>
      <c r="IJD47" s="58" t="s">
        <v>248</v>
      </c>
      <c r="IJE47" s="58" t="s">
        <v>249</v>
      </c>
      <c r="IJF47" s="58" t="s">
        <v>250</v>
      </c>
      <c r="IJG47" s="58" t="s">
        <v>247</v>
      </c>
      <c r="IJH47" s="58" t="s">
        <v>248</v>
      </c>
      <c r="IJI47" s="58" t="s">
        <v>249</v>
      </c>
      <c r="IJJ47" s="58" t="s">
        <v>250</v>
      </c>
      <c r="IJK47" s="58" t="s">
        <v>247</v>
      </c>
      <c r="IJL47" s="58" t="s">
        <v>248</v>
      </c>
      <c r="IJM47" s="58" t="s">
        <v>249</v>
      </c>
      <c r="IJN47" s="58" t="s">
        <v>250</v>
      </c>
      <c r="IJO47" s="58" t="s">
        <v>247</v>
      </c>
      <c r="IJP47" s="58" t="s">
        <v>248</v>
      </c>
      <c r="IJQ47" s="58" t="s">
        <v>249</v>
      </c>
      <c r="IJR47" s="58" t="s">
        <v>250</v>
      </c>
      <c r="IJS47" s="58" t="s">
        <v>247</v>
      </c>
      <c r="IJT47" s="58" t="s">
        <v>248</v>
      </c>
      <c r="IJU47" s="58" t="s">
        <v>249</v>
      </c>
      <c r="IJV47" s="58" t="s">
        <v>250</v>
      </c>
      <c r="IJW47" s="58" t="s">
        <v>247</v>
      </c>
      <c r="IJX47" s="58" t="s">
        <v>248</v>
      </c>
      <c r="IJY47" s="58" t="s">
        <v>249</v>
      </c>
      <c r="IJZ47" s="58" t="s">
        <v>250</v>
      </c>
      <c r="IKA47" s="58" t="s">
        <v>247</v>
      </c>
      <c r="IKB47" s="58" t="s">
        <v>248</v>
      </c>
      <c r="IKC47" s="58" t="s">
        <v>249</v>
      </c>
      <c r="IKD47" s="58" t="s">
        <v>250</v>
      </c>
      <c r="IKE47" s="58" t="s">
        <v>247</v>
      </c>
      <c r="IKF47" s="58" t="s">
        <v>248</v>
      </c>
      <c r="IKG47" s="58" t="s">
        <v>249</v>
      </c>
      <c r="IKH47" s="58" t="s">
        <v>250</v>
      </c>
      <c r="IKI47" s="58" t="s">
        <v>247</v>
      </c>
      <c r="IKJ47" s="58" t="s">
        <v>248</v>
      </c>
      <c r="IKK47" s="58" t="s">
        <v>249</v>
      </c>
      <c r="IKL47" s="58" t="s">
        <v>250</v>
      </c>
      <c r="IKM47" s="58" t="s">
        <v>247</v>
      </c>
      <c r="IKN47" s="58" t="s">
        <v>248</v>
      </c>
      <c r="IKO47" s="58" t="s">
        <v>249</v>
      </c>
      <c r="IKP47" s="58" t="s">
        <v>250</v>
      </c>
      <c r="IKQ47" s="58" t="s">
        <v>247</v>
      </c>
      <c r="IKR47" s="58" t="s">
        <v>248</v>
      </c>
      <c r="IKS47" s="58" t="s">
        <v>249</v>
      </c>
      <c r="IKT47" s="58" t="s">
        <v>250</v>
      </c>
      <c r="IKU47" s="58" t="s">
        <v>247</v>
      </c>
      <c r="IKV47" s="58" t="s">
        <v>248</v>
      </c>
      <c r="IKW47" s="58" t="s">
        <v>249</v>
      </c>
      <c r="IKX47" s="58" t="s">
        <v>250</v>
      </c>
      <c r="IKY47" s="58" t="s">
        <v>247</v>
      </c>
      <c r="IKZ47" s="58" t="s">
        <v>248</v>
      </c>
      <c r="ILA47" s="58" t="s">
        <v>249</v>
      </c>
      <c r="ILB47" s="58" t="s">
        <v>250</v>
      </c>
      <c r="ILC47" s="58" t="s">
        <v>247</v>
      </c>
      <c r="ILD47" s="58" t="s">
        <v>248</v>
      </c>
      <c r="ILE47" s="58" t="s">
        <v>249</v>
      </c>
      <c r="ILF47" s="58" t="s">
        <v>250</v>
      </c>
      <c r="ILG47" s="58" t="s">
        <v>247</v>
      </c>
      <c r="ILH47" s="58" t="s">
        <v>248</v>
      </c>
      <c r="ILI47" s="58" t="s">
        <v>249</v>
      </c>
      <c r="ILJ47" s="58" t="s">
        <v>250</v>
      </c>
      <c r="ILK47" s="58" t="s">
        <v>247</v>
      </c>
      <c r="ILL47" s="58" t="s">
        <v>248</v>
      </c>
      <c r="ILM47" s="58" t="s">
        <v>249</v>
      </c>
      <c r="ILN47" s="58" t="s">
        <v>250</v>
      </c>
      <c r="ILO47" s="58" t="s">
        <v>247</v>
      </c>
      <c r="ILP47" s="58" t="s">
        <v>248</v>
      </c>
      <c r="ILQ47" s="58" t="s">
        <v>249</v>
      </c>
      <c r="ILR47" s="58" t="s">
        <v>250</v>
      </c>
      <c r="ILS47" s="58" t="s">
        <v>247</v>
      </c>
      <c r="ILT47" s="58" t="s">
        <v>248</v>
      </c>
      <c r="ILU47" s="58" t="s">
        <v>249</v>
      </c>
      <c r="ILV47" s="58" t="s">
        <v>250</v>
      </c>
      <c r="ILW47" s="58" t="s">
        <v>247</v>
      </c>
      <c r="ILX47" s="58" t="s">
        <v>248</v>
      </c>
      <c r="ILY47" s="58" t="s">
        <v>249</v>
      </c>
      <c r="ILZ47" s="58" t="s">
        <v>250</v>
      </c>
      <c r="IMA47" s="58" t="s">
        <v>247</v>
      </c>
      <c r="IMB47" s="58" t="s">
        <v>248</v>
      </c>
      <c r="IMC47" s="58" t="s">
        <v>249</v>
      </c>
      <c r="IMD47" s="58" t="s">
        <v>250</v>
      </c>
      <c r="IME47" s="58" t="s">
        <v>247</v>
      </c>
      <c r="IMF47" s="58" t="s">
        <v>248</v>
      </c>
      <c r="IMG47" s="58" t="s">
        <v>249</v>
      </c>
      <c r="IMH47" s="58" t="s">
        <v>250</v>
      </c>
      <c r="IMI47" s="58" t="s">
        <v>247</v>
      </c>
      <c r="IMJ47" s="58" t="s">
        <v>248</v>
      </c>
      <c r="IMK47" s="58" t="s">
        <v>249</v>
      </c>
      <c r="IML47" s="58" t="s">
        <v>250</v>
      </c>
      <c r="IMM47" s="58" t="s">
        <v>247</v>
      </c>
      <c r="IMN47" s="58" t="s">
        <v>248</v>
      </c>
      <c r="IMO47" s="58" t="s">
        <v>249</v>
      </c>
      <c r="IMP47" s="58" t="s">
        <v>250</v>
      </c>
      <c r="IMQ47" s="58" t="s">
        <v>247</v>
      </c>
      <c r="IMR47" s="58" t="s">
        <v>248</v>
      </c>
      <c r="IMS47" s="58" t="s">
        <v>249</v>
      </c>
      <c r="IMT47" s="58" t="s">
        <v>250</v>
      </c>
      <c r="IMU47" s="58" t="s">
        <v>247</v>
      </c>
      <c r="IMV47" s="58" t="s">
        <v>248</v>
      </c>
      <c r="IMW47" s="58" t="s">
        <v>249</v>
      </c>
      <c r="IMX47" s="58" t="s">
        <v>250</v>
      </c>
      <c r="IMY47" s="58" t="s">
        <v>247</v>
      </c>
      <c r="IMZ47" s="58" t="s">
        <v>248</v>
      </c>
      <c r="INA47" s="58" t="s">
        <v>249</v>
      </c>
      <c r="INB47" s="58" t="s">
        <v>250</v>
      </c>
      <c r="INC47" s="58" t="s">
        <v>247</v>
      </c>
      <c r="IND47" s="58" t="s">
        <v>248</v>
      </c>
      <c r="INE47" s="58" t="s">
        <v>249</v>
      </c>
      <c r="INF47" s="58" t="s">
        <v>250</v>
      </c>
      <c r="ING47" s="58" t="s">
        <v>247</v>
      </c>
      <c r="INH47" s="58" t="s">
        <v>248</v>
      </c>
      <c r="INI47" s="58" t="s">
        <v>249</v>
      </c>
      <c r="INJ47" s="58" t="s">
        <v>250</v>
      </c>
      <c r="INK47" s="58" t="s">
        <v>247</v>
      </c>
      <c r="INL47" s="58" t="s">
        <v>248</v>
      </c>
      <c r="INM47" s="58" t="s">
        <v>249</v>
      </c>
      <c r="INN47" s="58" t="s">
        <v>250</v>
      </c>
      <c r="INO47" s="58" t="s">
        <v>247</v>
      </c>
      <c r="INP47" s="58" t="s">
        <v>248</v>
      </c>
      <c r="INQ47" s="58" t="s">
        <v>249</v>
      </c>
      <c r="INR47" s="58" t="s">
        <v>250</v>
      </c>
      <c r="INS47" s="58" t="s">
        <v>247</v>
      </c>
      <c r="INT47" s="58" t="s">
        <v>248</v>
      </c>
      <c r="INU47" s="58" t="s">
        <v>249</v>
      </c>
      <c r="INV47" s="58" t="s">
        <v>250</v>
      </c>
      <c r="INW47" s="58" t="s">
        <v>247</v>
      </c>
      <c r="INX47" s="58" t="s">
        <v>248</v>
      </c>
      <c r="INY47" s="58" t="s">
        <v>249</v>
      </c>
      <c r="INZ47" s="58" t="s">
        <v>250</v>
      </c>
      <c r="IOA47" s="58" t="s">
        <v>247</v>
      </c>
      <c r="IOB47" s="58" t="s">
        <v>248</v>
      </c>
      <c r="IOC47" s="58" t="s">
        <v>249</v>
      </c>
      <c r="IOD47" s="58" t="s">
        <v>250</v>
      </c>
      <c r="IOE47" s="58" t="s">
        <v>247</v>
      </c>
      <c r="IOF47" s="58" t="s">
        <v>248</v>
      </c>
      <c r="IOG47" s="58" t="s">
        <v>249</v>
      </c>
      <c r="IOH47" s="58" t="s">
        <v>250</v>
      </c>
      <c r="IOI47" s="58" t="s">
        <v>247</v>
      </c>
      <c r="IOJ47" s="58" t="s">
        <v>248</v>
      </c>
      <c r="IOK47" s="58" t="s">
        <v>249</v>
      </c>
      <c r="IOL47" s="58" t="s">
        <v>250</v>
      </c>
      <c r="IOM47" s="58" t="s">
        <v>247</v>
      </c>
      <c r="ION47" s="58" t="s">
        <v>248</v>
      </c>
      <c r="IOO47" s="58" t="s">
        <v>249</v>
      </c>
      <c r="IOP47" s="58" t="s">
        <v>250</v>
      </c>
      <c r="IOQ47" s="58" t="s">
        <v>247</v>
      </c>
      <c r="IOR47" s="58" t="s">
        <v>248</v>
      </c>
      <c r="IOS47" s="58" t="s">
        <v>249</v>
      </c>
      <c r="IOT47" s="58" t="s">
        <v>250</v>
      </c>
      <c r="IOU47" s="58" t="s">
        <v>247</v>
      </c>
      <c r="IOV47" s="58" t="s">
        <v>248</v>
      </c>
      <c r="IOW47" s="58" t="s">
        <v>249</v>
      </c>
      <c r="IOX47" s="58" t="s">
        <v>250</v>
      </c>
      <c r="IOY47" s="58" t="s">
        <v>247</v>
      </c>
      <c r="IOZ47" s="58" t="s">
        <v>248</v>
      </c>
      <c r="IPA47" s="58" t="s">
        <v>249</v>
      </c>
      <c r="IPB47" s="58" t="s">
        <v>250</v>
      </c>
      <c r="IPC47" s="58" t="s">
        <v>247</v>
      </c>
      <c r="IPD47" s="58" t="s">
        <v>248</v>
      </c>
      <c r="IPE47" s="58" t="s">
        <v>249</v>
      </c>
      <c r="IPF47" s="58" t="s">
        <v>250</v>
      </c>
      <c r="IPG47" s="58" t="s">
        <v>247</v>
      </c>
      <c r="IPH47" s="58" t="s">
        <v>248</v>
      </c>
      <c r="IPI47" s="58" t="s">
        <v>249</v>
      </c>
      <c r="IPJ47" s="58" t="s">
        <v>250</v>
      </c>
      <c r="IPK47" s="58" t="s">
        <v>247</v>
      </c>
      <c r="IPL47" s="58" t="s">
        <v>248</v>
      </c>
      <c r="IPM47" s="58" t="s">
        <v>249</v>
      </c>
      <c r="IPN47" s="58" t="s">
        <v>250</v>
      </c>
      <c r="IPO47" s="58" t="s">
        <v>247</v>
      </c>
      <c r="IPP47" s="58" t="s">
        <v>248</v>
      </c>
      <c r="IPQ47" s="58" t="s">
        <v>249</v>
      </c>
      <c r="IPR47" s="58" t="s">
        <v>250</v>
      </c>
      <c r="IPS47" s="58" t="s">
        <v>247</v>
      </c>
      <c r="IPT47" s="58" t="s">
        <v>248</v>
      </c>
      <c r="IPU47" s="58" t="s">
        <v>249</v>
      </c>
      <c r="IPV47" s="58" t="s">
        <v>250</v>
      </c>
      <c r="IPW47" s="58" t="s">
        <v>247</v>
      </c>
      <c r="IPX47" s="58" t="s">
        <v>248</v>
      </c>
      <c r="IPY47" s="58" t="s">
        <v>249</v>
      </c>
      <c r="IPZ47" s="58" t="s">
        <v>250</v>
      </c>
      <c r="IQA47" s="58" t="s">
        <v>247</v>
      </c>
      <c r="IQB47" s="58" t="s">
        <v>248</v>
      </c>
      <c r="IQC47" s="58" t="s">
        <v>249</v>
      </c>
      <c r="IQD47" s="58" t="s">
        <v>250</v>
      </c>
      <c r="IQE47" s="58" t="s">
        <v>247</v>
      </c>
      <c r="IQF47" s="58" t="s">
        <v>248</v>
      </c>
      <c r="IQG47" s="58" t="s">
        <v>249</v>
      </c>
      <c r="IQH47" s="58" t="s">
        <v>250</v>
      </c>
      <c r="IQI47" s="58" t="s">
        <v>247</v>
      </c>
      <c r="IQJ47" s="58" t="s">
        <v>248</v>
      </c>
      <c r="IQK47" s="58" t="s">
        <v>249</v>
      </c>
      <c r="IQL47" s="58" t="s">
        <v>250</v>
      </c>
      <c r="IQM47" s="58" t="s">
        <v>247</v>
      </c>
      <c r="IQN47" s="58" t="s">
        <v>248</v>
      </c>
      <c r="IQO47" s="58" t="s">
        <v>249</v>
      </c>
      <c r="IQP47" s="58" t="s">
        <v>250</v>
      </c>
      <c r="IQQ47" s="58" t="s">
        <v>247</v>
      </c>
      <c r="IQR47" s="58" t="s">
        <v>248</v>
      </c>
      <c r="IQS47" s="58" t="s">
        <v>249</v>
      </c>
      <c r="IQT47" s="58" t="s">
        <v>250</v>
      </c>
      <c r="IQU47" s="58" t="s">
        <v>247</v>
      </c>
      <c r="IQV47" s="58" t="s">
        <v>248</v>
      </c>
      <c r="IQW47" s="58" t="s">
        <v>249</v>
      </c>
      <c r="IQX47" s="58" t="s">
        <v>250</v>
      </c>
      <c r="IQY47" s="58" t="s">
        <v>247</v>
      </c>
      <c r="IQZ47" s="58" t="s">
        <v>248</v>
      </c>
      <c r="IRA47" s="58" t="s">
        <v>249</v>
      </c>
      <c r="IRB47" s="58" t="s">
        <v>250</v>
      </c>
      <c r="IRC47" s="58" t="s">
        <v>247</v>
      </c>
      <c r="IRD47" s="58" t="s">
        <v>248</v>
      </c>
      <c r="IRE47" s="58" t="s">
        <v>249</v>
      </c>
      <c r="IRF47" s="58" t="s">
        <v>250</v>
      </c>
      <c r="IRG47" s="58" t="s">
        <v>247</v>
      </c>
      <c r="IRH47" s="58" t="s">
        <v>248</v>
      </c>
      <c r="IRI47" s="58" t="s">
        <v>249</v>
      </c>
      <c r="IRJ47" s="58" t="s">
        <v>250</v>
      </c>
      <c r="IRK47" s="58" t="s">
        <v>247</v>
      </c>
      <c r="IRL47" s="58" t="s">
        <v>248</v>
      </c>
      <c r="IRM47" s="58" t="s">
        <v>249</v>
      </c>
      <c r="IRN47" s="58" t="s">
        <v>250</v>
      </c>
      <c r="IRO47" s="58" t="s">
        <v>247</v>
      </c>
      <c r="IRP47" s="58" t="s">
        <v>248</v>
      </c>
      <c r="IRQ47" s="58" t="s">
        <v>249</v>
      </c>
      <c r="IRR47" s="58" t="s">
        <v>250</v>
      </c>
      <c r="IRS47" s="58" t="s">
        <v>247</v>
      </c>
      <c r="IRT47" s="58" t="s">
        <v>248</v>
      </c>
      <c r="IRU47" s="58" t="s">
        <v>249</v>
      </c>
      <c r="IRV47" s="58" t="s">
        <v>250</v>
      </c>
      <c r="IRW47" s="58" t="s">
        <v>247</v>
      </c>
      <c r="IRX47" s="58" t="s">
        <v>248</v>
      </c>
      <c r="IRY47" s="58" t="s">
        <v>249</v>
      </c>
      <c r="IRZ47" s="58" t="s">
        <v>250</v>
      </c>
      <c r="ISA47" s="58" t="s">
        <v>247</v>
      </c>
      <c r="ISB47" s="58" t="s">
        <v>248</v>
      </c>
      <c r="ISC47" s="58" t="s">
        <v>249</v>
      </c>
      <c r="ISD47" s="58" t="s">
        <v>250</v>
      </c>
      <c r="ISE47" s="58" t="s">
        <v>247</v>
      </c>
      <c r="ISF47" s="58" t="s">
        <v>248</v>
      </c>
      <c r="ISG47" s="58" t="s">
        <v>249</v>
      </c>
      <c r="ISH47" s="58" t="s">
        <v>250</v>
      </c>
      <c r="ISI47" s="58" t="s">
        <v>247</v>
      </c>
      <c r="ISJ47" s="58" t="s">
        <v>248</v>
      </c>
      <c r="ISK47" s="58" t="s">
        <v>249</v>
      </c>
      <c r="ISL47" s="58" t="s">
        <v>250</v>
      </c>
      <c r="ISM47" s="58" t="s">
        <v>247</v>
      </c>
      <c r="ISN47" s="58" t="s">
        <v>248</v>
      </c>
      <c r="ISO47" s="58" t="s">
        <v>249</v>
      </c>
      <c r="ISP47" s="58" t="s">
        <v>250</v>
      </c>
      <c r="ISQ47" s="58" t="s">
        <v>247</v>
      </c>
      <c r="ISR47" s="58" t="s">
        <v>248</v>
      </c>
      <c r="ISS47" s="58" t="s">
        <v>249</v>
      </c>
      <c r="IST47" s="58" t="s">
        <v>250</v>
      </c>
      <c r="ISU47" s="58" t="s">
        <v>247</v>
      </c>
      <c r="ISV47" s="58" t="s">
        <v>248</v>
      </c>
      <c r="ISW47" s="58" t="s">
        <v>249</v>
      </c>
      <c r="ISX47" s="58" t="s">
        <v>250</v>
      </c>
      <c r="ISY47" s="58" t="s">
        <v>247</v>
      </c>
      <c r="ISZ47" s="58" t="s">
        <v>248</v>
      </c>
      <c r="ITA47" s="58" t="s">
        <v>249</v>
      </c>
      <c r="ITB47" s="58" t="s">
        <v>250</v>
      </c>
      <c r="ITC47" s="58" t="s">
        <v>247</v>
      </c>
      <c r="ITD47" s="58" t="s">
        <v>248</v>
      </c>
      <c r="ITE47" s="58" t="s">
        <v>249</v>
      </c>
      <c r="ITF47" s="58" t="s">
        <v>250</v>
      </c>
      <c r="ITG47" s="58" t="s">
        <v>247</v>
      </c>
      <c r="ITH47" s="58" t="s">
        <v>248</v>
      </c>
      <c r="ITI47" s="58" t="s">
        <v>249</v>
      </c>
      <c r="ITJ47" s="58" t="s">
        <v>250</v>
      </c>
      <c r="ITK47" s="58" t="s">
        <v>247</v>
      </c>
      <c r="ITL47" s="58" t="s">
        <v>248</v>
      </c>
      <c r="ITM47" s="58" t="s">
        <v>249</v>
      </c>
      <c r="ITN47" s="58" t="s">
        <v>250</v>
      </c>
      <c r="ITO47" s="58" t="s">
        <v>247</v>
      </c>
      <c r="ITP47" s="58" t="s">
        <v>248</v>
      </c>
      <c r="ITQ47" s="58" t="s">
        <v>249</v>
      </c>
      <c r="ITR47" s="58" t="s">
        <v>250</v>
      </c>
      <c r="ITS47" s="58" t="s">
        <v>247</v>
      </c>
      <c r="ITT47" s="58" t="s">
        <v>248</v>
      </c>
      <c r="ITU47" s="58" t="s">
        <v>249</v>
      </c>
      <c r="ITV47" s="58" t="s">
        <v>250</v>
      </c>
      <c r="ITW47" s="58" t="s">
        <v>247</v>
      </c>
      <c r="ITX47" s="58" t="s">
        <v>248</v>
      </c>
      <c r="ITY47" s="58" t="s">
        <v>249</v>
      </c>
      <c r="ITZ47" s="58" t="s">
        <v>250</v>
      </c>
      <c r="IUA47" s="58" t="s">
        <v>247</v>
      </c>
      <c r="IUB47" s="58" t="s">
        <v>248</v>
      </c>
      <c r="IUC47" s="58" t="s">
        <v>249</v>
      </c>
      <c r="IUD47" s="58" t="s">
        <v>250</v>
      </c>
      <c r="IUE47" s="58" t="s">
        <v>247</v>
      </c>
      <c r="IUF47" s="58" t="s">
        <v>248</v>
      </c>
      <c r="IUG47" s="58" t="s">
        <v>249</v>
      </c>
      <c r="IUH47" s="58" t="s">
        <v>250</v>
      </c>
      <c r="IUI47" s="58" t="s">
        <v>247</v>
      </c>
      <c r="IUJ47" s="58" t="s">
        <v>248</v>
      </c>
      <c r="IUK47" s="58" t="s">
        <v>249</v>
      </c>
      <c r="IUL47" s="58" t="s">
        <v>250</v>
      </c>
      <c r="IUM47" s="58" t="s">
        <v>247</v>
      </c>
      <c r="IUN47" s="58" t="s">
        <v>248</v>
      </c>
      <c r="IUO47" s="58" t="s">
        <v>249</v>
      </c>
      <c r="IUP47" s="58" t="s">
        <v>250</v>
      </c>
      <c r="IUQ47" s="58" t="s">
        <v>247</v>
      </c>
      <c r="IUR47" s="58" t="s">
        <v>248</v>
      </c>
      <c r="IUS47" s="58" t="s">
        <v>249</v>
      </c>
      <c r="IUT47" s="58" t="s">
        <v>250</v>
      </c>
      <c r="IUU47" s="58" t="s">
        <v>247</v>
      </c>
      <c r="IUV47" s="58" t="s">
        <v>248</v>
      </c>
      <c r="IUW47" s="58" t="s">
        <v>249</v>
      </c>
      <c r="IUX47" s="58" t="s">
        <v>250</v>
      </c>
      <c r="IUY47" s="58" t="s">
        <v>247</v>
      </c>
      <c r="IUZ47" s="58" t="s">
        <v>248</v>
      </c>
      <c r="IVA47" s="58" t="s">
        <v>249</v>
      </c>
      <c r="IVB47" s="58" t="s">
        <v>250</v>
      </c>
      <c r="IVC47" s="58" t="s">
        <v>247</v>
      </c>
      <c r="IVD47" s="58" t="s">
        <v>248</v>
      </c>
      <c r="IVE47" s="58" t="s">
        <v>249</v>
      </c>
      <c r="IVF47" s="58" t="s">
        <v>250</v>
      </c>
      <c r="IVG47" s="58" t="s">
        <v>247</v>
      </c>
      <c r="IVH47" s="58" t="s">
        <v>248</v>
      </c>
      <c r="IVI47" s="58" t="s">
        <v>249</v>
      </c>
      <c r="IVJ47" s="58" t="s">
        <v>250</v>
      </c>
      <c r="IVK47" s="58" t="s">
        <v>247</v>
      </c>
      <c r="IVL47" s="58" t="s">
        <v>248</v>
      </c>
      <c r="IVM47" s="58" t="s">
        <v>249</v>
      </c>
      <c r="IVN47" s="58" t="s">
        <v>250</v>
      </c>
      <c r="IVO47" s="58" t="s">
        <v>247</v>
      </c>
      <c r="IVP47" s="58" t="s">
        <v>248</v>
      </c>
      <c r="IVQ47" s="58" t="s">
        <v>249</v>
      </c>
      <c r="IVR47" s="58" t="s">
        <v>250</v>
      </c>
      <c r="IVS47" s="58" t="s">
        <v>247</v>
      </c>
      <c r="IVT47" s="58" t="s">
        <v>248</v>
      </c>
      <c r="IVU47" s="58" t="s">
        <v>249</v>
      </c>
      <c r="IVV47" s="58" t="s">
        <v>250</v>
      </c>
      <c r="IVW47" s="58" t="s">
        <v>247</v>
      </c>
      <c r="IVX47" s="58" t="s">
        <v>248</v>
      </c>
      <c r="IVY47" s="58" t="s">
        <v>249</v>
      </c>
      <c r="IVZ47" s="58" t="s">
        <v>250</v>
      </c>
      <c r="IWA47" s="58" t="s">
        <v>247</v>
      </c>
      <c r="IWB47" s="58" t="s">
        <v>248</v>
      </c>
      <c r="IWC47" s="58" t="s">
        <v>249</v>
      </c>
      <c r="IWD47" s="58" t="s">
        <v>250</v>
      </c>
      <c r="IWE47" s="58" t="s">
        <v>247</v>
      </c>
      <c r="IWF47" s="58" t="s">
        <v>248</v>
      </c>
      <c r="IWG47" s="58" t="s">
        <v>249</v>
      </c>
      <c r="IWH47" s="58" t="s">
        <v>250</v>
      </c>
      <c r="IWI47" s="58" t="s">
        <v>247</v>
      </c>
      <c r="IWJ47" s="58" t="s">
        <v>248</v>
      </c>
      <c r="IWK47" s="58" t="s">
        <v>249</v>
      </c>
      <c r="IWL47" s="58" t="s">
        <v>250</v>
      </c>
      <c r="IWM47" s="58" t="s">
        <v>247</v>
      </c>
      <c r="IWN47" s="58" t="s">
        <v>248</v>
      </c>
      <c r="IWO47" s="58" t="s">
        <v>249</v>
      </c>
      <c r="IWP47" s="58" t="s">
        <v>250</v>
      </c>
      <c r="IWQ47" s="58" t="s">
        <v>247</v>
      </c>
      <c r="IWR47" s="58" t="s">
        <v>248</v>
      </c>
      <c r="IWS47" s="58" t="s">
        <v>249</v>
      </c>
      <c r="IWT47" s="58" t="s">
        <v>250</v>
      </c>
      <c r="IWU47" s="58" t="s">
        <v>247</v>
      </c>
      <c r="IWV47" s="58" t="s">
        <v>248</v>
      </c>
      <c r="IWW47" s="58" t="s">
        <v>249</v>
      </c>
      <c r="IWX47" s="58" t="s">
        <v>250</v>
      </c>
      <c r="IWY47" s="58" t="s">
        <v>247</v>
      </c>
      <c r="IWZ47" s="58" t="s">
        <v>248</v>
      </c>
      <c r="IXA47" s="58" t="s">
        <v>249</v>
      </c>
      <c r="IXB47" s="58" t="s">
        <v>250</v>
      </c>
      <c r="IXC47" s="58" t="s">
        <v>247</v>
      </c>
      <c r="IXD47" s="58" t="s">
        <v>248</v>
      </c>
      <c r="IXE47" s="58" t="s">
        <v>249</v>
      </c>
      <c r="IXF47" s="58" t="s">
        <v>250</v>
      </c>
      <c r="IXG47" s="58" t="s">
        <v>247</v>
      </c>
      <c r="IXH47" s="58" t="s">
        <v>248</v>
      </c>
      <c r="IXI47" s="58" t="s">
        <v>249</v>
      </c>
      <c r="IXJ47" s="58" t="s">
        <v>250</v>
      </c>
      <c r="IXK47" s="58" t="s">
        <v>247</v>
      </c>
      <c r="IXL47" s="58" t="s">
        <v>248</v>
      </c>
      <c r="IXM47" s="58" t="s">
        <v>249</v>
      </c>
      <c r="IXN47" s="58" t="s">
        <v>250</v>
      </c>
      <c r="IXO47" s="58" t="s">
        <v>247</v>
      </c>
      <c r="IXP47" s="58" t="s">
        <v>248</v>
      </c>
      <c r="IXQ47" s="58" t="s">
        <v>249</v>
      </c>
      <c r="IXR47" s="58" t="s">
        <v>250</v>
      </c>
      <c r="IXS47" s="58" t="s">
        <v>247</v>
      </c>
      <c r="IXT47" s="58" t="s">
        <v>248</v>
      </c>
      <c r="IXU47" s="58" t="s">
        <v>249</v>
      </c>
      <c r="IXV47" s="58" t="s">
        <v>250</v>
      </c>
      <c r="IXW47" s="58" t="s">
        <v>247</v>
      </c>
      <c r="IXX47" s="58" t="s">
        <v>248</v>
      </c>
      <c r="IXY47" s="58" t="s">
        <v>249</v>
      </c>
      <c r="IXZ47" s="58" t="s">
        <v>250</v>
      </c>
      <c r="IYA47" s="58" t="s">
        <v>247</v>
      </c>
      <c r="IYB47" s="58" t="s">
        <v>248</v>
      </c>
      <c r="IYC47" s="58" t="s">
        <v>249</v>
      </c>
      <c r="IYD47" s="58" t="s">
        <v>250</v>
      </c>
      <c r="IYE47" s="58" t="s">
        <v>247</v>
      </c>
      <c r="IYF47" s="58" t="s">
        <v>248</v>
      </c>
      <c r="IYG47" s="58" t="s">
        <v>249</v>
      </c>
      <c r="IYH47" s="58" t="s">
        <v>250</v>
      </c>
      <c r="IYI47" s="58" t="s">
        <v>247</v>
      </c>
      <c r="IYJ47" s="58" t="s">
        <v>248</v>
      </c>
      <c r="IYK47" s="58" t="s">
        <v>249</v>
      </c>
      <c r="IYL47" s="58" t="s">
        <v>250</v>
      </c>
      <c r="IYM47" s="58" t="s">
        <v>247</v>
      </c>
      <c r="IYN47" s="58" t="s">
        <v>248</v>
      </c>
      <c r="IYO47" s="58" t="s">
        <v>249</v>
      </c>
      <c r="IYP47" s="58" t="s">
        <v>250</v>
      </c>
      <c r="IYQ47" s="58" t="s">
        <v>247</v>
      </c>
      <c r="IYR47" s="58" t="s">
        <v>248</v>
      </c>
      <c r="IYS47" s="58" t="s">
        <v>249</v>
      </c>
      <c r="IYT47" s="58" t="s">
        <v>250</v>
      </c>
      <c r="IYU47" s="58" t="s">
        <v>247</v>
      </c>
      <c r="IYV47" s="58" t="s">
        <v>248</v>
      </c>
      <c r="IYW47" s="58" t="s">
        <v>249</v>
      </c>
      <c r="IYX47" s="58" t="s">
        <v>250</v>
      </c>
      <c r="IYY47" s="58" t="s">
        <v>247</v>
      </c>
      <c r="IYZ47" s="58" t="s">
        <v>248</v>
      </c>
      <c r="IZA47" s="58" t="s">
        <v>249</v>
      </c>
      <c r="IZB47" s="58" t="s">
        <v>250</v>
      </c>
      <c r="IZC47" s="58" t="s">
        <v>247</v>
      </c>
      <c r="IZD47" s="58" t="s">
        <v>248</v>
      </c>
      <c r="IZE47" s="58" t="s">
        <v>249</v>
      </c>
      <c r="IZF47" s="58" t="s">
        <v>250</v>
      </c>
      <c r="IZG47" s="58" t="s">
        <v>247</v>
      </c>
      <c r="IZH47" s="58" t="s">
        <v>248</v>
      </c>
      <c r="IZI47" s="58" t="s">
        <v>249</v>
      </c>
      <c r="IZJ47" s="58" t="s">
        <v>250</v>
      </c>
      <c r="IZK47" s="58" t="s">
        <v>247</v>
      </c>
      <c r="IZL47" s="58" t="s">
        <v>248</v>
      </c>
      <c r="IZM47" s="58" t="s">
        <v>249</v>
      </c>
      <c r="IZN47" s="58" t="s">
        <v>250</v>
      </c>
      <c r="IZO47" s="58" t="s">
        <v>247</v>
      </c>
      <c r="IZP47" s="58" t="s">
        <v>248</v>
      </c>
      <c r="IZQ47" s="58" t="s">
        <v>249</v>
      </c>
      <c r="IZR47" s="58" t="s">
        <v>250</v>
      </c>
      <c r="IZS47" s="58" t="s">
        <v>247</v>
      </c>
      <c r="IZT47" s="58" t="s">
        <v>248</v>
      </c>
      <c r="IZU47" s="58" t="s">
        <v>249</v>
      </c>
      <c r="IZV47" s="58" t="s">
        <v>250</v>
      </c>
      <c r="IZW47" s="58" t="s">
        <v>247</v>
      </c>
      <c r="IZX47" s="58" t="s">
        <v>248</v>
      </c>
      <c r="IZY47" s="58" t="s">
        <v>249</v>
      </c>
      <c r="IZZ47" s="58" t="s">
        <v>250</v>
      </c>
      <c r="JAA47" s="58" t="s">
        <v>247</v>
      </c>
      <c r="JAB47" s="58" t="s">
        <v>248</v>
      </c>
      <c r="JAC47" s="58" t="s">
        <v>249</v>
      </c>
      <c r="JAD47" s="58" t="s">
        <v>250</v>
      </c>
      <c r="JAE47" s="58" t="s">
        <v>247</v>
      </c>
      <c r="JAF47" s="58" t="s">
        <v>248</v>
      </c>
      <c r="JAG47" s="58" t="s">
        <v>249</v>
      </c>
      <c r="JAH47" s="58" t="s">
        <v>250</v>
      </c>
      <c r="JAI47" s="58" t="s">
        <v>247</v>
      </c>
      <c r="JAJ47" s="58" t="s">
        <v>248</v>
      </c>
      <c r="JAK47" s="58" t="s">
        <v>249</v>
      </c>
      <c r="JAL47" s="58" t="s">
        <v>250</v>
      </c>
      <c r="JAM47" s="58" t="s">
        <v>247</v>
      </c>
      <c r="JAN47" s="58" t="s">
        <v>248</v>
      </c>
      <c r="JAO47" s="58" t="s">
        <v>249</v>
      </c>
      <c r="JAP47" s="58" t="s">
        <v>250</v>
      </c>
      <c r="JAQ47" s="58" t="s">
        <v>247</v>
      </c>
      <c r="JAR47" s="58" t="s">
        <v>248</v>
      </c>
      <c r="JAS47" s="58" t="s">
        <v>249</v>
      </c>
      <c r="JAT47" s="58" t="s">
        <v>250</v>
      </c>
      <c r="JAU47" s="58" t="s">
        <v>247</v>
      </c>
      <c r="JAV47" s="58" t="s">
        <v>248</v>
      </c>
      <c r="JAW47" s="58" t="s">
        <v>249</v>
      </c>
      <c r="JAX47" s="58" t="s">
        <v>250</v>
      </c>
      <c r="JAY47" s="58" t="s">
        <v>247</v>
      </c>
      <c r="JAZ47" s="58" t="s">
        <v>248</v>
      </c>
      <c r="JBA47" s="58" t="s">
        <v>249</v>
      </c>
      <c r="JBB47" s="58" t="s">
        <v>250</v>
      </c>
      <c r="JBC47" s="58" t="s">
        <v>247</v>
      </c>
      <c r="JBD47" s="58" t="s">
        <v>248</v>
      </c>
      <c r="JBE47" s="58" t="s">
        <v>249</v>
      </c>
      <c r="JBF47" s="58" t="s">
        <v>250</v>
      </c>
      <c r="JBG47" s="58" t="s">
        <v>247</v>
      </c>
      <c r="JBH47" s="58" t="s">
        <v>248</v>
      </c>
      <c r="JBI47" s="58" t="s">
        <v>249</v>
      </c>
      <c r="JBJ47" s="58" t="s">
        <v>250</v>
      </c>
      <c r="JBK47" s="58" t="s">
        <v>247</v>
      </c>
      <c r="JBL47" s="58" t="s">
        <v>248</v>
      </c>
      <c r="JBM47" s="58" t="s">
        <v>249</v>
      </c>
      <c r="JBN47" s="58" t="s">
        <v>250</v>
      </c>
      <c r="JBO47" s="58" t="s">
        <v>247</v>
      </c>
      <c r="JBP47" s="58" t="s">
        <v>248</v>
      </c>
      <c r="JBQ47" s="58" t="s">
        <v>249</v>
      </c>
      <c r="JBR47" s="58" t="s">
        <v>250</v>
      </c>
      <c r="JBS47" s="58" t="s">
        <v>247</v>
      </c>
      <c r="JBT47" s="58" t="s">
        <v>248</v>
      </c>
      <c r="JBU47" s="58" t="s">
        <v>249</v>
      </c>
      <c r="JBV47" s="58" t="s">
        <v>250</v>
      </c>
      <c r="JBW47" s="58" t="s">
        <v>247</v>
      </c>
      <c r="JBX47" s="58" t="s">
        <v>248</v>
      </c>
      <c r="JBY47" s="58" t="s">
        <v>249</v>
      </c>
      <c r="JBZ47" s="58" t="s">
        <v>250</v>
      </c>
      <c r="JCA47" s="58" t="s">
        <v>247</v>
      </c>
      <c r="JCB47" s="58" t="s">
        <v>248</v>
      </c>
      <c r="JCC47" s="58" t="s">
        <v>249</v>
      </c>
      <c r="JCD47" s="58" t="s">
        <v>250</v>
      </c>
      <c r="JCE47" s="58" t="s">
        <v>247</v>
      </c>
      <c r="JCF47" s="58" t="s">
        <v>248</v>
      </c>
      <c r="JCG47" s="58" t="s">
        <v>249</v>
      </c>
      <c r="JCH47" s="58" t="s">
        <v>250</v>
      </c>
      <c r="JCI47" s="58" t="s">
        <v>247</v>
      </c>
      <c r="JCJ47" s="58" t="s">
        <v>248</v>
      </c>
      <c r="JCK47" s="58" t="s">
        <v>249</v>
      </c>
      <c r="JCL47" s="58" t="s">
        <v>250</v>
      </c>
      <c r="JCM47" s="58" t="s">
        <v>247</v>
      </c>
      <c r="JCN47" s="58" t="s">
        <v>248</v>
      </c>
      <c r="JCO47" s="58" t="s">
        <v>249</v>
      </c>
      <c r="JCP47" s="58" t="s">
        <v>250</v>
      </c>
      <c r="JCQ47" s="58" t="s">
        <v>247</v>
      </c>
      <c r="JCR47" s="58" t="s">
        <v>248</v>
      </c>
      <c r="JCS47" s="58" t="s">
        <v>249</v>
      </c>
      <c r="JCT47" s="58" t="s">
        <v>250</v>
      </c>
      <c r="JCU47" s="58" t="s">
        <v>247</v>
      </c>
      <c r="JCV47" s="58" t="s">
        <v>248</v>
      </c>
      <c r="JCW47" s="58" t="s">
        <v>249</v>
      </c>
      <c r="JCX47" s="58" t="s">
        <v>250</v>
      </c>
      <c r="JCY47" s="58" t="s">
        <v>247</v>
      </c>
      <c r="JCZ47" s="58" t="s">
        <v>248</v>
      </c>
      <c r="JDA47" s="58" t="s">
        <v>249</v>
      </c>
      <c r="JDB47" s="58" t="s">
        <v>250</v>
      </c>
      <c r="JDC47" s="58" t="s">
        <v>247</v>
      </c>
      <c r="JDD47" s="58" t="s">
        <v>248</v>
      </c>
      <c r="JDE47" s="58" t="s">
        <v>249</v>
      </c>
      <c r="JDF47" s="58" t="s">
        <v>250</v>
      </c>
      <c r="JDG47" s="58" t="s">
        <v>247</v>
      </c>
      <c r="JDH47" s="58" t="s">
        <v>248</v>
      </c>
      <c r="JDI47" s="58" t="s">
        <v>249</v>
      </c>
      <c r="JDJ47" s="58" t="s">
        <v>250</v>
      </c>
      <c r="JDK47" s="58" t="s">
        <v>247</v>
      </c>
      <c r="JDL47" s="58" t="s">
        <v>248</v>
      </c>
      <c r="JDM47" s="58" t="s">
        <v>249</v>
      </c>
      <c r="JDN47" s="58" t="s">
        <v>250</v>
      </c>
      <c r="JDO47" s="58" t="s">
        <v>247</v>
      </c>
      <c r="JDP47" s="58" t="s">
        <v>248</v>
      </c>
      <c r="JDQ47" s="58" t="s">
        <v>249</v>
      </c>
      <c r="JDR47" s="58" t="s">
        <v>250</v>
      </c>
      <c r="JDS47" s="58" t="s">
        <v>247</v>
      </c>
      <c r="JDT47" s="58" t="s">
        <v>248</v>
      </c>
      <c r="JDU47" s="58" t="s">
        <v>249</v>
      </c>
      <c r="JDV47" s="58" t="s">
        <v>250</v>
      </c>
      <c r="JDW47" s="58" t="s">
        <v>247</v>
      </c>
      <c r="JDX47" s="58" t="s">
        <v>248</v>
      </c>
      <c r="JDY47" s="58" t="s">
        <v>249</v>
      </c>
      <c r="JDZ47" s="58" t="s">
        <v>250</v>
      </c>
      <c r="JEA47" s="58" t="s">
        <v>247</v>
      </c>
      <c r="JEB47" s="58" t="s">
        <v>248</v>
      </c>
      <c r="JEC47" s="58" t="s">
        <v>249</v>
      </c>
      <c r="JED47" s="58" t="s">
        <v>250</v>
      </c>
      <c r="JEE47" s="58" t="s">
        <v>247</v>
      </c>
      <c r="JEF47" s="58" t="s">
        <v>248</v>
      </c>
      <c r="JEG47" s="58" t="s">
        <v>249</v>
      </c>
      <c r="JEH47" s="58" t="s">
        <v>250</v>
      </c>
      <c r="JEI47" s="58" t="s">
        <v>247</v>
      </c>
      <c r="JEJ47" s="58" t="s">
        <v>248</v>
      </c>
      <c r="JEK47" s="58" t="s">
        <v>249</v>
      </c>
      <c r="JEL47" s="58" t="s">
        <v>250</v>
      </c>
      <c r="JEM47" s="58" t="s">
        <v>247</v>
      </c>
      <c r="JEN47" s="58" t="s">
        <v>248</v>
      </c>
      <c r="JEO47" s="58" t="s">
        <v>249</v>
      </c>
      <c r="JEP47" s="58" t="s">
        <v>250</v>
      </c>
      <c r="JEQ47" s="58" t="s">
        <v>247</v>
      </c>
      <c r="JER47" s="58" t="s">
        <v>248</v>
      </c>
      <c r="JES47" s="58" t="s">
        <v>249</v>
      </c>
      <c r="JET47" s="58" t="s">
        <v>250</v>
      </c>
      <c r="JEU47" s="58" t="s">
        <v>247</v>
      </c>
      <c r="JEV47" s="58" t="s">
        <v>248</v>
      </c>
      <c r="JEW47" s="58" t="s">
        <v>249</v>
      </c>
      <c r="JEX47" s="58" t="s">
        <v>250</v>
      </c>
      <c r="JEY47" s="58" t="s">
        <v>247</v>
      </c>
      <c r="JEZ47" s="58" t="s">
        <v>248</v>
      </c>
      <c r="JFA47" s="58" t="s">
        <v>249</v>
      </c>
      <c r="JFB47" s="58" t="s">
        <v>250</v>
      </c>
      <c r="JFC47" s="58" t="s">
        <v>247</v>
      </c>
      <c r="JFD47" s="58" t="s">
        <v>248</v>
      </c>
      <c r="JFE47" s="58" t="s">
        <v>249</v>
      </c>
      <c r="JFF47" s="58" t="s">
        <v>250</v>
      </c>
      <c r="JFG47" s="58" t="s">
        <v>247</v>
      </c>
      <c r="JFH47" s="58" t="s">
        <v>248</v>
      </c>
      <c r="JFI47" s="58" t="s">
        <v>249</v>
      </c>
      <c r="JFJ47" s="58" t="s">
        <v>250</v>
      </c>
      <c r="JFK47" s="58" t="s">
        <v>247</v>
      </c>
      <c r="JFL47" s="58" t="s">
        <v>248</v>
      </c>
      <c r="JFM47" s="58" t="s">
        <v>249</v>
      </c>
      <c r="JFN47" s="58" t="s">
        <v>250</v>
      </c>
      <c r="JFO47" s="58" t="s">
        <v>247</v>
      </c>
      <c r="JFP47" s="58" t="s">
        <v>248</v>
      </c>
      <c r="JFQ47" s="58" t="s">
        <v>249</v>
      </c>
      <c r="JFR47" s="58" t="s">
        <v>250</v>
      </c>
      <c r="JFS47" s="58" t="s">
        <v>247</v>
      </c>
      <c r="JFT47" s="58" t="s">
        <v>248</v>
      </c>
      <c r="JFU47" s="58" t="s">
        <v>249</v>
      </c>
      <c r="JFV47" s="58" t="s">
        <v>250</v>
      </c>
      <c r="JFW47" s="58" t="s">
        <v>247</v>
      </c>
      <c r="JFX47" s="58" t="s">
        <v>248</v>
      </c>
      <c r="JFY47" s="58" t="s">
        <v>249</v>
      </c>
      <c r="JFZ47" s="58" t="s">
        <v>250</v>
      </c>
      <c r="JGA47" s="58" t="s">
        <v>247</v>
      </c>
      <c r="JGB47" s="58" t="s">
        <v>248</v>
      </c>
      <c r="JGC47" s="58" t="s">
        <v>249</v>
      </c>
      <c r="JGD47" s="58" t="s">
        <v>250</v>
      </c>
      <c r="JGE47" s="58" t="s">
        <v>247</v>
      </c>
      <c r="JGF47" s="58" t="s">
        <v>248</v>
      </c>
      <c r="JGG47" s="58" t="s">
        <v>249</v>
      </c>
      <c r="JGH47" s="58" t="s">
        <v>250</v>
      </c>
      <c r="JGI47" s="58" t="s">
        <v>247</v>
      </c>
      <c r="JGJ47" s="58" t="s">
        <v>248</v>
      </c>
      <c r="JGK47" s="58" t="s">
        <v>249</v>
      </c>
      <c r="JGL47" s="58" t="s">
        <v>250</v>
      </c>
      <c r="JGM47" s="58" t="s">
        <v>247</v>
      </c>
      <c r="JGN47" s="58" t="s">
        <v>248</v>
      </c>
      <c r="JGO47" s="58" t="s">
        <v>249</v>
      </c>
      <c r="JGP47" s="58" t="s">
        <v>250</v>
      </c>
      <c r="JGQ47" s="58" t="s">
        <v>247</v>
      </c>
      <c r="JGR47" s="58" t="s">
        <v>248</v>
      </c>
      <c r="JGS47" s="58" t="s">
        <v>249</v>
      </c>
      <c r="JGT47" s="58" t="s">
        <v>250</v>
      </c>
      <c r="JGU47" s="58" t="s">
        <v>247</v>
      </c>
      <c r="JGV47" s="58" t="s">
        <v>248</v>
      </c>
      <c r="JGW47" s="58" t="s">
        <v>249</v>
      </c>
      <c r="JGX47" s="58" t="s">
        <v>250</v>
      </c>
      <c r="JGY47" s="58" t="s">
        <v>247</v>
      </c>
      <c r="JGZ47" s="58" t="s">
        <v>248</v>
      </c>
      <c r="JHA47" s="58" t="s">
        <v>249</v>
      </c>
      <c r="JHB47" s="58" t="s">
        <v>250</v>
      </c>
      <c r="JHC47" s="58" t="s">
        <v>247</v>
      </c>
      <c r="JHD47" s="58" t="s">
        <v>248</v>
      </c>
      <c r="JHE47" s="58" t="s">
        <v>249</v>
      </c>
      <c r="JHF47" s="58" t="s">
        <v>250</v>
      </c>
      <c r="JHG47" s="58" t="s">
        <v>247</v>
      </c>
      <c r="JHH47" s="58" t="s">
        <v>248</v>
      </c>
      <c r="JHI47" s="58" t="s">
        <v>249</v>
      </c>
      <c r="JHJ47" s="58" t="s">
        <v>250</v>
      </c>
      <c r="JHK47" s="58" t="s">
        <v>247</v>
      </c>
      <c r="JHL47" s="58" t="s">
        <v>248</v>
      </c>
      <c r="JHM47" s="58" t="s">
        <v>249</v>
      </c>
      <c r="JHN47" s="58" t="s">
        <v>250</v>
      </c>
      <c r="JHO47" s="58" t="s">
        <v>247</v>
      </c>
      <c r="JHP47" s="58" t="s">
        <v>248</v>
      </c>
      <c r="JHQ47" s="58" t="s">
        <v>249</v>
      </c>
      <c r="JHR47" s="58" t="s">
        <v>250</v>
      </c>
      <c r="JHS47" s="58" t="s">
        <v>247</v>
      </c>
      <c r="JHT47" s="58" t="s">
        <v>248</v>
      </c>
      <c r="JHU47" s="58" t="s">
        <v>249</v>
      </c>
      <c r="JHV47" s="58" t="s">
        <v>250</v>
      </c>
      <c r="JHW47" s="58" t="s">
        <v>247</v>
      </c>
      <c r="JHX47" s="58" t="s">
        <v>248</v>
      </c>
      <c r="JHY47" s="58" t="s">
        <v>249</v>
      </c>
      <c r="JHZ47" s="58" t="s">
        <v>250</v>
      </c>
      <c r="JIA47" s="58" t="s">
        <v>247</v>
      </c>
      <c r="JIB47" s="58" t="s">
        <v>248</v>
      </c>
      <c r="JIC47" s="58" t="s">
        <v>249</v>
      </c>
      <c r="JID47" s="58" t="s">
        <v>250</v>
      </c>
      <c r="JIE47" s="58" t="s">
        <v>247</v>
      </c>
      <c r="JIF47" s="58" t="s">
        <v>248</v>
      </c>
      <c r="JIG47" s="58" t="s">
        <v>249</v>
      </c>
      <c r="JIH47" s="58" t="s">
        <v>250</v>
      </c>
      <c r="JII47" s="58" t="s">
        <v>247</v>
      </c>
      <c r="JIJ47" s="58" t="s">
        <v>248</v>
      </c>
      <c r="JIK47" s="58" t="s">
        <v>249</v>
      </c>
      <c r="JIL47" s="58" t="s">
        <v>250</v>
      </c>
      <c r="JIM47" s="58" t="s">
        <v>247</v>
      </c>
      <c r="JIN47" s="58" t="s">
        <v>248</v>
      </c>
      <c r="JIO47" s="58" t="s">
        <v>249</v>
      </c>
      <c r="JIP47" s="58" t="s">
        <v>250</v>
      </c>
      <c r="JIQ47" s="58" t="s">
        <v>247</v>
      </c>
      <c r="JIR47" s="58" t="s">
        <v>248</v>
      </c>
      <c r="JIS47" s="58" t="s">
        <v>249</v>
      </c>
      <c r="JIT47" s="58" t="s">
        <v>250</v>
      </c>
      <c r="JIU47" s="58" t="s">
        <v>247</v>
      </c>
      <c r="JIV47" s="58" t="s">
        <v>248</v>
      </c>
      <c r="JIW47" s="58" t="s">
        <v>249</v>
      </c>
      <c r="JIX47" s="58" t="s">
        <v>250</v>
      </c>
      <c r="JIY47" s="58" t="s">
        <v>247</v>
      </c>
      <c r="JIZ47" s="58" t="s">
        <v>248</v>
      </c>
      <c r="JJA47" s="58" t="s">
        <v>249</v>
      </c>
      <c r="JJB47" s="58" t="s">
        <v>250</v>
      </c>
      <c r="JJC47" s="58" t="s">
        <v>247</v>
      </c>
      <c r="JJD47" s="58" t="s">
        <v>248</v>
      </c>
      <c r="JJE47" s="58" t="s">
        <v>249</v>
      </c>
      <c r="JJF47" s="58" t="s">
        <v>250</v>
      </c>
      <c r="JJG47" s="58" t="s">
        <v>247</v>
      </c>
      <c r="JJH47" s="58" t="s">
        <v>248</v>
      </c>
      <c r="JJI47" s="58" t="s">
        <v>249</v>
      </c>
      <c r="JJJ47" s="58" t="s">
        <v>250</v>
      </c>
      <c r="JJK47" s="58" t="s">
        <v>247</v>
      </c>
      <c r="JJL47" s="58" t="s">
        <v>248</v>
      </c>
      <c r="JJM47" s="58" t="s">
        <v>249</v>
      </c>
      <c r="JJN47" s="58" t="s">
        <v>250</v>
      </c>
      <c r="JJO47" s="58" t="s">
        <v>247</v>
      </c>
      <c r="JJP47" s="58" t="s">
        <v>248</v>
      </c>
      <c r="JJQ47" s="58" t="s">
        <v>249</v>
      </c>
      <c r="JJR47" s="58" t="s">
        <v>250</v>
      </c>
      <c r="JJS47" s="58" t="s">
        <v>247</v>
      </c>
      <c r="JJT47" s="58" t="s">
        <v>248</v>
      </c>
      <c r="JJU47" s="58" t="s">
        <v>249</v>
      </c>
      <c r="JJV47" s="58" t="s">
        <v>250</v>
      </c>
      <c r="JJW47" s="58" t="s">
        <v>247</v>
      </c>
      <c r="JJX47" s="58" t="s">
        <v>248</v>
      </c>
      <c r="JJY47" s="58" t="s">
        <v>249</v>
      </c>
      <c r="JJZ47" s="58" t="s">
        <v>250</v>
      </c>
      <c r="JKA47" s="58" t="s">
        <v>247</v>
      </c>
      <c r="JKB47" s="58" t="s">
        <v>248</v>
      </c>
      <c r="JKC47" s="58" t="s">
        <v>249</v>
      </c>
      <c r="JKD47" s="58" t="s">
        <v>250</v>
      </c>
      <c r="JKE47" s="58" t="s">
        <v>247</v>
      </c>
      <c r="JKF47" s="58" t="s">
        <v>248</v>
      </c>
      <c r="JKG47" s="58" t="s">
        <v>249</v>
      </c>
      <c r="JKH47" s="58" t="s">
        <v>250</v>
      </c>
      <c r="JKI47" s="58" t="s">
        <v>247</v>
      </c>
      <c r="JKJ47" s="58" t="s">
        <v>248</v>
      </c>
      <c r="JKK47" s="58" t="s">
        <v>249</v>
      </c>
      <c r="JKL47" s="58" t="s">
        <v>250</v>
      </c>
      <c r="JKM47" s="58" t="s">
        <v>247</v>
      </c>
      <c r="JKN47" s="58" t="s">
        <v>248</v>
      </c>
      <c r="JKO47" s="58" t="s">
        <v>249</v>
      </c>
      <c r="JKP47" s="58" t="s">
        <v>250</v>
      </c>
      <c r="JKQ47" s="58" t="s">
        <v>247</v>
      </c>
      <c r="JKR47" s="58" t="s">
        <v>248</v>
      </c>
      <c r="JKS47" s="58" t="s">
        <v>249</v>
      </c>
      <c r="JKT47" s="58" t="s">
        <v>250</v>
      </c>
      <c r="JKU47" s="58" t="s">
        <v>247</v>
      </c>
      <c r="JKV47" s="58" t="s">
        <v>248</v>
      </c>
      <c r="JKW47" s="58" t="s">
        <v>249</v>
      </c>
      <c r="JKX47" s="58" t="s">
        <v>250</v>
      </c>
      <c r="JKY47" s="58" t="s">
        <v>247</v>
      </c>
      <c r="JKZ47" s="58" t="s">
        <v>248</v>
      </c>
      <c r="JLA47" s="58" t="s">
        <v>249</v>
      </c>
      <c r="JLB47" s="58" t="s">
        <v>250</v>
      </c>
      <c r="JLC47" s="58" t="s">
        <v>247</v>
      </c>
      <c r="JLD47" s="58" t="s">
        <v>248</v>
      </c>
      <c r="JLE47" s="58" t="s">
        <v>249</v>
      </c>
      <c r="JLF47" s="58" t="s">
        <v>250</v>
      </c>
      <c r="JLG47" s="58" t="s">
        <v>247</v>
      </c>
      <c r="JLH47" s="58" t="s">
        <v>248</v>
      </c>
      <c r="JLI47" s="58" t="s">
        <v>249</v>
      </c>
      <c r="JLJ47" s="58" t="s">
        <v>250</v>
      </c>
      <c r="JLK47" s="58" t="s">
        <v>247</v>
      </c>
      <c r="JLL47" s="58" t="s">
        <v>248</v>
      </c>
      <c r="JLM47" s="58" t="s">
        <v>249</v>
      </c>
      <c r="JLN47" s="58" t="s">
        <v>250</v>
      </c>
      <c r="JLO47" s="58" t="s">
        <v>247</v>
      </c>
      <c r="JLP47" s="58" t="s">
        <v>248</v>
      </c>
      <c r="JLQ47" s="58" t="s">
        <v>249</v>
      </c>
      <c r="JLR47" s="58" t="s">
        <v>250</v>
      </c>
      <c r="JLS47" s="58" t="s">
        <v>247</v>
      </c>
      <c r="JLT47" s="58" t="s">
        <v>248</v>
      </c>
      <c r="JLU47" s="58" t="s">
        <v>249</v>
      </c>
      <c r="JLV47" s="58" t="s">
        <v>250</v>
      </c>
      <c r="JLW47" s="58" t="s">
        <v>247</v>
      </c>
      <c r="JLX47" s="58" t="s">
        <v>248</v>
      </c>
      <c r="JLY47" s="58" t="s">
        <v>249</v>
      </c>
      <c r="JLZ47" s="58" t="s">
        <v>250</v>
      </c>
      <c r="JMA47" s="58" t="s">
        <v>247</v>
      </c>
      <c r="JMB47" s="58" t="s">
        <v>248</v>
      </c>
      <c r="JMC47" s="58" t="s">
        <v>249</v>
      </c>
      <c r="JMD47" s="58" t="s">
        <v>250</v>
      </c>
      <c r="JME47" s="58" t="s">
        <v>247</v>
      </c>
      <c r="JMF47" s="58" t="s">
        <v>248</v>
      </c>
      <c r="JMG47" s="58" t="s">
        <v>249</v>
      </c>
      <c r="JMH47" s="58" t="s">
        <v>250</v>
      </c>
      <c r="JMI47" s="58" t="s">
        <v>247</v>
      </c>
      <c r="JMJ47" s="58" t="s">
        <v>248</v>
      </c>
      <c r="JMK47" s="58" t="s">
        <v>249</v>
      </c>
      <c r="JML47" s="58" t="s">
        <v>250</v>
      </c>
      <c r="JMM47" s="58" t="s">
        <v>247</v>
      </c>
      <c r="JMN47" s="58" t="s">
        <v>248</v>
      </c>
      <c r="JMO47" s="58" t="s">
        <v>249</v>
      </c>
      <c r="JMP47" s="58" t="s">
        <v>250</v>
      </c>
      <c r="JMQ47" s="58" t="s">
        <v>247</v>
      </c>
      <c r="JMR47" s="58" t="s">
        <v>248</v>
      </c>
      <c r="JMS47" s="58" t="s">
        <v>249</v>
      </c>
      <c r="JMT47" s="58" t="s">
        <v>250</v>
      </c>
      <c r="JMU47" s="58" t="s">
        <v>247</v>
      </c>
      <c r="JMV47" s="58" t="s">
        <v>248</v>
      </c>
      <c r="JMW47" s="58" t="s">
        <v>249</v>
      </c>
      <c r="JMX47" s="58" t="s">
        <v>250</v>
      </c>
      <c r="JMY47" s="58" t="s">
        <v>247</v>
      </c>
      <c r="JMZ47" s="58" t="s">
        <v>248</v>
      </c>
      <c r="JNA47" s="58" t="s">
        <v>249</v>
      </c>
      <c r="JNB47" s="58" t="s">
        <v>250</v>
      </c>
      <c r="JNC47" s="58" t="s">
        <v>247</v>
      </c>
      <c r="JND47" s="58" t="s">
        <v>248</v>
      </c>
      <c r="JNE47" s="58" t="s">
        <v>249</v>
      </c>
      <c r="JNF47" s="58" t="s">
        <v>250</v>
      </c>
      <c r="JNG47" s="58" t="s">
        <v>247</v>
      </c>
      <c r="JNH47" s="58" t="s">
        <v>248</v>
      </c>
      <c r="JNI47" s="58" t="s">
        <v>249</v>
      </c>
      <c r="JNJ47" s="58" t="s">
        <v>250</v>
      </c>
      <c r="JNK47" s="58" t="s">
        <v>247</v>
      </c>
      <c r="JNL47" s="58" t="s">
        <v>248</v>
      </c>
      <c r="JNM47" s="58" t="s">
        <v>249</v>
      </c>
      <c r="JNN47" s="58" t="s">
        <v>250</v>
      </c>
      <c r="JNO47" s="58" t="s">
        <v>247</v>
      </c>
      <c r="JNP47" s="58" t="s">
        <v>248</v>
      </c>
      <c r="JNQ47" s="58" t="s">
        <v>249</v>
      </c>
      <c r="JNR47" s="58" t="s">
        <v>250</v>
      </c>
      <c r="JNS47" s="58" t="s">
        <v>247</v>
      </c>
      <c r="JNT47" s="58" t="s">
        <v>248</v>
      </c>
      <c r="JNU47" s="58" t="s">
        <v>249</v>
      </c>
      <c r="JNV47" s="58" t="s">
        <v>250</v>
      </c>
      <c r="JNW47" s="58" t="s">
        <v>247</v>
      </c>
      <c r="JNX47" s="58" t="s">
        <v>248</v>
      </c>
      <c r="JNY47" s="58" t="s">
        <v>249</v>
      </c>
      <c r="JNZ47" s="58" t="s">
        <v>250</v>
      </c>
      <c r="JOA47" s="58" t="s">
        <v>247</v>
      </c>
      <c r="JOB47" s="58" t="s">
        <v>248</v>
      </c>
      <c r="JOC47" s="58" t="s">
        <v>249</v>
      </c>
      <c r="JOD47" s="58" t="s">
        <v>250</v>
      </c>
      <c r="JOE47" s="58" t="s">
        <v>247</v>
      </c>
      <c r="JOF47" s="58" t="s">
        <v>248</v>
      </c>
      <c r="JOG47" s="58" t="s">
        <v>249</v>
      </c>
      <c r="JOH47" s="58" t="s">
        <v>250</v>
      </c>
      <c r="JOI47" s="58" t="s">
        <v>247</v>
      </c>
      <c r="JOJ47" s="58" t="s">
        <v>248</v>
      </c>
      <c r="JOK47" s="58" t="s">
        <v>249</v>
      </c>
      <c r="JOL47" s="58" t="s">
        <v>250</v>
      </c>
      <c r="JOM47" s="58" t="s">
        <v>247</v>
      </c>
      <c r="JON47" s="58" t="s">
        <v>248</v>
      </c>
      <c r="JOO47" s="58" t="s">
        <v>249</v>
      </c>
      <c r="JOP47" s="58" t="s">
        <v>250</v>
      </c>
      <c r="JOQ47" s="58" t="s">
        <v>247</v>
      </c>
      <c r="JOR47" s="58" t="s">
        <v>248</v>
      </c>
      <c r="JOS47" s="58" t="s">
        <v>249</v>
      </c>
      <c r="JOT47" s="58" t="s">
        <v>250</v>
      </c>
      <c r="JOU47" s="58" t="s">
        <v>247</v>
      </c>
      <c r="JOV47" s="58" t="s">
        <v>248</v>
      </c>
      <c r="JOW47" s="58" t="s">
        <v>249</v>
      </c>
      <c r="JOX47" s="58" t="s">
        <v>250</v>
      </c>
      <c r="JOY47" s="58" t="s">
        <v>247</v>
      </c>
      <c r="JOZ47" s="58" t="s">
        <v>248</v>
      </c>
      <c r="JPA47" s="58" t="s">
        <v>249</v>
      </c>
      <c r="JPB47" s="58" t="s">
        <v>250</v>
      </c>
      <c r="JPC47" s="58" t="s">
        <v>247</v>
      </c>
      <c r="JPD47" s="58" t="s">
        <v>248</v>
      </c>
      <c r="JPE47" s="58" t="s">
        <v>249</v>
      </c>
      <c r="JPF47" s="58" t="s">
        <v>250</v>
      </c>
      <c r="JPG47" s="58" t="s">
        <v>247</v>
      </c>
      <c r="JPH47" s="58" t="s">
        <v>248</v>
      </c>
      <c r="JPI47" s="58" t="s">
        <v>249</v>
      </c>
      <c r="JPJ47" s="58" t="s">
        <v>250</v>
      </c>
      <c r="JPK47" s="58" t="s">
        <v>247</v>
      </c>
      <c r="JPL47" s="58" t="s">
        <v>248</v>
      </c>
      <c r="JPM47" s="58" t="s">
        <v>249</v>
      </c>
      <c r="JPN47" s="58" t="s">
        <v>250</v>
      </c>
      <c r="JPO47" s="58" t="s">
        <v>247</v>
      </c>
      <c r="JPP47" s="58" t="s">
        <v>248</v>
      </c>
      <c r="JPQ47" s="58" t="s">
        <v>249</v>
      </c>
      <c r="JPR47" s="58" t="s">
        <v>250</v>
      </c>
      <c r="JPS47" s="58" t="s">
        <v>247</v>
      </c>
      <c r="JPT47" s="58" t="s">
        <v>248</v>
      </c>
      <c r="JPU47" s="58" t="s">
        <v>249</v>
      </c>
      <c r="JPV47" s="58" t="s">
        <v>250</v>
      </c>
      <c r="JPW47" s="58" t="s">
        <v>247</v>
      </c>
      <c r="JPX47" s="58" t="s">
        <v>248</v>
      </c>
      <c r="JPY47" s="58" t="s">
        <v>249</v>
      </c>
      <c r="JPZ47" s="58" t="s">
        <v>250</v>
      </c>
      <c r="JQA47" s="58" t="s">
        <v>247</v>
      </c>
      <c r="JQB47" s="58" t="s">
        <v>248</v>
      </c>
      <c r="JQC47" s="58" t="s">
        <v>249</v>
      </c>
      <c r="JQD47" s="58" t="s">
        <v>250</v>
      </c>
      <c r="JQE47" s="58" t="s">
        <v>247</v>
      </c>
      <c r="JQF47" s="58" t="s">
        <v>248</v>
      </c>
      <c r="JQG47" s="58" t="s">
        <v>249</v>
      </c>
      <c r="JQH47" s="58" t="s">
        <v>250</v>
      </c>
      <c r="JQI47" s="58" t="s">
        <v>247</v>
      </c>
      <c r="JQJ47" s="58" t="s">
        <v>248</v>
      </c>
      <c r="JQK47" s="58" t="s">
        <v>249</v>
      </c>
      <c r="JQL47" s="58" t="s">
        <v>250</v>
      </c>
      <c r="JQM47" s="58" t="s">
        <v>247</v>
      </c>
      <c r="JQN47" s="58" t="s">
        <v>248</v>
      </c>
      <c r="JQO47" s="58" t="s">
        <v>249</v>
      </c>
      <c r="JQP47" s="58" t="s">
        <v>250</v>
      </c>
      <c r="JQQ47" s="58" t="s">
        <v>247</v>
      </c>
      <c r="JQR47" s="58" t="s">
        <v>248</v>
      </c>
      <c r="JQS47" s="58" t="s">
        <v>249</v>
      </c>
      <c r="JQT47" s="58" t="s">
        <v>250</v>
      </c>
      <c r="JQU47" s="58" t="s">
        <v>247</v>
      </c>
      <c r="JQV47" s="58" t="s">
        <v>248</v>
      </c>
      <c r="JQW47" s="58" t="s">
        <v>249</v>
      </c>
      <c r="JQX47" s="58" t="s">
        <v>250</v>
      </c>
      <c r="JQY47" s="58" t="s">
        <v>247</v>
      </c>
      <c r="JQZ47" s="58" t="s">
        <v>248</v>
      </c>
      <c r="JRA47" s="58" t="s">
        <v>249</v>
      </c>
      <c r="JRB47" s="58" t="s">
        <v>250</v>
      </c>
      <c r="JRC47" s="58" t="s">
        <v>247</v>
      </c>
      <c r="JRD47" s="58" t="s">
        <v>248</v>
      </c>
      <c r="JRE47" s="58" t="s">
        <v>249</v>
      </c>
      <c r="JRF47" s="58" t="s">
        <v>250</v>
      </c>
      <c r="JRG47" s="58" t="s">
        <v>247</v>
      </c>
      <c r="JRH47" s="58" t="s">
        <v>248</v>
      </c>
      <c r="JRI47" s="58" t="s">
        <v>249</v>
      </c>
      <c r="JRJ47" s="58" t="s">
        <v>250</v>
      </c>
      <c r="JRK47" s="58" t="s">
        <v>247</v>
      </c>
      <c r="JRL47" s="58" t="s">
        <v>248</v>
      </c>
      <c r="JRM47" s="58" t="s">
        <v>249</v>
      </c>
      <c r="JRN47" s="58" t="s">
        <v>250</v>
      </c>
      <c r="JRO47" s="58" t="s">
        <v>247</v>
      </c>
      <c r="JRP47" s="58" t="s">
        <v>248</v>
      </c>
      <c r="JRQ47" s="58" t="s">
        <v>249</v>
      </c>
      <c r="JRR47" s="58" t="s">
        <v>250</v>
      </c>
      <c r="JRS47" s="58" t="s">
        <v>247</v>
      </c>
      <c r="JRT47" s="58" t="s">
        <v>248</v>
      </c>
      <c r="JRU47" s="58" t="s">
        <v>249</v>
      </c>
      <c r="JRV47" s="58" t="s">
        <v>250</v>
      </c>
      <c r="JRW47" s="58" t="s">
        <v>247</v>
      </c>
      <c r="JRX47" s="58" t="s">
        <v>248</v>
      </c>
      <c r="JRY47" s="58" t="s">
        <v>249</v>
      </c>
      <c r="JRZ47" s="58" t="s">
        <v>250</v>
      </c>
      <c r="JSA47" s="58" t="s">
        <v>247</v>
      </c>
      <c r="JSB47" s="58" t="s">
        <v>248</v>
      </c>
      <c r="JSC47" s="58" t="s">
        <v>249</v>
      </c>
      <c r="JSD47" s="58" t="s">
        <v>250</v>
      </c>
      <c r="JSE47" s="58" t="s">
        <v>247</v>
      </c>
      <c r="JSF47" s="58" t="s">
        <v>248</v>
      </c>
      <c r="JSG47" s="58" t="s">
        <v>249</v>
      </c>
      <c r="JSH47" s="58" t="s">
        <v>250</v>
      </c>
      <c r="JSI47" s="58" t="s">
        <v>247</v>
      </c>
      <c r="JSJ47" s="58" t="s">
        <v>248</v>
      </c>
      <c r="JSK47" s="58" t="s">
        <v>249</v>
      </c>
      <c r="JSL47" s="58" t="s">
        <v>250</v>
      </c>
      <c r="JSM47" s="58" t="s">
        <v>247</v>
      </c>
      <c r="JSN47" s="58" t="s">
        <v>248</v>
      </c>
      <c r="JSO47" s="58" t="s">
        <v>249</v>
      </c>
      <c r="JSP47" s="58" t="s">
        <v>250</v>
      </c>
      <c r="JSQ47" s="58" t="s">
        <v>247</v>
      </c>
      <c r="JSR47" s="58" t="s">
        <v>248</v>
      </c>
      <c r="JSS47" s="58" t="s">
        <v>249</v>
      </c>
      <c r="JST47" s="58" t="s">
        <v>250</v>
      </c>
      <c r="JSU47" s="58" t="s">
        <v>247</v>
      </c>
      <c r="JSV47" s="58" t="s">
        <v>248</v>
      </c>
      <c r="JSW47" s="58" t="s">
        <v>249</v>
      </c>
      <c r="JSX47" s="58" t="s">
        <v>250</v>
      </c>
      <c r="JSY47" s="58" t="s">
        <v>247</v>
      </c>
      <c r="JSZ47" s="58" t="s">
        <v>248</v>
      </c>
      <c r="JTA47" s="58" t="s">
        <v>249</v>
      </c>
      <c r="JTB47" s="58" t="s">
        <v>250</v>
      </c>
      <c r="JTC47" s="58" t="s">
        <v>247</v>
      </c>
      <c r="JTD47" s="58" t="s">
        <v>248</v>
      </c>
      <c r="JTE47" s="58" t="s">
        <v>249</v>
      </c>
      <c r="JTF47" s="58" t="s">
        <v>250</v>
      </c>
      <c r="JTG47" s="58" t="s">
        <v>247</v>
      </c>
      <c r="JTH47" s="58" t="s">
        <v>248</v>
      </c>
      <c r="JTI47" s="58" t="s">
        <v>249</v>
      </c>
      <c r="JTJ47" s="58" t="s">
        <v>250</v>
      </c>
      <c r="JTK47" s="58" t="s">
        <v>247</v>
      </c>
      <c r="JTL47" s="58" t="s">
        <v>248</v>
      </c>
      <c r="JTM47" s="58" t="s">
        <v>249</v>
      </c>
      <c r="JTN47" s="58" t="s">
        <v>250</v>
      </c>
      <c r="JTO47" s="58" t="s">
        <v>247</v>
      </c>
      <c r="JTP47" s="58" t="s">
        <v>248</v>
      </c>
      <c r="JTQ47" s="58" t="s">
        <v>249</v>
      </c>
      <c r="JTR47" s="58" t="s">
        <v>250</v>
      </c>
      <c r="JTS47" s="58" t="s">
        <v>247</v>
      </c>
      <c r="JTT47" s="58" t="s">
        <v>248</v>
      </c>
      <c r="JTU47" s="58" t="s">
        <v>249</v>
      </c>
      <c r="JTV47" s="58" t="s">
        <v>250</v>
      </c>
      <c r="JTW47" s="58" t="s">
        <v>247</v>
      </c>
      <c r="JTX47" s="58" t="s">
        <v>248</v>
      </c>
      <c r="JTY47" s="58" t="s">
        <v>249</v>
      </c>
      <c r="JTZ47" s="58" t="s">
        <v>250</v>
      </c>
      <c r="JUA47" s="58" t="s">
        <v>247</v>
      </c>
      <c r="JUB47" s="58" t="s">
        <v>248</v>
      </c>
      <c r="JUC47" s="58" t="s">
        <v>249</v>
      </c>
      <c r="JUD47" s="58" t="s">
        <v>250</v>
      </c>
      <c r="JUE47" s="58" t="s">
        <v>247</v>
      </c>
      <c r="JUF47" s="58" t="s">
        <v>248</v>
      </c>
      <c r="JUG47" s="58" t="s">
        <v>249</v>
      </c>
      <c r="JUH47" s="58" t="s">
        <v>250</v>
      </c>
      <c r="JUI47" s="58" t="s">
        <v>247</v>
      </c>
      <c r="JUJ47" s="58" t="s">
        <v>248</v>
      </c>
      <c r="JUK47" s="58" t="s">
        <v>249</v>
      </c>
      <c r="JUL47" s="58" t="s">
        <v>250</v>
      </c>
      <c r="JUM47" s="58" t="s">
        <v>247</v>
      </c>
      <c r="JUN47" s="58" t="s">
        <v>248</v>
      </c>
      <c r="JUO47" s="58" t="s">
        <v>249</v>
      </c>
      <c r="JUP47" s="58" t="s">
        <v>250</v>
      </c>
      <c r="JUQ47" s="58" t="s">
        <v>247</v>
      </c>
      <c r="JUR47" s="58" t="s">
        <v>248</v>
      </c>
      <c r="JUS47" s="58" t="s">
        <v>249</v>
      </c>
      <c r="JUT47" s="58" t="s">
        <v>250</v>
      </c>
      <c r="JUU47" s="58" t="s">
        <v>247</v>
      </c>
      <c r="JUV47" s="58" t="s">
        <v>248</v>
      </c>
      <c r="JUW47" s="58" t="s">
        <v>249</v>
      </c>
      <c r="JUX47" s="58" t="s">
        <v>250</v>
      </c>
      <c r="JUY47" s="58" t="s">
        <v>247</v>
      </c>
      <c r="JUZ47" s="58" t="s">
        <v>248</v>
      </c>
      <c r="JVA47" s="58" t="s">
        <v>249</v>
      </c>
      <c r="JVB47" s="58" t="s">
        <v>250</v>
      </c>
      <c r="JVC47" s="58" t="s">
        <v>247</v>
      </c>
      <c r="JVD47" s="58" t="s">
        <v>248</v>
      </c>
      <c r="JVE47" s="58" t="s">
        <v>249</v>
      </c>
      <c r="JVF47" s="58" t="s">
        <v>250</v>
      </c>
      <c r="JVG47" s="58" t="s">
        <v>247</v>
      </c>
      <c r="JVH47" s="58" t="s">
        <v>248</v>
      </c>
      <c r="JVI47" s="58" t="s">
        <v>249</v>
      </c>
      <c r="JVJ47" s="58" t="s">
        <v>250</v>
      </c>
      <c r="JVK47" s="58" t="s">
        <v>247</v>
      </c>
      <c r="JVL47" s="58" t="s">
        <v>248</v>
      </c>
      <c r="JVM47" s="58" t="s">
        <v>249</v>
      </c>
      <c r="JVN47" s="58" t="s">
        <v>250</v>
      </c>
      <c r="JVO47" s="58" t="s">
        <v>247</v>
      </c>
      <c r="JVP47" s="58" t="s">
        <v>248</v>
      </c>
      <c r="JVQ47" s="58" t="s">
        <v>249</v>
      </c>
      <c r="JVR47" s="58" t="s">
        <v>250</v>
      </c>
      <c r="JVS47" s="58" t="s">
        <v>247</v>
      </c>
      <c r="JVT47" s="58" t="s">
        <v>248</v>
      </c>
      <c r="JVU47" s="58" t="s">
        <v>249</v>
      </c>
      <c r="JVV47" s="58" t="s">
        <v>250</v>
      </c>
      <c r="JVW47" s="58" t="s">
        <v>247</v>
      </c>
      <c r="JVX47" s="58" t="s">
        <v>248</v>
      </c>
      <c r="JVY47" s="58" t="s">
        <v>249</v>
      </c>
      <c r="JVZ47" s="58" t="s">
        <v>250</v>
      </c>
      <c r="JWA47" s="58" t="s">
        <v>247</v>
      </c>
      <c r="JWB47" s="58" t="s">
        <v>248</v>
      </c>
      <c r="JWC47" s="58" t="s">
        <v>249</v>
      </c>
      <c r="JWD47" s="58" t="s">
        <v>250</v>
      </c>
      <c r="JWE47" s="58" t="s">
        <v>247</v>
      </c>
      <c r="JWF47" s="58" t="s">
        <v>248</v>
      </c>
      <c r="JWG47" s="58" t="s">
        <v>249</v>
      </c>
      <c r="JWH47" s="58" t="s">
        <v>250</v>
      </c>
      <c r="JWI47" s="58" t="s">
        <v>247</v>
      </c>
      <c r="JWJ47" s="58" t="s">
        <v>248</v>
      </c>
      <c r="JWK47" s="58" t="s">
        <v>249</v>
      </c>
      <c r="JWL47" s="58" t="s">
        <v>250</v>
      </c>
      <c r="JWM47" s="58" t="s">
        <v>247</v>
      </c>
      <c r="JWN47" s="58" t="s">
        <v>248</v>
      </c>
      <c r="JWO47" s="58" t="s">
        <v>249</v>
      </c>
      <c r="JWP47" s="58" t="s">
        <v>250</v>
      </c>
      <c r="JWQ47" s="58" t="s">
        <v>247</v>
      </c>
      <c r="JWR47" s="58" t="s">
        <v>248</v>
      </c>
      <c r="JWS47" s="58" t="s">
        <v>249</v>
      </c>
      <c r="JWT47" s="58" t="s">
        <v>250</v>
      </c>
      <c r="JWU47" s="58" t="s">
        <v>247</v>
      </c>
      <c r="JWV47" s="58" t="s">
        <v>248</v>
      </c>
      <c r="JWW47" s="58" t="s">
        <v>249</v>
      </c>
      <c r="JWX47" s="58" t="s">
        <v>250</v>
      </c>
      <c r="JWY47" s="58" t="s">
        <v>247</v>
      </c>
      <c r="JWZ47" s="58" t="s">
        <v>248</v>
      </c>
      <c r="JXA47" s="58" t="s">
        <v>249</v>
      </c>
      <c r="JXB47" s="58" t="s">
        <v>250</v>
      </c>
      <c r="JXC47" s="58" t="s">
        <v>247</v>
      </c>
      <c r="JXD47" s="58" t="s">
        <v>248</v>
      </c>
      <c r="JXE47" s="58" t="s">
        <v>249</v>
      </c>
      <c r="JXF47" s="58" t="s">
        <v>250</v>
      </c>
      <c r="JXG47" s="58" t="s">
        <v>247</v>
      </c>
      <c r="JXH47" s="58" t="s">
        <v>248</v>
      </c>
      <c r="JXI47" s="58" t="s">
        <v>249</v>
      </c>
      <c r="JXJ47" s="58" t="s">
        <v>250</v>
      </c>
      <c r="JXK47" s="58" t="s">
        <v>247</v>
      </c>
      <c r="JXL47" s="58" t="s">
        <v>248</v>
      </c>
      <c r="JXM47" s="58" t="s">
        <v>249</v>
      </c>
      <c r="JXN47" s="58" t="s">
        <v>250</v>
      </c>
      <c r="JXO47" s="58" t="s">
        <v>247</v>
      </c>
      <c r="JXP47" s="58" t="s">
        <v>248</v>
      </c>
      <c r="JXQ47" s="58" t="s">
        <v>249</v>
      </c>
      <c r="JXR47" s="58" t="s">
        <v>250</v>
      </c>
      <c r="JXS47" s="58" t="s">
        <v>247</v>
      </c>
      <c r="JXT47" s="58" t="s">
        <v>248</v>
      </c>
      <c r="JXU47" s="58" t="s">
        <v>249</v>
      </c>
      <c r="JXV47" s="58" t="s">
        <v>250</v>
      </c>
      <c r="JXW47" s="58" t="s">
        <v>247</v>
      </c>
      <c r="JXX47" s="58" t="s">
        <v>248</v>
      </c>
      <c r="JXY47" s="58" t="s">
        <v>249</v>
      </c>
      <c r="JXZ47" s="58" t="s">
        <v>250</v>
      </c>
      <c r="JYA47" s="58" t="s">
        <v>247</v>
      </c>
      <c r="JYB47" s="58" t="s">
        <v>248</v>
      </c>
      <c r="JYC47" s="58" t="s">
        <v>249</v>
      </c>
      <c r="JYD47" s="58" t="s">
        <v>250</v>
      </c>
      <c r="JYE47" s="58" t="s">
        <v>247</v>
      </c>
      <c r="JYF47" s="58" t="s">
        <v>248</v>
      </c>
      <c r="JYG47" s="58" t="s">
        <v>249</v>
      </c>
      <c r="JYH47" s="58" t="s">
        <v>250</v>
      </c>
      <c r="JYI47" s="58" t="s">
        <v>247</v>
      </c>
      <c r="JYJ47" s="58" t="s">
        <v>248</v>
      </c>
      <c r="JYK47" s="58" t="s">
        <v>249</v>
      </c>
      <c r="JYL47" s="58" t="s">
        <v>250</v>
      </c>
      <c r="JYM47" s="58" t="s">
        <v>247</v>
      </c>
      <c r="JYN47" s="58" t="s">
        <v>248</v>
      </c>
      <c r="JYO47" s="58" t="s">
        <v>249</v>
      </c>
      <c r="JYP47" s="58" t="s">
        <v>250</v>
      </c>
      <c r="JYQ47" s="58" t="s">
        <v>247</v>
      </c>
      <c r="JYR47" s="58" t="s">
        <v>248</v>
      </c>
      <c r="JYS47" s="58" t="s">
        <v>249</v>
      </c>
      <c r="JYT47" s="58" t="s">
        <v>250</v>
      </c>
      <c r="JYU47" s="58" t="s">
        <v>247</v>
      </c>
      <c r="JYV47" s="58" t="s">
        <v>248</v>
      </c>
      <c r="JYW47" s="58" t="s">
        <v>249</v>
      </c>
      <c r="JYX47" s="58" t="s">
        <v>250</v>
      </c>
      <c r="JYY47" s="58" t="s">
        <v>247</v>
      </c>
      <c r="JYZ47" s="58" t="s">
        <v>248</v>
      </c>
      <c r="JZA47" s="58" t="s">
        <v>249</v>
      </c>
      <c r="JZB47" s="58" t="s">
        <v>250</v>
      </c>
      <c r="JZC47" s="58" t="s">
        <v>247</v>
      </c>
      <c r="JZD47" s="58" t="s">
        <v>248</v>
      </c>
      <c r="JZE47" s="58" t="s">
        <v>249</v>
      </c>
      <c r="JZF47" s="58" t="s">
        <v>250</v>
      </c>
      <c r="JZG47" s="58" t="s">
        <v>247</v>
      </c>
      <c r="JZH47" s="58" t="s">
        <v>248</v>
      </c>
      <c r="JZI47" s="58" t="s">
        <v>249</v>
      </c>
      <c r="JZJ47" s="58" t="s">
        <v>250</v>
      </c>
      <c r="JZK47" s="58" t="s">
        <v>247</v>
      </c>
      <c r="JZL47" s="58" t="s">
        <v>248</v>
      </c>
      <c r="JZM47" s="58" t="s">
        <v>249</v>
      </c>
      <c r="JZN47" s="58" t="s">
        <v>250</v>
      </c>
      <c r="JZO47" s="58" t="s">
        <v>247</v>
      </c>
      <c r="JZP47" s="58" t="s">
        <v>248</v>
      </c>
      <c r="JZQ47" s="58" t="s">
        <v>249</v>
      </c>
      <c r="JZR47" s="58" t="s">
        <v>250</v>
      </c>
      <c r="JZS47" s="58" t="s">
        <v>247</v>
      </c>
      <c r="JZT47" s="58" t="s">
        <v>248</v>
      </c>
      <c r="JZU47" s="58" t="s">
        <v>249</v>
      </c>
      <c r="JZV47" s="58" t="s">
        <v>250</v>
      </c>
      <c r="JZW47" s="58" t="s">
        <v>247</v>
      </c>
      <c r="JZX47" s="58" t="s">
        <v>248</v>
      </c>
      <c r="JZY47" s="58" t="s">
        <v>249</v>
      </c>
      <c r="JZZ47" s="58" t="s">
        <v>250</v>
      </c>
      <c r="KAA47" s="58" t="s">
        <v>247</v>
      </c>
      <c r="KAB47" s="58" t="s">
        <v>248</v>
      </c>
      <c r="KAC47" s="58" t="s">
        <v>249</v>
      </c>
      <c r="KAD47" s="58" t="s">
        <v>250</v>
      </c>
      <c r="KAE47" s="58" t="s">
        <v>247</v>
      </c>
      <c r="KAF47" s="58" t="s">
        <v>248</v>
      </c>
      <c r="KAG47" s="58" t="s">
        <v>249</v>
      </c>
      <c r="KAH47" s="58" t="s">
        <v>250</v>
      </c>
      <c r="KAI47" s="58" t="s">
        <v>247</v>
      </c>
      <c r="KAJ47" s="58" t="s">
        <v>248</v>
      </c>
      <c r="KAK47" s="58" t="s">
        <v>249</v>
      </c>
      <c r="KAL47" s="58" t="s">
        <v>250</v>
      </c>
      <c r="KAM47" s="58" t="s">
        <v>247</v>
      </c>
      <c r="KAN47" s="58" t="s">
        <v>248</v>
      </c>
      <c r="KAO47" s="58" t="s">
        <v>249</v>
      </c>
      <c r="KAP47" s="58" t="s">
        <v>250</v>
      </c>
      <c r="KAQ47" s="58" t="s">
        <v>247</v>
      </c>
      <c r="KAR47" s="58" t="s">
        <v>248</v>
      </c>
      <c r="KAS47" s="58" t="s">
        <v>249</v>
      </c>
      <c r="KAT47" s="58" t="s">
        <v>250</v>
      </c>
      <c r="KAU47" s="58" t="s">
        <v>247</v>
      </c>
      <c r="KAV47" s="58" t="s">
        <v>248</v>
      </c>
      <c r="KAW47" s="58" t="s">
        <v>249</v>
      </c>
      <c r="KAX47" s="58" t="s">
        <v>250</v>
      </c>
      <c r="KAY47" s="58" t="s">
        <v>247</v>
      </c>
      <c r="KAZ47" s="58" t="s">
        <v>248</v>
      </c>
      <c r="KBA47" s="58" t="s">
        <v>249</v>
      </c>
      <c r="KBB47" s="58" t="s">
        <v>250</v>
      </c>
      <c r="KBC47" s="58" t="s">
        <v>247</v>
      </c>
      <c r="KBD47" s="58" t="s">
        <v>248</v>
      </c>
      <c r="KBE47" s="58" t="s">
        <v>249</v>
      </c>
      <c r="KBF47" s="58" t="s">
        <v>250</v>
      </c>
      <c r="KBG47" s="58" t="s">
        <v>247</v>
      </c>
      <c r="KBH47" s="58" t="s">
        <v>248</v>
      </c>
      <c r="KBI47" s="58" t="s">
        <v>249</v>
      </c>
      <c r="KBJ47" s="58" t="s">
        <v>250</v>
      </c>
      <c r="KBK47" s="58" t="s">
        <v>247</v>
      </c>
      <c r="KBL47" s="58" t="s">
        <v>248</v>
      </c>
      <c r="KBM47" s="58" t="s">
        <v>249</v>
      </c>
      <c r="KBN47" s="58" t="s">
        <v>250</v>
      </c>
      <c r="KBO47" s="58" t="s">
        <v>247</v>
      </c>
      <c r="KBP47" s="58" t="s">
        <v>248</v>
      </c>
      <c r="KBQ47" s="58" t="s">
        <v>249</v>
      </c>
      <c r="KBR47" s="58" t="s">
        <v>250</v>
      </c>
      <c r="KBS47" s="58" t="s">
        <v>247</v>
      </c>
      <c r="KBT47" s="58" t="s">
        <v>248</v>
      </c>
      <c r="KBU47" s="58" t="s">
        <v>249</v>
      </c>
      <c r="KBV47" s="58" t="s">
        <v>250</v>
      </c>
      <c r="KBW47" s="58" t="s">
        <v>247</v>
      </c>
      <c r="KBX47" s="58" t="s">
        <v>248</v>
      </c>
      <c r="KBY47" s="58" t="s">
        <v>249</v>
      </c>
      <c r="KBZ47" s="58" t="s">
        <v>250</v>
      </c>
      <c r="KCA47" s="58" t="s">
        <v>247</v>
      </c>
      <c r="KCB47" s="58" t="s">
        <v>248</v>
      </c>
      <c r="KCC47" s="58" t="s">
        <v>249</v>
      </c>
      <c r="KCD47" s="58" t="s">
        <v>250</v>
      </c>
      <c r="KCE47" s="58" t="s">
        <v>247</v>
      </c>
      <c r="KCF47" s="58" t="s">
        <v>248</v>
      </c>
      <c r="KCG47" s="58" t="s">
        <v>249</v>
      </c>
      <c r="KCH47" s="58" t="s">
        <v>250</v>
      </c>
      <c r="KCI47" s="58" t="s">
        <v>247</v>
      </c>
      <c r="KCJ47" s="58" t="s">
        <v>248</v>
      </c>
      <c r="KCK47" s="58" t="s">
        <v>249</v>
      </c>
      <c r="KCL47" s="58" t="s">
        <v>250</v>
      </c>
      <c r="KCM47" s="58" t="s">
        <v>247</v>
      </c>
      <c r="KCN47" s="58" t="s">
        <v>248</v>
      </c>
      <c r="KCO47" s="58" t="s">
        <v>249</v>
      </c>
      <c r="KCP47" s="58" t="s">
        <v>250</v>
      </c>
      <c r="KCQ47" s="58" t="s">
        <v>247</v>
      </c>
      <c r="KCR47" s="58" t="s">
        <v>248</v>
      </c>
      <c r="KCS47" s="58" t="s">
        <v>249</v>
      </c>
      <c r="KCT47" s="58" t="s">
        <v>250</v>
      </c>
      <c r="KCU47" s="58" t="s">
        <v>247</v>
      </c>
      <c r="KCV47" s="58" t="s">
        <v>248</v>
      </c>
      <c r="KCW47" s="58" t="s">
        <v>249</v>
      </c>
      <c r="KCX47" s="58" t="s">
        <v>250</v>
      </c>
      <c r="KCY47" s="58" t="s">
        <v>247</v>
      </c>
      <c r="KCZ47" s="58" t="s">
        <v>248</v>
      </c>
      <c r="KDA47" s="58" t="s">
        <v>249</v>
      </c>
      <c r="KDB47" s="58" t="s">
        <v>250</v>
      </c>
      <c r="KDC47" s="58" t="s">
        <v>247</v>
      </c>
      <c r="KDD47" s="58" t="s">
        <v>248</v>
      </c>
      <c r="KDE47" s="58" t="s">
        <v>249</v>
      </c>
      <c r="KDF47" s="58" t="s">
        <v>250</v>
      </c>
      <c r="KDG47" s="58" t="s">
        <v>247</v>
      </c>
      <c r="KDH47" s="58" t="s">
        <v>248</v>
      </c>
      <c r="KDI47" s="58" t="s">
        <v>249</v>
      </c>
      <c r="KDJ47" s="58" t="s">
        <v>250</v>
      </c>
      <c r="KDK47" s="58" t="s">
        <v>247</v>
      </c>
      <c r="KDL47" s="58" t="s">
        <v>248</v>
      </c>
      <c r="KDM47" s="58" t="s">
        <v>249</v>
      </c>
      <c r="KDN47" s="58" t="s">
        <v>250</v>
      </c>
      <c r="KDO47" s="58" t="s">
        <v>247</v>
      </c>
      <c r="KDP47" s="58" t="s">
        <v>248</v>
      </c>
      <c r="KDQ47" s="58" t="s">
        <v>249</v>
      </c>
      <c r="KDR47" s="58" t="s">
        <v>250</v>
      </c>
      <c r="KDS47" s="58" t="s">
        <v>247</v>
      </c>
      <c r="KDT47" s="58" t="s">
        <v>248</v>
      </c>
      <c r="KDU47" s="58" t="s">
        <v>249</v>
      </c>
      <c r="KDV47" s="58" t="s">
        <v>250</v>
      </c>
      <c r="KDW47" s="58" t="s">
        <v>247</v>
      </c>
      <c r="KDX47" s="58" t="s">
        <v>248</v>
      </c>
      <c r="KDY47" s="58" t="s">
        <v>249</v>
      </c>
      <c r="KDZ47" s="58" t="s">
        <v>250</v>
      </c>
      <c r="KEA47" s="58" t="s">
        <v>247</v>
      </c>
      <c r="KEB47" s="58" t="s">
        <v>248</v>
      </c>
      <c r="KEC47" s="58" t="s">
        <v>249</v>
      </c>
      <c r="KED47" s="58" t="s">
        <v>250</v>
      </c>
      <c r="KEE47" s="58" t="s">
        <v>247</v>
      </c>
      <c r="KEF47" s="58" t="s">
        <v>248</v>
      </c>
      <c r="KEG47" s="58" t="s">
        <v>249</v>
      </c>
      <c r="KEH47" s="58" t="s">
        <v>250</v>
      </c>
      <c r="KEI47" s="58" t="s">
        <v>247</v>
      </c>
      <c r="KEJ47" s="58" t="s">
        <v>248</v>
      </c>
      <c r="KEK47" s="58" t="s">
        <v>249</v>
      </c>
      <c r="KEL47" s="58" t="s">
        <v>250</v>
      </c>
      <c r="KEM47" s="58" t="s">
        <v>247</v>
      </c>
      <c r="KEN47" s="58" t="s">
        <v>248</v>
      </c>
      <c r="KEO47" s="58" t="s">
        <v>249</v>
      </c>
      <c r="KEP47" s="58" t="s">
        <v>250</v>
      </c>
      <c r="KEQ47" s="58" t="s">
        <v>247</v>
      </c>
      <c r="KER47" s="58" t="s">
        <v>248</v>
      </c>
      <c r="KES47" s="58" t="s">
        <v>249</v>
      </c>
      <c r="KET47" s="58" t="s">
        <v>250</v>
      </c>
      <c r="KEU47" s="58" t="s">
        <v>247</v>
      </c>
      <c r="KEV47" s="58" t="s">
        <v>248</v>
      </c>
      <c r="KEW47" s="58" t="s">
        <v>249</v>
      </c>
      <c r="KEX47" s="58" t="s">
        <v>250</v>
      </c>
      <c r="KEY47" s="58" t="s">
        <v>247</v>
      </c>
      <c r="KEZ47" s="58" t="s">
        <v>248</v>
      </c>
      <c r="KFA47" s="58" t="s">
        <v>249</v>
      </c>
      <c r="KFB47" s="58" t="s">
        <v>250</v>
      </c>
      <c r="KFC47" s="58" t="s">
        <v>247</v>
      </c>
      <c r="KFD47" s="58" t="s">
        <v>248</v>
      </c>
      <c r="KFE47" s="58" t="s">
        <v>249</v>
      </c>
      <c r="KFF47" s="58" t="s">
        <v>250</v>
      </c>
      <c r="KFG47" s="58" t="s">
        <v>247</v>
      </c>
      <c r="KFH47" s="58" t="s">
        <v>248</v>
      </c>
      <c r="KFI47" s="58" t="s">
        <v>249</v>
      </c>
      <c r="KFJ47" s="58" t="s">
        <v>250</v>
      </c>
      <c r="KFK47" s="58" t="s">
        <v>247</v>
      </c>
      <c r="KFL47" s="58" t="s">
        <v>248</v>
      </c>
      <c r="KFM47" s="58" t="s">
        <v>249</v>
      </c>
      <c r="KFN47" s="58" t="s">
        <v>250</v>
      </c>
      <c r="KFO47" s="58" t="s">
        <v>247</v>
      </c>
      <c r="KFP47" s="58" t="s">
        <v>248</v>
      </c>
      <c r="KFQ47" s="58" t="s">
        <v>249</v>
      </c>
      <c r="KFR47" s="58" t="s">
        <v>250</v>
      </c>
      <c r="KFS47" s="58" t="s">
        <v>247</v>
      </c>
      <c r="KFT47" s="58" t="s">
        <v>248</v>
      </c>
      <c r="KFU47" s="58" t="s">
        <v>249</v>
      </c>
      <c r="KFV47" s="58" t="s">
        <v>250</v>
      </c>
      <c r="KFW47" s="58" t="s">
        <v>247</v>
      </c>
      <c r="KFX47" s="58" t="s">
        <v>248</v>
      </c>
      <c r="KFY47" s="58" t="s">
        <v>249</v>
      </c>
      <c r="KFZ47" s="58" t="s">
        <v>250</v>
      </c>
      <c r="KGA47" s="58" t="s">
        <v>247</v>
      </c>
      <c r="KGB47" s="58" t="s">
        <v>248</v>
      </c>
      <c r="KGC47" s="58" t="s">
        <v>249</v>
      </c>
      <c r="KGD47" s="58" t="s">
        <v>250</v>
      </c>
      <c r="KGE47" s="58" t="s">
        <v>247</v>
      </c>
      <c r="KGF47" s="58" t="s">
        <v>248</v>
      </c>
      <c r="KGG47" s="58" t="s">
        <v>249</v>
      </c>
      <c r="KGH47" s="58" t="s">
        <v>250</v>
      </c>
      <c r="KGI47" s="58" t="s">
        <v>247</v>
      </c>
      <c r="KGJ47" s="58" t="s">
        <v>248</v>
      </c>
      <c r="KGK47" s="58" t="s">
        <v>249</v>
      </c>
      <c r="KGL47" s="58" t="s">
        <v>250</v>
      </c>
      <c r="KGM47" s="58" t="s">
        <v>247</v>
      </c>
      <c r="KGN47" s="58" t="s">
        <v>248</v>
      </c>
      <c r="KGO47" s="58" t="s">
        <v>249</v>
      </c>
      <c r="KGP47" s="58" t="s">
        <v>250</v>
      </c>
      <c r="KGQ47" s="58" t="s">
        <v>247</v>
      </c>
      <c r="KGR47" s="58" t="s">
        <v>248</v>
      </c>
      <c r="KGS47" s="58" t="s">
        <v>249</v>
      </c>
      <c r="KGT47" s="58" t="s">
        <v>250</v>
      </c>
      <c r="KGU47" s="58" t="s">
        <v>247</v>
      </c>
      <c r="KGV47" s="58" t="s">
        <v>248</v>
      </c>
      <c r="KGW47" s="58" t="s">
        <v>249</v>
      </c>
      <c r="KGX47" s="58" t="s">
        <v>250</v>
      </c>
      <c r="KGY47" s="58" t="s">
        <v>247</v>
      </c>
      <c r="KGZ47" s="58" t="s">
        <v>248</v>
      </c>
      <c r="KHA47" s="58" t="s">
        <v>249</v>
      </c>
      <c r="KHB47" s="58" t="s">
        <v>250</v>
      </c>
      <c r="KHC47" s="58" t="s">
        <v>247</v>
      </c>
      <c r="KHD47" s="58" t="s">
        <v>248</v>
      </c>
      <c r="KHE47" s="58" t="s">
        <v>249</v>
      </c>
      <c r="KHF47" s="58" t="s">
        <v>250</v>
      </c>
      <c r="KHG47" s="58" t="s">
        <v>247</v>
      </c>
      <c r="KHH47" s="58" t="s">
        <v>248</v>
      </c>
      <c r="KHI47" s="58" t="s">
        <v>249</v>
      </c>
      <c r="KHJ47" s="58" t="s">
        <v>250</v>
      </c>
      <c r="KHK47" s="58" t="s">
        <v>247</v>
      </c>
      <c r="KHL47" s="58" t="s">
        <v>248</v>
      </c>
      <c r="KHM47" s="58" t="s">
        <v>249</v>
      </c>
      <c r="KHN47" s="58" t="s">
        <v>250</v>
      </c>
      <c r="KHO47" s="58" t="s">
        <v>247</v>
      </c>
      <c r="KHP47" s="58" t="s">
        <v>248</v>
      </c>
      <c r="KHQ47" s="58" t="s">
        <v>249</v>
      </c>
      <c r="KHR47" s="58" t="s">
        <v>250</v>
      </c>
      <c r="KHS47" s="58" t="s">
        <v>247</v>
      </c>
      <c r="KHT47" s="58" t="s">
        <v>248</v>
      </c>
      <c r="KHU47" s="58" t="s">
        <v>249</v>
      </c>
      <c r="KHV47" s="58" t="s">
        <v>250</v>
      </c>
      <c r="KHW47" s="58" t="s">
        <v>247</v>
      </c>
      <c r="KHX47" s="58" t="s">
        <v>248</v>
      </c>
      <c r="KHY47" s="58" t="s">
        <v>249</v>
      </c>
      <c r="KHZ47" s="58" t="s">
        <v>250</v>
      </c>
      <c r="KIA47" s="58" t="s">
        <v>247</v>
      </c>
      <c r="KIB47" s="58" t="s">
        <v>248</v>
      </c>
      <c r="KIC47" s="58" t="s">
        <v>249</v>
      </c>
      <c r="KID47" s="58" t="s">
        <v>250</v>
      </c>
      <c r="KIE47" s="58" t="s">
        <v>247</v>
      </c>
      <c r="KIF47" s="58" t="s">
        <v>248</v>
      </c>
      <c r="KIG47" s="58" t="s">
        <v>249</v>
      </c>
      <c r="KIH47" s="58" t="s">
        <v>250</v>
      </c>
      <c r="KII47" s="58" t="s">
        <v>247</v>
      </c>
      <c r="KIJ47" s="58" t="s">
        <v>248</v>
      </c>
      <c r="KIK47" s="58" t="s">
        <v>249</v>
      </c>
      <c r="KIL47" s="58" t="s">
        <v>250</v>
      </c>
      <c r="KIM47" s="58" t="s">
        <v>247</v>
      </c>
      <c r="KIN47" s="58" t="s">
        <v>248</v>
      </c>
      <c r="KIO47" s="58" t="s">
        <v>249</v>
      </c>
      <c r="KIP47" s="58" t="s">
        <v>250</v>
      </c>
      <c r="KIQ47" s="58" t="s">
        <v>247</v>
      </c>
      <c r="KIR47" s="58" t="s">
        <v>248</v>
      </c>
      <c r="KIS47" s="58" t="s">
        <v>249</v>
      </c>
      <c r="KIT47" s="58" t="s">
        <v>250</v>
      </c>
      <c r="KIU47" s="58" t="s">
        <v>247</v>
      </c>
      <c r="KIV47" s="58" t="s">
        <v>248</v>
      </c>
      <c r="KIW47" s="58" t="s">
        <v>249</v>
      </c>
      <c r="KIX47" s="58" t="s">
        <v>250</v>
      </c>
      <c r="KIY47" s="58" t="s">
        <v>247</v>
      </c>
      <c r="KIZ47" s="58" t="s">
        <v>248</v>
      </c>
      <c r="KJA47" s="58" t="s">
        <v>249</v>
      </c>
      <c r="KJB47" s="58" t="s">
        <v>250</v>
      </c>
      <c r="KJC47" s="58" t="s">
        <v>247</v>
      </c>
      <c r="KJD47" s="58" t="s">
        <v>248</v>
      </c>
      <c r="KJE47" s="58" t="s">
        <v>249</v>
      </c>
      <c r="KJF47" s="58" t="s">
        <v>250</v>
      </c>
      <c r="KJG47" s="58" t="s">
        <v>247</v>
      </c>
      <c r="KJH47" s="58" t="s">
        <v>248</v>
      </c>
      <c r="KJI47" s="58" t="s">
        <v>249</v>
      </c>
      <c r="KJJ47" s="58" t="s">
        <v>250</v>
      </c>
      <c r="KJK47" s="58" t="s">
        <v>247</v>
      </c>
      <c r="KJL47" s="58" t="s">
        <v>248</v>
      </c>
      <c r="KJM47" s="58" t="s">
        <v>249</v>
      </c>
      <c r="KJN47" s="58" t="s">
        <v>250</v>
      </c>
      <c r="KJO47" s="58" t="s">
        <v>247</v>
      </c>
      <c r="KJP47" s="58" t="s">
        <v>248</v>
      </c>
      <c r="KJQ47" s="58" t="s">
        <v>249</v>
      </c>
      <c r="KJR47" s="58" t="s">
        <v>250</v>
      </c>
      <c r="KJS47" s="58" t="s">
        <v>247</v>
      </c>
      <c r="KJT47" s="58" t="s">
        <v>248</v>
      </c>
      <c r="KJU47" s="58" t="s">
        <v>249</v>
      </c>
      <c r="KJV47" s="58" t="s">
        <v>250</v>
      </c>
      <c r="KJW47" s="58" t="s">
        <v>247</v>
      </c>
      <c r="KJX47" s="58" t="s">
        <v>248</v>
      </c>
      <c r="KJY47" s="58" t="s">
        <v>249</v>
      </c>
      <c r="KJZ47" s="58" t="s">
        <v>250</v>
      </c>
      <c r="KKA47" s="58" t="s">
        <v>247</v>
      </c>
      <c r="KKB47" s="58" t="s">
        <v>248</v>
      </c>
      <c r="KKC47" s="58" t="s">
        <v>249</v>
      </c>
      <c r="KKD47" s="58" t="s">
        <v>250</v>
      </c>
      <c r="KKE47" s="58" t="s">
        <v>247</v>
      </c>
      <c r="KKF47" s="58" t="s">
        <v>248</v>
      </c>
      <c r="KKG47" s="58" t="s">
        <v>249</v>
      </c>
      <c r="KKH47" s="58" t="s">
        <v>250</v>
      </c>
      <c r="KKI47" s="58" t="s">
        <v>247</v>
      </c>
      <c r="KKJ47" s="58" t="s">
        <v>248</v>
      </c>
      <c r="KKK47" s="58" t="s">
        <v>249</v>
      </c>
      <c r="KKL47" s="58" t="s">
        <v>250</v>
      </c>
      <c r="KKM47" s="58" t="s">
        <v>247</v>
      </c>
      <c r="KKN47" s="58" t="s">
        <v>248</v>
      </c>
      <c r="KKO47" s="58" t="s">
        <v>249</v>
      </c>
      <c r="KKP47" s="58" t="s">
        <v>250</v>
      </c>
      <c r="KKQ47" s="58" t="s">
        <v>247</v>
      </c>
      <c r="KKR47" s="58" t="s">
        <v>248</v>
      </c>
      <c r="KKS47" s="58" t="s">
        <v>249</v>
      </c>
      <c r="KKT47" s="58" t="s">
        <v>250</v>
      </c>
      <c r="KKU47" s="58" t="s">
        <v>247</v>
      </c>
      <c r="KKV47" s="58" t="s">
        <v>248</v>
      </c>
      <c r="KKW47" s="58" t="s">
        <v>249</v>
      </c>
      <c r="KKX47" s="58" t="s">
        <v>250</v>
      </c>
      <c r="KKY47" s="58" t="s">
        <v>247</v>
      </c>
      <c r="KKZ47" s="58" t="s">
        <v>248</v>
      </c>
      <c r="KLA47" s="58" t="s">
        <v>249</v>
      </c>
      <c r="KLB47" s="58" t="s">
        <v>250</v>
      </c>
      <c r="KLC47" s="58" t="s">
        <v>247</v>
      </c>
      <c r="KLD47" s="58" t="s">
        <v>248</v>
      </c>
      <c r="KLE47" s="58" t="s">
        <v>249</v>
      </c>
      <c r="KLF47" s="58" t="s">
        <v>250</v>
      </c>
      <c r="KLG47" s="58" t="s">
        <v>247</v>
      </c>
      <c r="KLH47" s="58" t="s">
        <v>248</v>
      </c>
      <c r="KLI47" s="58" t="s">
        <v>249</v>
      </c>
      <c r="KLJ47" s="58" t="s">
        <v>250</v>
      </c>
      <c r="KLK47" s="58" t="s">
        <v>247</v>
      </c>
      <c r="KLL47" s="58" t="s">
        <v>248</v>
      </c>
      <c r="KLM47" s="58" t="s">
        <v>249</v>
      </c>
      <c r="KLN47" s="58" t="s">
        <v>250</v>
      </c>
      <c r="KLO47" s="58" t="s">
        <v>247</v>
      </c>
      <c r="KLP47" s="58" t="s">
        <v>248</v>
      </c>
      <c r="KLQ47" s="58" t="s">
        <v>249</v>
      </c>
      <c r="KLR47" s="58" t="s">
        <v>250</v>
      </c>
      <c r="KLS47" s="58" t="s">
        <v>247</v>
      </c>
      <c r="KLT47" s="58" t="s">
        <v>248</v>
      </c>
      <c r="KLU47" s="58" t="s">
        <v>249</v>
      </c>
      <c r="KLV47" s="58" t="s">
        <v>250</v>
      </c>
      <c r="KLW47" s="58" t="s">
        <v>247</v>
      </c>
      <c r="KLX47" s="58" t="s">
        <v>248</v>
      </c>
      <c r="KLY47" s="58" t="s">
        <v>249</v>
      </c>
      <c r="KLZ47" s="58" t="s">
        <v>250</v>
      </c>
      <c r="KMA47" s="58" t="s">
        <v>247</v>
      </c>
      <c r="KMB47" s="58" t="s">
        <v>248</v>
      </c>
      <c r="KMC47" s="58" t="s">
        <v>249</v>
      </c>
      <c r="KMD47" s="58" t="s">
        <v>250</v>
      </c>
      <c r="KME47" s="58" t="s">
        <v>247</v>
      </c>
      <c r="KMF47" s="58" t="s">
        <v>248</v>
      </c>
      <c r="KMG47" s="58" t="s">
        <v>249</v>
      </c>
      <c r="KMH47" s="58" t="s">
        <v>250</v>
      </c>
      <c r="KMI47" s="58" t="s">
        <v>247</v>
      </c>
      <c r="KMJ47" s="58" t="s">
        <v>248</v>
      </c>
      <c r="KMK47" s="58" t="s">
        <v>249</v>
      </c>
      <c r="KML47" s="58" t="s">
        <v>250</v>
      </c>
      <c r="KMM47" s="58" t="s">
        <v>247</v>
      </c>
      <c r="KMN47" s="58" t="s">
        <v>248</v>
      </c>
      <c r="KMO47" s="58" t="s">
        <v>249</v>
      </c>
      <c r="KMP47" s="58" t="s">
        <v>250</v>
      </c>
      <c r="KMQ47" s="58" t="s">
        <v>247</v>
      </c>
      <c r="KMR47" s="58" t="s">
        <v>248</v>
      </c>
      <c r="KMS47" s="58" t="s">
        <v>249</v>
      </c>
      <c r="KMT47" s="58" t="s">
        <v>250</v>
      </c>
      <c r="KMU47" s="58" t="s">
        <v>247</v>
      </c>
      <c r="KMV47" s="58" t="s">
        <v>248</v>
      </c>
      <c r="KMW47" s="58" t="s">
        <v>249</v>
      </c>
      <c r="KMX47" s="58" t="s">
        <v>250</v>
      </c>
      <c r="KMY47" s="58" t="s">
        <v>247</v>
      </c>
      <c r="KMZ47" s="58" t="s">
        <v>248</v>
      </c>
      <c r="KNA47" s="58" t="s">
        <v>249</v>
      </c>
      <c r="KNB47" s="58" t="s">
        <v>250</v>
      </c>
      <c r="KNC47" s="58" t="s">
        <v>247</v>
      </c>
      <c r="KND47" s="58" t="s">
        <v>248</v>
      </c>
      <c r="KNE47" s="58" t="s">
        <v>249</v>
      </c>
      <c r="KNF47" s="58" t="s">
        <v>250</v>
      </c>
      <c r="KNG47" s="58" t="s">
        <v>247</v>
      </c>
      <c r="KNH47" s="58" t="s">
        <v>248</v>
      </c>
      <c r="KNI47" s="58" t="s">
        <v>249</v>
      </c>
      <c r="KNJ47" s="58" t="s">
        <v>250</v>
      </c>
      <c r="KNK47" s="58" t="s">
        <v>247</v>
      </c>
      <c r="KNL47" s="58" t="s">
        <v>248</v>
      </c>
      <c r="KNM47" s="58" t="s">
        <v>249</v>
      </c>
      <c r="KNN47" s="58" t="s">
        <v>250</v>
      </c>
      <c r="KNO47" s="58" t="s">
        <v>247</v>
      </c>
      <c r="KNP47" s="58" t="s">
        <v>248</v>
      </c>
      <c r="KNQ47" s="58" t="s">
        <v>249</v>
      </c>
      <c r="KNR47" s="58" t="s">
        <v>250</v>
      </c>
      <c r="KNS47" s="58" t="s">
        <v>247</v>
      </c>
      <c r="KNT47" s="58" t="s">
        <v>248</v>
      </c>
      <c r="KNU47" s="58" t="s">
        <v>249</v>
      </c>
      <c r="KNV47" s="58" t="s">
        <v>250</v>
      </c>
      <c r="KNW47" s="58" t="s">
        <v>247</v>
      </c>
      <c r="KNX47" s="58" t="s">
        <v>248</v>
      </c>
      <c r="KNY47" s="58" t="s">
        <v>249</v>
      </c>
      <c r="KNZ47" s="58" t="s">
        <v>250</v>
      </c>
      <c r="KOA47" s="58" t="s">
        <v>247</v>
      </c>
      <c r="KOB47" s="58" t="s">
        <v>248</v>
      </c>
      <c r="KOC47" s="58" t="s">
        <v>249</v>
      </c>
      <c r="KOD47" s="58" t="s">
        <v>250</v>
      </c>
      <c r="KOE47" s="58" t="s">
        <v>247</v>
      </c>
      <c r="KOF47" s="58" t="s">
        <v>248</v>
      </c>
      <c r="KOG47" s="58" t="s">
        <v>249</v>
      </c>
      <c r="KOH47" s="58" t="s">
        <v>250</v>
      </c>
      <c r="KOI47" s="58" t="s">
        <v>247</v>
      </c>
      <c r="KOJ47" s="58" t="s">
        <v>248</v>
      </c>
      <c r="KOK47" s="58" t="s">
        <v>249</v>
      </c>
      <c r="KOL47" s="58" t="s">
        <v>250</v>
      </c>
      <c r="KOM47" s="58" t="s">
        <v>247</v>
      </c>
      <c r="KON47" s="58" t="s">
        <v>248</v>
      </c>
      <c r="KOO47" s="58" t="s">
        <v>249</v>
      </c>
      <c r="KOP47" s="58" t="s">
        <v>250</v>
      </c>
      <c r="KOQ47" s="58" t="s">
        <v>247</v>
      </c>
      <c r="KOR47" s="58" t="s">
        <v>248</v>
      </c>
      <c r="KOS47" s="58" t="s">
        <v>249</v>
      </c>
      <c r="KOT47" s="58" t="s">
        <v>250</v>
      </c>
      <c r="KOU47" s="58" t="s">
        <v>247</v>
      </c>
      <c r="KOV47" s="58" t="s">
        <v>248</v>
      </c>
      <c r="KOW47" s="58" t="s">
        <v>249</v>
      </c>
      <c r="KOX47" s="58" t="s">
        <v>250</v>
      </c>
      <c r="KOY47" s="58" t="s">
        <v>247</v>
      </c>
      <c r="KOZ47" s="58" t="s">
        <v>248</v>
      </c>
      <c r="KPA47" s="58" t="s">
        <v>249</v>
      </c>
      <c r="KPB47" s="58" t="s">
        <v>250</v>
      </c>
      <c r="KPC47" s="58" t="s">
        <v>247</v>
      </c>
      <c r="KPD47" s="58" t="s">
        <v>248</v>
      </c>
      <c r="KPE47" s="58" t="s">
        <v>249</v>
      </c>
      <c r="KPF47" s="58" t="s">
        <v>250</v>
      </c>
      <c r="KPG47" s="58" t="s">
        <v>247</v>
      </c>
      <c r="KPH47" s="58" t="s">
        <v>248</v>
      </c>
      <c r="KPI47" s="58" t="s">
        <v>249</v>
      </c>
      <c r="KPJ47" s="58" t="s">
        <v>250</v>
      </c>
      <c r="KPK47" s="58" t="s">
        <v>247</v>
      </c>
      <c r="KPL47" s="58" t="s">
        <v>248</v>
      </c>
      <c r="KPM47" s="58" t="s">
        <v>249</v>
      </c>
      <c r="KPN47" s="58" t="s">
        <v>250</v>
      </c>
      <c r="KPO47" s="58" t="s">
        <v>247</v>
      </c>
      <c r="KPP47" s="58" t="s">
        <v>248</v>
      </c>
      <c r="KPQ47" s="58" t="s">
        <v>249</v>
      </c>
      <c r="KPR47" s="58" t="s">
        <v>250</v>
      </c>
      <c r="KPS47" s="58" t="s">
        <v>247</v>
      </c>
      <c r="KPT47" s="58" t="s">
        <v>248</v>
      </c>
      <c r="KPU47" s="58" t="s">
        <v>249</v>
      </c>
      <c r="KPV47" s="58" t="s">
        <v>250</v>
      </c>
      <c r="KPW47" s="58" t="s">
        <v>247</v>
      </c>
      <c r="KPX47" s="58" t="s">
        <v>248</v>
      </c>
      <c r="KPY47" s="58" t="s">
        <v>249</v>
      </c>
      <c r="KPZ47" s="58" t="s">
        <v>250</v>
      </c>
      <c r="KQA47" s="58" t="s">
        <v>247</v>
      </c>
      <c r="KQB47" s="58" t="s">
        <v>248</v>
      </c>
      <c r="KQC47" s="58" t="s">
        <v>249</v>
      </c>
      <c r="KQD47" s="58" t="s">
        <v>250</v>
      </c>
      <c r="KQE47" s="58" t="s">
        <v>247</v>
      </c>
      <c r="KQF47" s="58" t="s">
        <v>248</v>
      </c>
      <c r="KQG47" s="58" t="s">
        <v>249</v>
      </c>
      <c r="KQH47" s="58" t="s">
        <v>250</v>
      </c>
      <c r="KQI47" s="58" t="s">
        <v>247</v>
      </c>
      <c r="KQJ47" s="58" t="s">
        <v>248</v>
      </c>
      <c r="KQK47" s="58" t="s">
        <v>249</v>
      </c>
      <c r="KQL47" s="58" t="s">
        <v>250</v>
      </c>
      <c r="KQM47" s="58" t="s">
        <v>247</v>
      </c>
      <c r="KQN47" s="58" t="s">
        <v>248</v>
      </c>
      <c r="KQO47" s="58" t="s">
        <v>249</v>
      </c>
      <c r="KQP47" s="58" t="s">
        <v>250</v>
      </c>
      <c r="KQQ47" s="58" t="s">
        <v>247</v>
      </c>
      <c r="KQR47" s="58" t="s">
        <v>248</v>
      </c>
      <c r="KQS47" s="58" t="s">
        <v>249</v>
      </c>
      <c r="KQT47" s="58" t="s">
        <v>250</v>
      </c>
      <c r="KQU47" s="58" t="s">
        <v>247</v>
      </c>
      <c r="KQV47" s="58" t="s">
        <v>248</v>
      </c>
      <c r="KQW47" s="58" t="s">
        <v>249</v>
      </c>
      <c r="KQX47" s="58" t="s">
        <v>250</v>
      </c>
      <c r="KQY47" s="58" t="s">
        <v>247</v>
      </c>
      <c r="KQZ47" s="58" t="s">
        <v>248</v>
      </c>
      <c r="KRA47" s="58" t="s">
        <v>249</v>
      </c>
      <c r="KRB47" s="58" t="s">
        <v>250</v>
      </c>
      <c r="KRC47" s="58" t="s">
        <v>247</v>
      </c>
      <c r="KRD47" s="58" t="s">
        <v>248</v>
      </c>
      <c r="KRE47" s="58" t="s">
        <v>249</v>
      </c>
      <c r="KRF47" s="58" t="s">
        <v>250</v>
      </c>
      <c r="KRG47" s="58" t="s">
        <v>247</v>
      </c>
      <c r="KRH47" s="58" t="s">
        <v>248</v>
      </c>
      <c r="KRI47" s="58" t="s">
        <v>249</v>
      </c>
      <c r="KRJ47" s="58" t="s">
        <v>250</v>
      </c>
      <c r="KRK47" s="58" t="s">
        <v>247</v>
      </c>
      <c r="KRL47" s="58" t="s">
        <v>248</v>
      </c>
      <c r="KRM47" s="58" t="s">
        <v>249</v>
      </c>
      <c r="KRN47" s="58" t="s">
        <v>250</v>
      </c>
      <c r="KRO47" s="58" t="s">
        <v>247</v>
      </c>
      <c r="KRP47" s="58" t="s">
        <v>248</v>
      </c>
      <c r="KRQ47" s="58" t="s">
        <v>249</v>
      </c>
      <c r="KRR47" s="58" t="s">
        <v>250</v>
      </c>
      <c r="KRS47" s="58" t="s">
        <v>247</v>
      </c>
      <c r="KRT47" s="58" t="s">
        <v>248</v>
      </c>
      <c r="KRU47" s="58" t="s">
        <v>249</v>
      </c>
      <c r="KRV47" s="58" t="s">
        <v>250</v>
      </c>
      <c r="KRW47" s="58" t="s">
        <v>247</v>
      </c>
      <c r="KRX47" s="58" t="s">
        <v>248</v>
      </c>
      <c r="KRY47" s="58" t="s">
        <v>249</v>
      </c>
      <c r="KRZ47" s="58" t="s">
        <v>250</v>
      </c>
      <c r="KSA47" s="58" t="s">
        <v>247</v>
      </c>
      <c r="KSB47" s="58" t="s">
        <v>248</v>
      </c>
      <c r="KSC47" s="58" t="s">
        <v>249</v>
      </c>
      <c r="KSD47" s="58" t="s">
        <v>250</v>
      </c>
      <c r="KSE47" s="58" t="s">
        <v>247</v>
      </c>
      <c r="KSF47" s="58" t="s">
        <v>248</v>
      </c>
      <c r="KSG47" s="58" t="s">
        <v>249</v>
      </c>
      <c r="KSH47" s="58" t="s">
        <v>250</v>
      </c>
      <c r="KSI47" s="58" t="s">
        <v>247</v>
      </c>
      <c r="KSJ47" s="58" t="s">
        <v>248</v>
      </c>
      <c r="KSK47" s="58" t="s">
        <v>249</v>
      </c>
      <c r="KSL47" s="58" t="s">
        <v>250</v>
      </c>
      <c r="KSM47" s="58" t="s">
        <v>247</v>
      </c>
      <c r="KSN47" s="58" t="s">
        <v>248</v>
      </c>
      <c r="KSO47" s="58" t="s">
        <v>249</v>
      </c>
      <c r="KSP47" s="58" t="s">
        <v>250</v>
      </c>
      <c r="KSQ47" s="58" t="s">
        <v>247</v>
      </c>
      <c r="KSR47" s="58" t="s">
        <v>248</v>
      </c>
      <c r="KSS47" s="58" t="s">
        <v>249</v>
      </c>
      <c r="KST47" s="58" t="s">
        <v>250</v>
      </c>
      <c r="KSU47" s="58" t="s">
        <v>247</v>
      </c>
      <c r="KSV47" s="58" t="s">
        <v>248</v>
      </c>
      <c r="KSW47" s="58" t="s">
        <v>249</v>
      </c>
      <c r="KSX47" s="58" t="s">
        <v>250</v>
      </c>
      <c r="KSY47" s="58" t="s">
        <v>247</v>
      </c>
      <c r="KSZ47" s="58" t="s">
        <v>248</v>
      </c>
      <c r="KTA47" s="58" t="s">
        <v>249</v>
      </c>
      <c r="KTB47" s="58" t="s">
        <v>250</v>
      </c>
      <c r="KTC47" s="58" t="s">
        <v>247</v>
      </c>
      <c r="KTD47" s="58" t="s">
        <v>248</v>
      </c>
      <c r="KTE47" s="58" t="s">
        <v>249</v>
      </c>
      <c r="KTF47" s="58" t="s">
        <v>250</v>
      </c>
      <c r="KTG47" s="58" t="s">
        <v>247</v>
      </c>
      <c r="KTH47" s="58" t="s">
        <v>248</v>
      </c>
      <c r="KTI47" s="58" t="s">
        <v>249</v>
      </c>
      <c r="KTJ47" s="58" t="s">
        <v>250</v>
      </c>
      <c r="KTK47" s="58" t="s">
        <v>247</v>
      </c>
      <c r="KTL47" s="58" t="s">
        <v>248</v>
      </c>
      <c r="KTM47" s="58" t="s">
        <v>249</v>
      </c>
      <c r="KTN47" s="58" t="s">
        <v>250</v>
      </c>
      <c r="KTO47" s="58" t="s">
        <v>247</v>
      </c>
      <c r="KTP47" s="58" t="s">
        <v>248</v>
      </c>
      <c r="KTQ47" s="58" t="s">
        <v>249</v>
      </c>
      <c r="KTR47" s="58" t="s">
        <v>250</v>
      </c>
      <c r="KTS47" s="58" t="s">
        <v>247</v>
      </c>
      <c r="KTT47" s="58" t="s">
        <v>248</v>
      </c>
      <c r="KTU47" s="58" t="s">
        <v>249</v>
      </c>
      <c r="KTV47" s="58" t="s">
        <v>250</v>
      </c>
      <c r="KTW47" s="58" t="s">
        <v>247</v>
      </c>
      <c r="KTX47" s="58" t="s">
        <v>248</v>
      </c>
      <c r="KTY47" s="58" t="s">
        <v>249</v>
      </c>
      <c r="KTZ47" s="58" t="s">
        <v>250</v>
      </c>
      <c r="KUA47" s="58" t="s">
        <v>247</v>
      </c>
      <c r="KUB47" s="58" t="s">
        <v>248</v>
      </c>
      <c r="KUC47" s="58" t="s">
        <v>249</v>
      </c>
      <c r="KUD47" s="58" t="s">
        <v>250</v>
      </c>
      <c r="KUE47" s="58" t="s">
        <v>247</v>
      </c>
      <c r="KUF47" s="58" t="s">
        <v>248</v>
      </c>
      <c r="KUG47" s="58" t="s">
        <v>249</v>
      </c>
      <c r="KUH47" s="58" t="s">
        <v>250</v>
      </c>
      <c r="KUI47" s="58" t="s">
        <v>247</v>
      </c>
      <c r="KUJ47" s="58" t="s">
        <v>248</v>
      </c>
      <c r="KUK47" s="58" t="s">
        <v>249</v>
      </c>
      <c r="KUL47" s="58" t="s">
        <v>250</v>
      </c>
      <c r="KUM47" s="58" t="s">
        <v>247</v>
      </c>
      <c r="KUN47" s="58" t="s">
        <v>248</v>
      </c>
      <c r="KUO47" s="58" t="s">
        <v>249</v>
      </c>
      <c r="KUP47" s="58" t="s">
        <v>250</v>
      </c>
      <c r="KUQ47" s="58" t="s">
        <v>247</v>
      </c>
      <c r="KUR47" s="58" t="s">
        <v>248</v>
      </c>
      <c r="KUS47" s="58" t="s">
        <v>249</v>
      </c>
      <c r="KUT47" s="58" t="s">
        <v>250</v>
      </c>
      <c r="KUU47" s="58" t="s">
        <v>247</v>
      </c>
      <c r="KUV47" s="58" t="s">
        <v>248</v>
      </c>
      <c r="KUW47" s="58" t="s">
        <v>249</v>
      </c>
      <c r="KUX47" s="58" t="s">
        <v>250</v>
      </c>
      <c r="KUY47" s="58" t="s">
        <v>247</v>
      </c>
      <c r="KUZ47" s="58" t="s">
        <v>248</v>
      </c>
      <c r="KVA47" s="58" t="s">
        <v>249</v>
      </c>
      <c r="KVB47" s="58" t="s">
        <v>250</v>
      </c>
      <c r="KVC47" s="58" t="s">
        <v>247</v>
      </c>
      <c r="KVD47" s="58" t="s">
        <v>248</v>
      </c>
      <c r="KVE47" s="58" t="s">
        <v>249</v>
      </c>
      <c r="KVF47" s="58" t="s">
        <v>250</v>
      </c>
      <c r="KVG47" s="58" t="s">
        <v>247</v>
      </c>
      <c r="KVH47" s="58" t="s">
        <v>248</v>
      </c>
      <c r="KVI47" s="58" t="s">
        <v>249</v>
      </c>
      <c r="KVJ47" s="58" t="s">
        <v>250</v>
      </c>
      <c r="KVK47" s="58" t="s">
        <v>247</v>
      </c>
      <c r="KVL47" s="58" t="s">
        <v>248</v>
      </c>
      <c r="KVM47" s="58" t="s">
        <v>249</v>
      </c>
      <c r="KVN47" s="58" t="s">
        <v>250</v>
      </c>
      <c r="KVO47" s="58" t="s">
        <v>247</v>
      </c>
      <c r="KVP47" s="58" t="s">
        <v>248</v>
      </c>
      <c r="KVQ47" s="58" t="s">
        <v>249</v>
      </c>
      <c r="KVR47" s="58" t="s">
        <v>250</v>
      </c>
      <c r="KVS47" s="58" t="s">
        <v>247</v>
      </c>
      <c r="KVT47" s="58" t="s">
        <v>248</v>
      </c>
      <c r="KVU47" s="58" t="s">
        <v>249</v>
      </c>
      <c r="KVV47" s="58" t="s">
        <v>250</v>
      </c>
      <c r="KVW47" s="58" t="s">
        <v>247</v>
      </c>
      <c r="KVX47" s="58" t="s">
        <v>248</v>
      </c>
      <c r="KVY47" s="58" t="s">
        <v>249</v>
      </c>
      <c r="KVZ47" s="58" t="s">
        <v>250</v>
      </c>
      <c r="KWA47" s="58" t="s">
        <v>247</v>
      </c>
      <c r="KWB47" s="58" t="s">
        <v>248</v>
      </c>
      <c r="KWC47" s="58" t="s">
        <v>249</v>
      </c>
      <c r="KWD47" s="58" t="s">
        <v>250</v>
      </c>
      <c r="KWE47" s="58" t="s">
        <v>247</v>
      </c>
      <c r="KWF47" s="58" t="s">
        <v>248</v>
      </c>
      <c r="KWG47" s="58" t="s">
        <v>249</v>
      </c>
      <c r="KWH47" s="58" t="s">
        <v>250</v>
      </c>
      <c r="KWI47" s="58" t="s">
        <v>247</v>
      </c>
      <c r="KWJ47" s="58" t="s">
        <v>248</v>
      </c>
      <c r="KWK47" s="58" t="s">
        <v>249</v>
      </c>
      <c r="KWL47" s="58" t="s">
        <v>250</v>
      </c>
      <c r="KWM47" s="58" t="s">
        <v>247</v>
      </c>
      <c r="KWN47" s="58" t="s">
        <v>248</v>
      </c>
      <c r="KWO47" s="58" t="s">
        <v>249</v>
      </c>
      <c r="KWP47" s="58" t="s">
        <v>250</v>
      </c>
      <c r="KWQ47" s="58" t="s">
        <v>247</v>
      </c>
      <c r="KWR47" s="58" t="s">
        <v>248</v>
      </c>
      <c r="KWS47" s="58" t="s">
        <v>249</v>
      </c>
      <c r="KWT47" s="58" t="s">
        <v>250</v>
      </c>
      <c r="KWU47" s="58" t="s">
        <v>247</v>
      </c>
      <c r="KWV47" s="58" t="s">
        <v>248</v>
      </c>
      <c r="KWW47" s="58" t="s">
        <v>249</v>
      </c>
      <c r="KWX47" s="58" t="s">
        <v>250</v>
      </c>
      <c r="KWY47" s="58" t="s">
        <v>247</v>
      </c>
      <c r="KWZ47" s="58" t="s">
        <v>248</v>
      </c>
      <c r="KXA47" s="58" t="s">
        <v>249</v>
      </c>
      <c r="KXB47" s="58" t="s">
        <v>250</v>
      </c>
      <c r="KXC47" s="58" t="s">
        <v>247</v>
      </c>
      <c r="KXD47" s="58" t="s">
        <v>248</v>
      </c>
      <c r="KXE47" s="58" t="s">
        <v>249</v>
      </c>
      <c r="KXF47" s="58" t="s">
        <v>250</v>
      </c>
      <c r="KXG47" s="58" t="s">
        <v>247</v>
      </c>
      <c r="KXH47" s="58" t="s">
        <v>248</v>
      </c>
      <c r="KXI47" s="58" t="s">
        <v>249</v>
      </c>
      <c r="KXJ47" s="58" t="s">
        <v>250</v>
      </c>
      <c r="KXK47" s="58" t="s">
        <v>247</v>
      </c>
      <c r="KXL47" s="58" t="s">
        <v>248</v>
      </c>
      <c r="KXM47" s="58" t="s">
        <v>249</v>
      </c>
      <c r="KXN47" s="58" t="s">
        <v>250</v>
      </c>
      <c r="KXO47" s="58" t="s">
        <v>247</v>
      </c>
      <c r="KXP47" s="58" t="s">
        <v>248</v>
      </c>
      <c r="KXQ47" s="58" t="s">
        <v>249</v>
      </c>
      <c r="KXR47" s="58" t="s">
        <v>250</v>
      </c>
      <c r="KXS47" s="58" t="s">
        <v>247</v>
      </c>
      <c r="KXT47" s="58" t="s">
        <v>248</v>
      </c>
      <c r="KXU47" s="58" t="s">
        <v>249</v>
      </c>
      <c r="KXV47" s="58" t="s">
        <v>250</v>
      </c>
      <c r="KXW47" s="58" t="s">
        <v>247</v>
      </c>
      <c r="KXX47" s="58" t="s">
        <v>248</v>
      </c>
      <c r="KXY47" s="58" t="s">
        <v>249</v>
      </c>
      <c r="KXZ47" s="58" t="s">
        <v>250</v>
      </c>
      <c r="KYA47" s="58" t="s">
        <v>247</v>
      </c>
      <c r="KYB47" s="58" t="s">
        <v>248</v>
      </c>
      <c r="KYC47" s="58" t="s">
        <v>249</v>
      </c>
      <c r="KYD47" s="58" t="s">
        <v>250</v>
      </c>
      <c r="KYE47" s="58" t="s">
        <v>247</v>
      </c>
      <c r="KYF47" s="58" t="s">
        <v>248</v>
      </c>
      <c r="KYG47" s="58" t="s">
        <v>249</v>
      </c>
      <c r="KYH47" s="58" t="s">
        <v>250</v>
      </c>
      <c r="KYI47" s="58" t="s">
        <v>247</v>
      </c>
      <c r="KYJ47" s="58" t="s">
        <v>248</v>
      </c>
      <c r="KYK47" s="58" t="s">
        <v>249</v>
      </c>
      <c r="KYL47" s="58" t="s">
        <v>250</v>
      </c>
      <c r="KYM47" s="58" t="s">
        <v>247</v>
      </c>
      <c r="KYN47" s="58" t="s">
        <v>248</v>
      </c>
      <c r="KYO47" s="58" t="s">
        <v>249</v>
      </c>
      <c r="KYP47" s="58" t="s">
        <v>250</v>
      </c>
      <c r="KYQ47" s="58" t="s">
        <v>247</v>
      </c>
      <c r="KYR47" s="58" t="s">
        <v>248</v>
      </c>
      <c r="KYS47" s="58" t="s">
        <v>249</v>
      </c>
      <c r="KYT47" s="58" t="s">
        <v>250</v>
      </c>
      <c r="KYU47" s="58" t="s">
        <v>247</v>
      </c>
      <c r="KYV47" s="58" t="s">
        <v>248</v>
      </c>
      <c r="KYW47" s="58" t="s">
        <v>249</v>
      </c>
      <c r="KYX47" s="58" t="s">
        <v>250</v>
      </c>
      <c r="KYY47" s="58" t="s">
        <v>247</v>
      </c>
      <c r="KYZ47" s="58" t="s">
        <v>248</v>
      </c>
      <c r="KZA47" s="58" t="s">
        <v>249</v>
      </c>
      <c r="KZB47" s="58" t="s">
        <v>250</v>
      </c>
      <c r="KZC47" s="58" t="s">
        <v>247</v>
      </c>
      <c r="KZD47" s="58" t="s">
        <v>248</v>
      </c>
      <c r="KZE47" s="58" t="s">
        <v>249</v>
      </c>
      <c r="KZF47" s="58" t="s">
        <v>250</v>
      </c>
      <c r="KZG47" s="58" t="s">
        <v>247</v>
      </c>
      <c r="KZH47" s="58" t="s">
        <v>248</v>
      </c>
      <c r="KZI47" s="58" t="s">
        <v>249</v>
      </c>
      <c r="KZJ47" s="58" t="s">
        <v>250</v>
      </c>
      <c r="KZK47" s="58" t="s">
        <v>247</v>
      </c>
      <c r="KZL47" s="58" t="s">
        <v>248</v>
      </c>
      <c r="KZM47" s="58" t="s">
        <v>249</v>
      </c>
      <c r="KZN47" s="58" t="s">
        <v>250</v>
      </c>
      <c r="KZO47" s="58" t="s">
        <v>247</v>
      </c>
      <c r="KZP47" s="58" t="s">
        <v>248</v>
      </c>
      <c r="KZQ47" s="58" t="s">
        <v>249</v>
      </c>
      <c r="KZR47" s="58" t="s">
        <v>250</v>
      </c>
      <c r="KZS47" s="58" t="s">
        <v>247</v>
      </c>
      <c r="KZT47" s="58" t="s">
        <v>248</v>
      </c>
      <c r="KZU47" s="58" t="s">
        <v>249</v>
      </c>
      <c r="KZV47" s="58" t="s">
        <v>250</v>
      </c>
      <c r="KZW47" s="58" t="s">
        <v>247</v>
      </c>
      <c r="KZX47" s="58" t="s">
        <v>248</v>
      </c>
      <c r="KZY47" s="58" t="s">
        <v>249</v>
      </c>
      <c r="KZZ47" s="58" t="s">
        <v>250</v>
      </c>
      <c r="LAA47" s="58" t="s">
        <v>247</v>
      </c>
      <c r="LAB47" s="58" t="s">
        <v>248</v>
      </c>
      <c r="LAC47" s="58" t="s">
        <v>249</v>
      </c>
      <c r="LAD47" s="58" t="s">
        <v>250</v>
      </c>
      <c r="LAE47" s="58" t="s">
        <v>247</v>
      </c>
      <c r="LAF47" s="58" t="s">
        <v>248</v>
      </c>
      <c r="LAG47" s="58" t="s">
        <v>249</v>
      </c>
      <c r="LAH47" s="58" t="s">
        <v>250</v>
      </c>
      <c r="LAI47" s="58" t="s">
        <v>247</v>
      </c>
      <c r="LAJ47" s="58" t="s">
        <v>248</v>
      </c>
      <c r="LAK47" s="58" t="s">
        <v>249</v>
      </c>
      <c r="LAL47" s="58" t="s">
        <v>250</v>
      </c>
      <c r="LAM47" s="58" t="s">
        <v>247</v>
      </c>
      <c r="LAN47" s="58" t="s">
        <v>248</v>
      </c>
      <c r="LAO47" s="58" t="s">
        <v>249</v>
      </c>
      <c r="LAP47" s="58" t="s">
        <v>250</v>
      </c>
      <c r="LAQ47" s="58" t="s">
        <v>247</v>
      </c>
      <c r="LAR47" s="58" t="s">
        <v>248</v>
      </c>
      <c r="LAS47" s="58" t="s">
        <v>249</v>
      </c>
      <c r="LAT47" s="58" t="s">
        <v>250</v>
      </c>
      <c r="LAU47" s="58" t="s">
        <v>247</v>
      </c>
      <c r="LAV47" s="58" t="s">
        <v>248</v>
      </c>
      <c r="LAW47" s="58" t="s">
        <v>249</v>
      </c>
      <c r="LAX47" s="58" t="s">
        <v>250</v>
      </c>
      <c r="LAY47" s="58" t="s">
        <v>247</v>
      </c>
      <c r="LAZ47" s="58" t="s">
        <v>248</v>
      </c>
      <c r="LBA47" s="58" t="s">
        <v>249</v>
      </c>
      <c r="LBB47" s="58" t="s">
        <v>250</v>
      </c>
      <c r="LBC47" s="58" t="s">
        <v>247</v>
      </c>
      <c r="LBD47" s="58" t="s">
        <v>248</v>
      </c>
      <c r="LBE47" s="58" t="s">
        <v>249</v>
      </c>
      <c r="LBF47" s="58" t="s">
        <v>250</v>
      </c>
      <c r="LBG47" s="58" t="s">
        <v>247</v>
      </c>
      <c r="LBH47" s="58" t="s">
        <v>248</v>
      </c>
      <c r="LBI47" s="58" t="s">
        <v>249</v>
      </c>
      <c r="LBJ47" s="58" t="s">
        <v>250</v>
      </c>
      <c r="LBK47" s="58" t="s">
        <v>247</v>
      </c>
      <c r="LBL47" s="58" t="s">
        <v>248</v>
      </c>
      <c r="LBM47" s="58" t="s">
        <v>249</v>
      </c>
      <c r="LBN47" s="58" t="s">
        <v>250</v>
      </c>
      <c r="LBO47" s="58" t="s">
        <v>247</v>
      </c>
      <c r="LBP47" s="58" t="s">
        <v>248</v>
      </c>
      <c r="LBQ47" s="58" t="s">
        <v>249</v>
      </c>
      <c r="LBR47" s="58" t="s">
        <v>250</v>
      </c>
      <c r="LBS47" s="58" t="s">
        <v>247</v>
      </c>
      <c r="LBT47" s="58" t="s">
        <v>248</v>
      </c>
      <c r="LBU47" s="58" t="s">
        <v>249</v>
      </c>
      <c r="LBV47" s="58" t="s">
        <v>250</v>
      </c>
      <c r="LBW47" s="58" t="s">
        <v>247</v>
      </c>
      <c r="LBX47" s="58" t="s">
        <v>248</v>
      </c>
      <c r="LBY47" s="58" t="s">
        <v>249</v>
      </c>
      <c r="LBZ47" s="58" t="s">
        <v>250</v>
      </c>
      <c r="LCA47" s="58" t="s">
        <v>247</v>
      </c>
      <c r="LCB47" s="58" t="s">
        <v>248</v>
      </c>
      <c r="LCC47" s="58" t="s">
        <v>249</v>
      </c>
      <c r="LCD47" s="58" t="s">
        <v>250</v>
      </c>
      <c r="LCE47" s="58" t="s">
        <v>247</v>
      </c>
      <c r="LCF47" s="58" t="s">
        <v>248</v>
      </c>
      <c r="LCG47" s="58" t="s">
        <v>249</v>
      </c>
      <c r="LCH47" s="58" t="s">
        <v>250</v>
      </c>
      <c r="LCI47" s="58" t="s">
        <v>247</v>
      </c>
      <c r="LCJ47" s="58" t="s">
        <v>248</v>
      </c>
      <c r="LCK47" s="58" t="s">
        <v>249</v>
      </c>
      <c r="LCL47" s="58" t="s">
        <v>250</v>
      </c>
      <c r="LCM47" s="58" t="s">
        <v>247</v>
      </c>
      <c r="LCN47" s="58" t="s">
        <v>248</v>
      </c>
      <c r="LCO47" s="58" t="s">
        <v>249</v>
      </c>
      <c r="LCP47" s="58" t="s">
        <v>250</v>
      </c>
      <c r="LCQ47" s="58" t="s">
        <v>247</v>
      </c>
      <c r="LCR47" s="58" t="s">
        <v>248</v>
      </c>
      <c r="LCS47" s="58" t="s">
        <v>249</v>
      </c>
      <c r="LCT47" s="58" t="s">
        <v>250</v>
      </c>
      <c r="LCU47" s="58" t="s">
        <v>247</v>
      </c>
      <c r="LCV47" s="58" t="s">
        <v>248</v>
      </c>
      <c r="LCW47" s="58" t="s">
        <v>249</v>
      </c>
      <c r="LCX47" s="58" t="s">
        <v>250</v>
      </c>
      <c r="LCY47" s="58" t="s">
        <v>247</v>
      </c>
      <c r="LCZ47" s="58" t="s">
        <v>248</v>
      </c>
      <c r="LDA47" s="58" t="s">
        <v>249</v>
      </c>
      <c r="LDB47" s="58" t="s">
        <v>250</v>
      </c>
      <c r="LDC47" s="58" t="s">
        <v>247</v>
      </c>
      <c r="LDD47" s="58" t="s">
        <v>248</v>
      </c>
      <c r="LDE47" s="58" t="s">
        <v>249</v>
      </c>
      <c r="LDF47" s="58" t="s">
        <v>250</v>
      </c>
      <c r="LDG47" s="58" t="s">
        <v>247</v>
      </c>
      <c r="LDH47" s="58" t="s">
        <v>248</v>
      </c>
      <c r="LDI47" s="58" t="s">
        <v>249</v>
      </c>
      <c r="LDJ47" s="58" t="s">
        <v>250</v>
      </c>
      <c r="LDK47" s="58" t="s">
        <v>247</v>
      </c>
      <c r="LDL47" s="58" t="s">
        <v>248</v>
      </c>
      <c r="LDM47" s="58" t="s">
        <v>249</v>
      </c>
      <c r="LDN47" s="58" t="s">
        <v>250</v>
      </c>
      <c r="LDO47" s="58" t="s">
        <v>247</v>
      </c>
      <c r="LDP47" s="58" t="s">
        <v>248</v>
      </c>
      <c r="LDQ47" s="58" t="s">
        <v>249</v>
      </c>
      <c r="LDR47" s="58" t="s">
        <v>250</v>
      </c>
      <c r="LDS47" s="58" t="s">
        <v>247</v>
      </c>
      <c r="LDT47" s="58" t="s">
        <v>248</v>
      </c>
      <c r="LDU47" s="58" t="s">
        <v>249</v>
      </c>
      <c r="LDV47" s="58" t="s">
        <v>250</v>
      </c>
      <c r="LDW47" s="58" t="s">
        <v>247</v>
      </c>
      <c r="LDX47" s="58" t="s">
        <v>248</v>
      </c>
      <c r="LDY47" s="58" t="s">
        <v>249</v>
      </c>
      <c r="LDZ47" s="58" t="s">
        <v>250</v>
      </c>
      <c r="LEA47" s="58" t="s">
        <v>247</v>
      </c>
      <c r="LEB47" s="58" t="s">
        <v>248</v>
      </c>
      <c r="LEC47" s="58" t="s">
        <v>249</v>
      </c>
      <c r="LED47" s="58" t="s">
        <v>250</v>
      </c>
      <c r="LEE47" s="58" t="s">
        <v>247</v>
      </c>
      <c r="LEF47" s="58" t="s">
        <v>248</v>
      </c>
      <c r="LEG47" s="58" t="s">
        <v>249</v>
      </c>
      <c r="LEH47" s="58" t="s">
        <v>250</v>
      </c>
      <c r="LEI47" s="58" t="s">
        <v>247</v>
      </c>
      <c r="LEJ47" s="58" t="s">
        <v>248</v>
      </c>
      <c r="LEK47" s="58" t="s">
        <v>249</v>
      </c>
      <c r="LEL47" s="58" t="s">
        <v>250</v>
      </c>
      <c r="LEM47" s="58" t="s">
        <v>247</v>
      </c>
      <c r="LEN47" s="58" t="s">
        <v>248</v>
      </c>
      <c r="LEO47" s="58" t="s">
        <v>249</v>
      </c>
      <c r="LEP47" s="58" t="s">
        <v>250</v>
      </c>
      <c r="LEQ47" s="58" t="s">
        <v>247</v>
      </c>
      <c r="LER47" s="58" t="s">
        <v>248</v>
      </c>
      <c r="LES47" s="58" t="s">
        <v>249</v>
      </c>
      <c r="LET47" s="58" t="s">
        <v>250</v>
      </c>
      <c r="LEU47" s="58" t="s">
        <v>247</v>
      </c>
      <c r="LEV47" s="58" t="s">
        <v>248</v>
      </c>
      <c r="LEW47" s="58" t="s">
        <v>249</v>
      </c>
      <c r="LEX47" s="58" t="s">
        <v>250</v>
      </c>
      <c r="LEY47" s="58" t="s">
        <v>247</v>
      </c>
      <c r="LEZ47" s="58" t="s">
        <v>248</v>
      </c>
      <c r="LFA47" s="58" t="s">
        <v>249</v>
      </c>
      <c r="LFB47" s="58" t="s">
        <v>250</v>
      </c>
      <c r="LFC47" s="58" t="s">
        <v>247</v>
      </c>
      <c r="LFD47" s="58" t="s">
        <v>248</v>
      </c>
      <c r="LFE47" s="58" t="s">
        <v>249</v>
      </c>
      <c r="LFF47" s="58" t="s">
        <v>250</v>
      </c>
      <c r="LFG47" s="58" t="s">
        <v>247</v>
      </c>
      <c r="LFH47" s="58" t="s">
        <v>248</v>
      </c>
      <c r="LFI47" s="58" t="s">
        <v>249</v>
      </c>
      <c r="LFJ47" s="58" t="s">
        <v>250</v>
      </c>
      <c r="LFK47" s="58" t="s">
        <v>247</v>
      </c>
      <c r="LFL47" s="58" t="s">
        <v>248</v>
      </c>
      <c r="LFM47" s="58" t="s">
        <v>249</v>
      </c>
      <c r="LFN47" s="58" t="s">
        <v>250</v>
      </c>
      <c r="LFO47" s="58" t="s">
        <v>247</v>
      </c>
      <c r="LFP47" s="58" t="s">
        <v>248</v>
      </c>
      <c r="LFQ47" s="58" t="s">
        <v>249</v>
      </c>
      <c r="LFR47" s="58" t="s">
        <v>250</v>
      </c>
      <c r="LFS47" s="58" t="s">
        <v>247</v>
      </c>
      <c r="LFT47" s="58" t="s">
        <v>248</v>
      </c>
      <c r="LFU47" s="58" t="s">
        <v>249</v>
      </c>
      <c r="LFV47" s="58" t="s">
        <v>250</v>
      </c>
      <c r="LFW47" s="58" t="s">
        <v>247</v>
      </c>
      <c r="LFX47" s="58" t="s">
        <v>248</v>
      </c>
      <c r="LFY47" s="58" t="s">
        <v>249</v>
      </c>
      <c r="LFZ47" s="58" t="s">
        <v>250</v>
      </c>
      <c r="LGA47" s="58" t="s">
        <v>247</v>
      </c>
      <c r="LGB47" s="58" t="s">
        <v>248</v>
      </c>
      <c r="LGC47" s="58" t="s">
        <v>249</v>
      </c>
      <c r="LGD47" s="58" t="s">
        <v>250</v>
      </c>
      <c r="LGE47" s="58" t="s">
        <v>247</v>
      </c>
      <c r="LGF47" s="58" t="s">
        <v>248</v>
      </c>
      <c r="LGG47" s="58" t="s">
        <v>249</v>
      </c>
      <c r="LGH47" s="58" t="s">
        <v>250</v>
      </c>
      <c r="LGI47" s="58" t="s">
        <v>247</v>
      </c>
      <c r="LGJ47" s="58" t="s">
        <v>248</v>
      </c>
      <c r="LGK47" s="58" t="s">
        <v>249</v>
      </c>
      <c r="LGL47" s="58" t="s">
        <v>250</v>
      </c>
      <c r="LGM47" s="58" t="s">
        <v>247</v>
      </c>
      <c r="LGN47" s="58" t="s">
        <v>248</v>
      </c>
      <c r="LGO47" s="58" t="s">
        <v>249</v>
      </c>
      <c r="LGP47" s="58" t="s">
        <v>250</v>
      </c>
      <c r="LGQ47" s="58" t="s">
        <v>247</v>
      </c>
      <c r="LGR47" s="58" t="s">
        <v>248</v>
      </c>
      <c r="LGS47" s="58" t="s">
        <v>249</v>
      </c>
      <c r="LGT47" s="58" t="s">
        <v>250</v>
      </c>
      <c r="LGU47" s="58" t="s">
        <v>247</v>
      </c>
      <c r="LGV47" s="58" t="s">
        <v>248</v>
      </c>
      <c r="LGW47" s="58" t="s">
        <v>249</v>
      </c>
      <c r="LGX47" s="58" t="s">
        <v>250</v>
      </c>
      <c r="LGY47" s="58" t="s">
        <v>247</v>
      </c>
      <c r="LGZ47" s="58" t="s">
        <v>248</v>
      </c>
      <c r="LHA47" s="58" t="s">
        <v>249</v>
      </c>
      <c r="LHB47" s="58" t="s">
        <v>250</v>
      </c>
      <c r="LHC47" s="58" t="s">
        <v>247</v>
      </c>
      <c r="LHD47" s="58" t="s">
        <v>248</v>
      </c>
      <c r="LHE47" s="58" t="s">
        <v>249</v>
      </c>
      <c r="LHF47" s="58" t="s">
        <v>250</v>
      </c>
      <c r="LHG47" s="58" t="s">
        <v>247</v>
      </c>
      <c r="LHH47" s="58" t="s">
        <v>248</v>
      </c>
      <c r="LHI47" s="58" t="s">
        <v>249</v>
      </c>
      <c r="LHJ47" s="58" t="s">
        <v>250</v>
      </c>
      <c r="LHK47" s="58" t="s">
        <v>247</v>
      </c>
      <c r="LHL47" s="58" t="s">
        <v>248</v>
      </c>
      <c r="LHM47" s="58" t="s">
        <v>249</v>
      </c>
      <c r="LHN47" s="58" t="s">
        <v>250</v>
      </c>
      <c r="LHO47" s="58" t="s">
        <v>247</v>
      </c>
      <c r="LHP47" s="58" t="s">
        <v>248</v>
      </c>
      <c r="LHQ47" s="58" t="s">
        <v>249</v>
      </c>
      <c r="LHR47" s="58" t="s">
        <v>250</v>
      </c>
      <c r="LHS47" s="58" t="s">
        <v>247</v>
      </c>
      <c r="LHT47" s="58" t="s">
        <v>248</v>
      </c>
      <c r="LHU47" s="58" t="s">
        <v>249</v>
      </c>
      <c r="LHV47" s="58" t="s">
        <v>250</v>
      </c>
      <c r="LHW47" s="58" t="s">
        <v>247</v>
      </c>
      <c r="LHX47" s="58" t="s">
        <v>248</v>
      </c>
      <c r="LHY47" s="58" t="s">
        <v>249</v>
      </c>
      <c r="LHZ47" s="58" t="s">
        <v>250</v>
      </c>
      <c r="LIA47" s="58" t="s">
        <v>247</v>
      </c>
      <c r="LIB47" s="58" t="s">
        <v>248</v>
      </c>
      <c r="LIC47" s="58" t="s">
        <v>249</v>
      </c>
      <c r="LID47" s="58" t="s">
        <v>250</v>
      </c>
      <c r="LIE47" s="58" t="s">
        <v>247</v>
      </c>
      <c r="LIF47" s="58" t="s">
        <v>248</v>
      </c>
      <c r="LIG47" s="58" t="s">
        <v>249</v>
      </c>
      <c r="LIH47" s="58" t="s">
        <v>250</v>
      </c>
      <c r="LII47" s="58" t="s">
        <v>247</v>
      </c>
      <c r="LIJ47" s="58" t="s">
        <v>248</v>
      </c>
      <c r="LIK47" s="58" t="s">
        <v>249</v>
      </c>
      <c r="LIL47" s="58" t="s">
        <v>250</v>
      </c>
      <c r="LIM47" s="58" t="s">
        <v>247</v>
      </c>
      <c r="LIN47" s="58" t="s">
        <v>248</v>
      </c>
      <c r="LIO47" s="58" t="s">
        <v>249</v>
      </c>
      <c r="LIP47" s="58" t="s">
        <v>250</v>
      </c>
      <c r="LIQ47" s="58" t="s">
        <v>247</v>
      </c>
      <c r="LIR47" s="58" t="s">
        <v>248</v>
      </c>
      <c r="LIS47" s="58" t="s">
        <v>249</v>
      </c>
      <c r="LIT47" s="58" t="s">
        <v>250</v>
      </c>
      <c r="LIU47" s="58" t="s">
        <v>247</v>
      </c>
      <c r="LIV47" s="58" t="s">
        <v>248</v>
      </c>
      <c r="LIW47" s="58" t="s">
        <v>249</v>
      </c>
      <c r="LIX47" s="58" t="s">
        <v>250</v>
      </c>
      <c r="LIY47" s="58" t="s">
        <v>247</v>
      </c>
      <c r="LIZ47" s="58" t="s">
        <v>248</v>
      </c>
      <c r="LJA47" s="58" t="s">
        <v>249</v>
      </c>
      <c r="LJB47" s="58" t="s">
        <v>250</v>
      </c>
      <c r="LJC47" s="58" t="s">
        <v>247</v>
      </c>
      <c r="LJD47" s="58" t="s">
        <v>248</v>
      </c>
      <c r="LJE47" s="58" t="s">
        <v>249</v>
      </c>
      <c r="LJF47" s="58" t="s">
        <v>250</v>
      </c>
      <c r="LJG47" s="58" t="s">
        <v>247</v>
      </c>
      <c r="LJH47" s="58" t="s">
        <v>248</v>
      </c>
      <c r="LJI47" s="58" t="s">
        <v>249</v>
      </c>
      <c r="LJJ47" s="58" t="s">
        <v>250</v>
      </c>
      <c r="LJK47" s="58" t="s">
        <v>247</v>
      </c>
      <c r="LJL47" s="58" t="s">
        <v>248</v>
      </c>
      <c r="LJM47" s="58" t="s">
        <v>249</v>
      </c>
      <c r="LJN47" s="58" t="s">
        <v>250</v>
      </c>
      <c r="LJO47" s="58" t="s">
        <v>247</v>
      </c>
      <c r="LJP47" s="58" t="s">
        <v>248</v>
      </c>
      <c r="LJQ47" s="58" t="s">
        <v>249</v>
      </c>
      <c r="LJR47" s="58" t="s">
        <v>250</v>
      </c>
      <c r="LJS47" s="58" t="s">
        <v>247</v>
      </c>
      <c r="LJT47" s="58" t="s">
        <v>248</v>
      </c>
      <c r="LJU47" s="58" t="s">
        <v>249</v>
      </c>
      <c r="LJV47" s="58" t="s">
        <v>250</v>
      </c>
      <c r="LJW47" s="58" t="s">
        <v>247</v>
      </c>
      <c r="LJX47" s="58" t="s">
        <v>248</v>
      </c>
      <c r="LJY47" s="58" t="s">
        <v>249</v>
      </c>
      <c r="LJZ47" s="58" t="s">
        <v>250</v>
      </c>
      <c r="LKA47" s="58" t="s">
        <v>247</v>
      </c>
      <c r="LKB47" s="58" t="s">
        <v>248</v>
      </c>
      <c r="LKC47" s="58" t="s">
        <v>249</v>
      </c>
      <c r="LKD47" s="58" t="s">
        <v>250</v>
      </c>
      <c r="LKE47" s="58" t="s">
        <v>247</v>
      </c>
      <c r="LKF47" s="58" t="s">
        <v>248</v>
      </c>
      <c r="LKG47" s="58" t="s">
        <v>249</v>
      </c>
      <c r="LKH47" s="58" t="s">
        <v>250</v>
      </c>
      <c r="LKI47" s="58" t="s">
        <v>247</v>
      </c>
      <c r="LKJ47" s="58" t="s">
        <v>248</v>
      </c>
      <c r="LKK47" s="58" t="s">
        <v>249</v>
      </c>
      <c r="LKL47" s="58" t="s">
        <v>250</v>
      </c>
      <c r="LKM47" s="58" t="s">
        <v>247</v>
      </c>
      <c r="LKN47" s="58" t="s">
        <v>248</v>
      </c>
      <c r="LKO47" s="58" t="s">
        <v>249</v>
      </c>
      <c r="LKP47" s="58" t="s">
        <v>250</v>
      </c>
      <c r="LKQ47" s="58" t="s">
        <v>247</v>
      </c>
      <c r="LKR47" s="58" t="s">
        <v>248</v>
      </c>
      <c r="LKS47" s="58" t="s">
        <v>249</v>
      </c>
      <c r="LKT47" s="58" t="s">
        <v>250</v>
      </c>
      <c r="LKU47" s="58" t="s">
        <v>247</v>
      </c>
      <c r="LKV47" s="58" t="s">
        <v>248</v>
      </c>
      <c r="LKW47" s="58" t="s">
        <v>249</v>
      </c>
      <c r="LKX47" s="58" t="s">
        <v>250</v>
      </c>
      <c r="LKY47" s="58" t="s">
        <v>247</v>
      </c>
      <c r="LKZ47" s="58" t="s">
        <v>248</v>
      </c>
      <c r="LLA47" s="58" t="s">
        <v>249</v>
      </c>
      <c r="LLB47" s="58" t="s">
        <v>250</v>
      </c>
      <c r="LLC47" s="58" t="s">
        <v>247</v>
      </c>
      <c r="LLD47" s="58" t="s">
        <v>248</v>
      </c>
      <c r="LLE47" s="58" t="s">
        <v>249</v>
      </c>
      <c r="LLF47" s="58" t="s">
        <v>250</v>
      </c>
      <c r="LLG47" s="58" t="s">
        <v>247</v>
      </c>
      <c r="LLH47" s="58" t="s">
        <v>248</v>
      </c>
      <c r="LLI47" s="58" t="s">
        <v>249</v>
      </c>
      <c r="LLJ47" s="58" t="s">
        <v>250</v>
      </c>
      <c r="LLK47" s="58" t="s">
        <v>247</v>
      </c>
      <c r="LLL47" s="58" t="s">
        <v>248</v>
      </c>
      <c r="LLM47" s="58" t="s">
        <v>249</v>
      </c>
      <c r="LLN47" s="58" t="s">
        <v>250</v>
      </c>
      <c r="LLO47" s="58" t="s">
        <v>247</v>
      </c>
      <c r="LLP47" s="58" t="s">
        <v>248</v>
      </c>
      <c r="LLQ47" s="58" t="s">
        <v>249</v>
      </c>
      <c r="LLR47" s="58" t="s">
        <v>250</v>
      </c>
      <c r="LLS47" s="58" t="s">
        <v>247</v>
      </c>
      <c r="LLT47" s="58" t="s">
        <v>248</v>
      </c>
      <c r="LLU47" s="58" t="s">
        <v>249</v>
      </c>
      <c r="LLV47" s="58" t="s">
        <v>250</v>
      </c>
      <c r="LLW47" s="58" t="s">
        <v>247</v>
      </c>
      <c r="LLX47" s="58" t="s">
        <v>248</v>
      </c>
      <c r="LLY47" s="58" t="s">
        <v>249</v>
      </c>
      <c r="LLZ47" s="58" t="s">
        <v>250</v>
      </c>
      <c r="LMA47" s="58" t="s">
        <v>247</v>
      </c>
      <c r="LMB47" s="58" t="s">
        <v>248</v>
      </c>
      <c r="LMC47" s="58" t="s">
        <v>249</v>
      </c>
      <c r="LMD47" s="58" t="s">
        <v>250</v>
      </c>
      <c r="LME47" s="58" t="s">
        <v>247</v>
      </c>
      <c r="LMF47" s="58" t="s">
        <v>248</v>
      </c>
      <c r="LMG47" s="58" t="s">
        <v>249</v>
      </c>
      <c r="LMH47" s="58" t="s">
        <v>250</v>
      </c>
      <c r="LMI47" s="58" t="s">
        <v>247</v>
      </c>
      <c r="LMJ47" s="58" t="s">
        <v>248</v>
      </c>
      <c r="LMK47" s="58" t="s">
        <v>249</v>
      </c>
      <c r="LML47" s="58" t="s">
        <v>250</v>
      </c>
      <c r="LMM47" s="58" t="s">
        <v>247</v>
      </c>
      <c r="LMN47" s="58" t="s">
        <v>248</v>
      </c>
      <c r="LMO47" s="58" t="s">
        <v>249</v>
      </c>
      <c r="LMP47" s="58" t="s">
        <v>250</v>
      </c>
      <c r="LMQ47" s="58" t="s">
        <v>247</v>
      </c>
      <c r="LMR47" s="58" t="s">
        <v>248</v>
      </c>
      <c r="LMS47" s="58" t="s">
        <v>249</v>
      </c>
      <c r="LMT47" s="58" t="s">
        <v>250</v>
      </c>
      <c r="LMU47" s="58" t="s">
        <v>247</v>
      </c>
      <c r="LMV47" s="58" t="s">
        <v>248</v>
      </c>
      <c r="LMW47" s="58" t="s">
        <v>249</v>
      </c>
      <c r="LMX47" s="58" t="s">
        <v>250</v>
      </c>
      <c r="LMY47" s="58" t="s">
        <v>247</v>
      </c>
      <c r="LMZ47" s="58" t="s">
        <v>248</v>
      </c>
      <c r="LNA47" s="58" t="s">
        <v>249</v>
      </c>
      <c r="LNB47" s="58" t="s">
        <v>250</v>
      </c>
      <c r="LNC47" s="58" t="s">
        <v>247</v>
      </c>
      <c r="LND47" s="58" t="s">
        <v>248</v>
      </c>
      <c r="LNE47" s="58" t="s">
        <v>249</v>
      </c>
      <c r="LNF47" s="58" t="s">
        <v>250</v>
      </c>
      <c r="LNG47" s="58" t="s">
        <v>247</v>
      </c>
      <c r="LNH47" s="58" t="s">
        <v>248</v>
      </c>
      <c r="LNI47" s="58" t="s">
        <v>249</v>
      </c>
      <c r="LNJ47" s="58" t="s">
        <v>250</v>
      </c>
      <c r="LNK47" s="58" t="s">
        <v>247</v>
      </c>
      <c r="LNL47" s="58" t="s">
        <v>248</v>
      </c>
      <c r="LNM47" s="58" t="s">
        <v>249</v>
      </c>
      <c r="LNN47" s="58" t="s">
        <v>250</v>
      </c>
      <c r="LNO47" s="58" t="s">
        <v>247</v>
      </c>
      <c r="LNP47" s="58" t="s">
        <v>248</v>
      </c>
      <c r="LNQ47" s="58" t="s">
        <v>249</v>
      </c>
      <c r="LNR47" s="58" t="s">
        <v>250</v>
      </c>
      <c r="LNS47" s="58" t="s">
        <v>247</v>
      </c>
      <c r="LNT47" s="58" t="s">
        <v>248</v>
      </c>
      <c r="LNU47" s="58" t="s">
        <v>249</v>
      </c>
      <c r="LNV47" s="58" t="s">
        <v>250</v>
      </c>
      <c r="LNW47" s="58" t="s">
        <v>247</v>
      </c>
      <c r="LNX47" s="58" t="s">
        <v>248</v>
      </c>
      <c r="LNY47" s="58" t="s">
        <v>249</v>
      </c>
      <c r="LNZ47" s="58" t="s">
        <v>250</v>
      </c>
      <c r="LOA47" s="58" t="s">
        <v>247</v>
      </c>
      <c r="LOB47" s="58" t="s">
        <v>248</v>
      </c>
      <c r="LOC47" s="58" t="s">
        <v>249</v>
      </c>
      <c r="LOD47" s="58" t="s">
        <v>250</v>
      </c>
      <c r="LOE47" s="58" t="s">
        <v>247</v>
      </c>
      <c r="LOF47" s="58" t="s">
        <v>248</v>
      </c>
      <c r="LOG47" s="58" t="s">
        <v>249</v>
      </c>
      <c r="LOH47" s="58" t="s">
        <v>250</v>
      </c>
      <c r="LOI47" s="58" t="s">
        <v>247</v>
      </c>
      <c r="LOJ47" s="58" t="s">
        <v>248</v>
      </c>
      <c r="LOK47" s="58" t="s">
        <v>249</v>
      </c>
      <c r="LOL47" s="58" t="s">
        <v>250</v>
      </c>
      <c r="LOM47" s="58" t="s">
        <v>247</v>
      </c>
      <c r="LON47" s="58" t="s">
        <v>248</v>
      </c>
      <c r="LOO47" s="58" t="s">
        <v>249</v>
      </c>
      <c r="LOP47" s="58" t="s">
        <v>250</v>
      </c>
      <c r="LOQ47" s="58" t="s">
        <v>247</v>
      </c>
      <c r="LOR47" s="58" t="s">
        <v>248</v>
      </c>
      <c r="LOS47" s="58" t="s">
        <v>249</v>
      </c>
      <c r="LOT47" s="58" t="s">
        <v>250</v>
      </c>
      <c r="LOU47" s="58" t="s">
        <v>247</v>
      </c>
      <c r="LOV47" s="58" t="s">
        <v>248</v>
      </c>
      <c r="LOW47" s="58" t="s">
        <v>249</v>
      </c>
      <c r="LOX47" s="58" t="s">
        <v>250</v>
      </c>
      <c r="LOY47" s="58" t="s">
        <v>247</v>
      </c>
      <c r="LOZ47" s="58" t="s">
        <v>248</v>
      </c>
      <c r="LPA47" s="58" t="s">
        <v>249</v>
      </c>
      <c r="LPB47" s="58" t="s">
        <v>250</v>
      </c>
      <c r="LPC47" s="58" t="s">
        <v>247</v>
      </c>
      <c r="LPD47" s="58" t="s">
        <v>248</v>
      </c>
      <c r="LPE47" s="58" t="s">
        <v>249</v>
      </c>
      <c r="LPF47" s="58" t="s">
        <v>250</v>
      </c>
      <c r="LPG47" s="58" t="s">
        <v>247</v>
      </c>
      <c r="LPH47" s="58" t="s">
        <v>248</v>
      </c>
      <c r="LPI47" s="58" t="s">
        <v>249</v>
      </c>
      <c r="LPJ47" s="58" t="s">
        <v>250</v>
      </c>
      <c r="LPK47" s="58" t="s">
        <v>247</v>
      </c>
      <c r="LPL47" s="58" t="s">
        <v>248</v>
      </c>
      <c r="LPM47" s="58" t="s">
        <v>249</v>
      </c>
      <c r="LPN47" s="58" t="s">
        <v>250</v>
      </c>
      <c r="LPO47" s="58" t="s">
        <v>247</v>
      </c>
      <c r="LPP47" s="58" t="s">
        <v>248</v>
      </c>
      <c r="LPQ47" s="58" t="s">
        <v>249</v>
      </c>
      <c r="LPR47" s="58" t="s">
        <v>250</v>
      </c>
      <c r="LPS47" s="58" t="s">
        <v>247</v>
      </c>
      <c r="LPT47" s="58" t="s">
        <v>248</v>
      </c>
      <c r="LPU47" s="58" t="s">
        <v>249</v>
      </c>
      <c r="LPV47" s="58" t="s">
        <v>250</v>
      </c>
      <c r="LPW47" s="58" t="s">
        <v>247</v>
      </c>
      <c r="LPX47" s="58" t="s">
        <v>248</v>
      </c>
      <c r="LPY47" s="58" t="s">
        <v>249</v>
      </c>
      <c r="LPZ47" s="58" t="s">
        <v>250</v>
      </c>
      <c r="LQA47" s="58" t="s">
        <v>247</v>
      </c>
      <c r="LQB47" s="58" t="s">
        <v>248</v>
      </c>
      <c r="LQC47" s="58" t="s">
        <v>249</v>
      </c>
      <c r="LQD47" s="58" t="s">
        <v>250</v>
      </c>
      <c r="LQE47" s="58" t="s">
        <v>247</v>
      </c>
      <c r="LQF47" s="58" t="s">
        <v>248</v>
      </c>
      <c r="LQG47" s="58" t="s">
        <v>249</v>
      </c>
      <c r="LQH47" s="58" t="s">
        <v>250</v>
      </c>
      <c r="LQI47" s="58" t="s">
        <v>247</v>
      </c>
      <c r="LQJ47" s="58" t="s">
        <v>248</v>
      </c>
      <c r="LQK47" s="58" t="s">
        <v>249</v>
      </c>
      <c r="LQL47" s="58" t="s">
        <v>250</v>
      </c>
      <c r="LQM47" s="58" t="s">
        <v>247</v>
      </c>
      <c r="LQN47" s="58" t="s">
        <v>248</v>
      </c>
      <c r="LQO47" s="58" t="s">
        <v>249</v>
      </c>
      <c r="LQP47" s="58" t="s">
        <v>250</v>
      </c>
      <c r="LQQ47" s="58" t="s">
        <v>247</v>
      </c>
      <c r="LQR47" s="58" t="s">
        <v>248</v>
      </c>
      <c r="LQS47" s="58" t="s">
        <v>249</v>
      </c>
      <c r="LQT47" s="58" t="s">
        <v>250</v>
      </c>
      <c r="LQU47" s="58" t="s">
        <v>247</v>
      </c>
      <c r="LQV47" s="58" t="s">
        <v>248</v>
      </c>
      <c r="LQW47" s="58" t="s">
        <v>249</v>
      </c>
      <c r="LQX47" s="58" t="s">
        <v>250</v>
      </c>
      <c r="LQY47" s="58" t="s">
        <v>247</v>
      </c>
      <c r="LQZ47" s="58" t="s">
        <v>248</v>
      </c>
      <c r="LRA47" s="58" t="s">
        <v>249</v>
      </c>
      <c r="LRB47" s="58" t="s">
        <v>250</v>
      </c>
      <c r="LRC47" s="58" t="s">
        <v>247</v>
      </c>
      <c r="LRD47" s="58" t="s">
        <v>248</v>
      </c>
      <c r="LRE47" s="58" t="s">
        <v>249</v>
      </c>
      <c r="LRF47" s="58" t="s">
        <v>250</v>
      </c>
      <c r="LRG47" s="58" t="s">
        <v>247</v>
      </c>
      <c r="LRH47" s="58" t="s">
        <v>248</v>
      </c>
      <c r="LRI47" s="58" t="s">
        <v>249</v>
      </c>
      <c r="LRJ47" s="58" t="s">
        <v>250</v>
      </c>
      <c r="LRK47" s="58" t="s">
        <v>247</v>
      </c>
      <c r="LRL47" s="58" t="s">
        <v>248</v>
      </c>
      <c r="LRM47" s="58" t="s">
        <v>249</v>
      </c>
      <c r="LRN47" s="58" t="s">
        <v>250</v>
      </c>
      <c r="LRO47" s="58" t="s">
        <v>247</v>
      </c>
      <c r="LRP47" s="58" t="s">
        <v>248</v>
      </c>
      <c r="LRQ47" s="58" t="s">
        <v>249</v>
      </c>
      <c r="LRR47" s="58" t="s">
        <v>250</v>
      </c>
      <c r="LRS47" s="58" t="s">
        <v>247</v>
      </c>
      <c r="LRT47" s="58" t="s">
        <v>248</v>
      </c>
      <c r="LRU47" s="58" t="s">
        <v>249</v>
      </c>
      <c r="LRV47" s="58" t="s">
        <v>250</v>
      </c>
      <c r="LRW47" s="58" t="s">
        <v>247</v>
      </c>
      <c r="LRX47" s="58" t="s">
        <v>248</v>
      </c>
      <c r="LRY47" s="58" t="s">
        <v>249</v>
      </c>
      <c r="LRZ47" s="58" t="s">
        <v>250</v>
      </c>
      <c r="LSA47" s="58" t="s">
        <v>247</v>
      </c>
      <c r="LSB47" s="58" t="s">
        <v>248</v>
      </c>
      <c r="LSC47" s="58" t="s">
        <v>249</v>
      </c>
      <c r="LSD47" s="58" t="s">
        <v>250</v>
      </c>
      <c r="LSE47" s="58" t="s">
        <v>247</v>
      </c>
      <c r="LSF47" s="58" t="s">
        <v>248</v>
      </c>
      <c r="LSG47" s="58" t="s">
        <v>249</v>
      </c>
      <c r="LSH47" s="58" t="s">
        <v>250</v>
      </c>
      <c r="LSI47" s="58" t="s">
        <v>247</v>
      </c>
      <c r="LSJ47" s="58" t="s">
        <v>248</v>
      </c>
      <c r="LSK47" s="58" t="s">
        <v>249</v>
      </c>
      <c r="LSL47" s="58" t="s">
        <v>250</v>
      </c>
      <c r="LSM47" s="58" t="s">
        <v>247</v>
      </c>
      <c r="LSN47" s="58" t="s">
        <v>248</v>
      </c>
      <c r="LSO47" s="58" t="s">
        <v>249</v>
      </c>
      <c r="LSP47" s="58" t="s">
        <v>250</v>
      </c>
      <c r="LSQ47" s="58" t="s">
        <v>247</v>
      </c>
      <c r="LSR47" s="58" t="s">
        <v>248</v>
      </c>
      <c r="LSS47" s="58" t="s">
        <v>249</v>
      </c>
      <c r="LST47" s="58" t="s">
        <v>250</v>
      </c>
      <c r="LSU47" s="58" t="s">
        <v>247</v>
      </c>
      <c r="LSV47" s="58" t="s">
        <v>248</v>
      </c>
      <c r="LSW47" s="58" t="s">
        <v>249</v>
      </c>
      <c r="LSX47" s="58" t="s">
        <v>250</v>
      </c>
      <c r="LSY47" s="58" t="s">
        <v>247</v>
      </c>
      <c r="LSZ47" s="58" t="s">
        <v>248</v>
      </c>
      <c r="LTA47" s="58" t="s">
        <v>249</v>
      </c>
      <c r="LTB47" s="58" t="s">
        <v>250</v>
      </c>
      <c r="LTC47" s="58" t="s">
        <v>247</v>
      </c>
      <c r="LTD47" s="58" t="s">
        <v>248</v>
      </c>
      <c r="LTE47" s="58" t="s">
        <v>249</v>
      </c>
      <c r="LTF47" s="58" t="s">
        <v>250</v>
      </c>
      <c r="LTG47" s="58" t="s">
        <v>247</v>
      </c>
      <c r="LTH47" s="58" t="s">
        <v>248</v>
      </c>
      <c r="LTI47" s="58" t="s">
        <v>249</v>
      </c>
      <c r="LTJ47" s="58" t="s">
        <v>250</v>
      </c>
      <c r="LTK47" s="58" t="s">
        <v>247</v>
      </c>
      <c r="LTL47" s="58" t="s">
        <v>248</v>
      </c>
      <c r="LTM47" s="58" t="s">
        <v>249</v>
      </c>
      <c r="LTN47" s="58" t="s">
        <v>250</v>
      </c>
      <c r="LTO47" s="58" t="s">
        <v>247</v>
      </c>
      <c r="LTP47" s="58" t="s">
        <v>248</v>
      </c>
      <c r="LTQ47" s="58" t="s">
        <v>249</v>
      </c>
      <c r="LTR47" s="58" t="s">
        <v>250</v>
      </c>
      <c r="LTS47" s="58" t="s">
        <v>247</v>
      </c>
      <c r="LTT47" s="58" t="s">
        <v>248</v>
      </c>
      <c r="LTU47" s="58" t="s">
        <v>249</v>
      </c>
      <c r="LTV47" s="58" t="s">
        <v>250</v>
      </c>
      <c r="LTW47" s="58" t="s">
        <v>247</v>
      </c>
      <c r="LTX47" s="58" t="s">
        <v>248</v>
      </c>
      <c r="LTY47" s="58" t="s">
        <v>249</v>
      </c>
      <c r="LTZ47" s="58" t="s">
        <v>250</v>
      </c>
      <c r="LUA47" s="58" t="s">
        <v>247</v>
      </c>
      <c r="LUB47" s="58" t="s">
        <v>248</v>
      </c>
      <c r="LUC47" s="58" t="s">
        <v>249</v>
      </c>
      <c r="LUD47" s="58" t="s">
        <v>250</v>
      </c>
      <c r="LUE47" s="58" t="s">
        <v>247</v>
      </c>
      <c r="LUF47" s="58" t="s">
        <v>248</v>
      </c>
      <c r="LUG47" s="58" t="s">
        <v>249</v>
      </c>
      <c r="LUH47" s="58" t="s">
        <v>250</v>
      </c>
      <c r="LUI47" s="58" t="s">
        <v>247</v>
      </c>
      <c r="LUJ47" s="58" t="s">
        <v>248</v>
      </c>
      <c r="LUK47" s="58" t="s">
        <v>249</v>
      </c>
      <c r="LUL47" s="58" t="s">
        <v>250</v>
      </c>
      <c r="LUM47" s="58" t="s">
        <v>247</v>
      </c>
      <c r="LUN47" s="58" t="s">
        <v>248</v>
      </c>
      <c r="LUO47" s="58" t="s">
        <v>249</v>
      </c>
      <c r="LUP47" s="58" t="s">
        <v>250</v>
      </c>
      <c r="LUQ47" s="58" t="s">
        <v>247</v>
      </c>
      <c r="LUR47" s="58" t="s">
        <v>248</v>
      </c>
      <c r="LUS47" s="58" t="s">
        <v>249</v>
      </c>
      <c r="LUT47" s="58" t="s">
        <v>250</v>
      </c>
      <c r="LUU47" s="58" t="s">
        <v>247</v>
      </c>
      <c r="LUV47" s="58" t="s">
        <v>248</v>
      </c>
      <c r="LUW47" s="58" t="s">
        <v>249</v>
      </c>
      <c r="LUX47" s="58" t="s">
        <v>250</v>
      </c>
      <c r="LUY47" s="58" t="s">
        <v>247</v>
      </c>
      <c r="LUZ47" s="58" t="s">
        <v>248</v>
      </c>
      <c r="LVA47" s="58" t="s">
        <v>249</v>
      </c>
      <c r="LVB47" s="58" t="s">
        <v>250</v>
      </c>
      <c r="LVC47" s="58" t="s">
        <v>247</v>
      </c>
      <c r="LVD47" s="58" t="s">
        <v>248</v>
      </c>
      <c r="LVE47" s="58" t="s">
        <v>249</v>
      </c>
      <c r="LVF47" s="58" t="s">
        <v>250</v>
      </c>
      <c r="LVG47" s="58" t="s">
        <v>247</v>
      </c>
      <c r="LVH47" s="58" t="s">
        <v>248</v>
      </c>
      <c r="LVI47" s="58" t="s">
        <v>249</v>
      </c>
      <c r="LVJ47" s="58" t="s">
        <v>250</v>
      </c>
      <c r="LVK47" s="58" t="s">
        <v>247</v>
      </c>
      <c r="LVL47" s="58" t="s">
        <v>248</v>
      </c>
      <c r="LVM47" s="58" t="s">
        <v>249</v>
      </c>
      <c r="LVN47" s="58" t="s">
        <v>250</v>
      </c>
      <c r="LVO47" s="58" t="s">
        <v>247</v>
      </c>
      <c r="LVP47" s="58" t="s">
        <v>248</v>
      </c>
      <c r="LVQ47" s="58" t="s">
        <v>249</v>
      </c>
      <c r="LVR47" s="58" t="s">
        <v>250</v>
      </c>
      <c r="LVS47" s="58" t="s">
        <v>247</v>
      </c>
      <c r="LVT47" s="58" t="s">
        <v>248</v>
      </c>
      <c r="LVU47" s="58" t="s">
        <v>249</v>
      </c>
      <c r="LVV47" s="58" t="s">
        <v>250</v>
      </c>
      <c r="LVW47" s="58" t="s">
        <v>247</v>
      </c>
      <c r="LVX47" s="58" t="s">
        <v>248</v>
      </c>
      <c r="LVY47" s="58" t="s">
        <v>249</v>
      </c>
      <c r="LVZ47" s="58" t="s">
        <v>250</v>
      </c>
      <c r="LWA47" s="58" t="s">
        <v>247</v>
      </c>
      <c r="LWB47" s="58" t="s">
        <v>248</v>
      </c>
      <c r="LWC47" s="58" t="s">
        <v>249</v>
      </c>
      <c r="LWD47" s="58" t="s">
        <v>250</v>
      </c>
      <c r="LWE47" s="58" t="s">
        <v>247</v>
      </c>
      <c r="LWF47" s="58" t="s">
        <v>248</v>
      </c>
      <c r="LWG47" s="58" t="s">
        <v>249</v>
      </c>
      <c r="LWH47" s="58" t="s">
        <v>250</v>
      </c>
      <c r="LWI47" s="58" t="s">
        <v>247</v>
      </c>
      <c r="LWJ47" s="58" t="s">
        <v>248</v>
      </c>
      <c r="LWK47" s="58" t="s">
        <v>249</v>
      </c>
      <c r="LWL47" s="58" t="s">
        <v>250</v>
      </c>
      <c r="LWM47" s="58" t="s">
        <v>247</v>
      </c>
      <c r="LWN47" s="58" t="s">
        <v>248</v>
      </c>
      <c r="LWO47" s="58" t="s">
        <v>249</v>
      </c>
      <c r="LWP47" s="58" t="s">
        <v>250</v>
      </c>
      <c r="LWQ47" s="58" t="s">
        <v>247</v>
      </c>
      <c r="LWR47" s="58" t="s">
        <v>248</v>
      </c>
      <c r="LWS47" s="58" t="s">
        <v>249</v>
      </c>
      <c r="LWT47" s="58" t="s">
        <v>250</v>
      </c>
      <c r="LWU47" s="58" t="s">
        <v>247</v>
      </c>
      <c r="LWV47" s="58" t="s">
        <v>248</v>
      </c>
      <c r="LWW47" s="58" t="s">
        <v>249</v>
      </c>
      <c r="LWX47" s="58" t="s">
        <v>250</v>
      </c>
      <c r="LWY47" s="58" t="s">
        <v>247</v>
      </c>
      <c r="LWZ47" s="58" t="s">
        <v>248</v>
      </c>
      <c r="LXA47" s="58" t="s">
        <v>249</v>
      </c>
      <c r="LXB47" s="58" t="s">
        <v>250</v>
      </c>
      <c r="LXC47" s="58" t="s">
        <v>247</v>
      </c>
      <c r="LXD47" s="58" t="s">
        <v>248</v>
      </c>
      <c r="LXE47" s="58" t="s">
        <v>249</v>
      </c>
      <c r="LXF47" s="58" t="s">
        <v>250</v>
      </c>
      <c r="LXG47" s="58" t="s">
        <v>247</v>
      </c>
      <c r="LXH47" s="58" t="s">
        <v>248</v>
      </c>
      <c r="LXI47" s="58" t="s">
        <v>249</v>
      </c>
      <c r="LXJ47" s="58" t="s">
        <v>250</v>
      </c>
      <c r="LXK47" s="58" t="s">
        <v>247</v>
      </c>
      <c r="LXL47" s="58" t="s">
        <v>248</v>
      </c>
      <c r="LXM47" s="58" t="s">
        <v>249</v>
      </c>
      <c r="LXN47" s="58" t="s">
        <v>250</v>
      </c>
      <c r="LXO47" s="58" t="s">
        <v>247</v>
      </c>
      <c r="LXP47" s="58" t="s">
        <v>248</v>
      </c>
      <c r="LXQ47" s="58" t="s">
        <v>249</v>
      </c>
      <c r="LXR47" s="58" t="s">
        <v>250</v>
      </c>
      <c r="LXS47" s="58" t="s">
        <v>247</v>
      </c>
      <c r="LXT47" s="58" t="s">
        <v>248</v>
      </c>
      <c r="LXU47" s="58" t="s">
        <v>249</v>
      </c>
      <c r="LXV47" s="58" t="s">
        <v>250</v>
      </c>
      <c r="LXW47" s="58" t="s">
        <v>247</v>
      </c>
      <c r="LXX47" s="58" t="s">
        <v>248</v>
      </c>
      <c r="LXY47" s="58" t="s">
        <v>249</v>
      </c>
      <c r="LXZ47" s="58" t="s">
        <v>250</v>
      </c>
      <c r="LYA47" s="58" t="s">
        <v>247</v>
      </c>
      <c r="LYB47" s="58" t="s">
        <v>248</v>
      </c>
      <c r="LYC47" s="58" t="s">
        <v>249</v>
      </c>
      <c r="LYD47" s="58" t="s">
        <v>250</v>
      </c>
      <c r="LYE47" s="58" t="s">
        <v>247</v>
      </c>
      <c r="LYF47" s="58" t="s">
        <v>248</v>
      </c>
      <c r="LYG47" s="58" t="s">
        <v>249</v>
      </c>
      <c r="LYH47" s="58" t="s">
        <v>250</v>
      </c>
      <c r="LYI47" s="58" t="s">
        <v>247</v>
      </c>
      <c r="LYJ47" s="58" t="s">
        <v>248</v>
      </c>
      <c r="LYK47" s="58" t="s">
        <v>249</v>
      </c>
      <c r="LYL47" s="58" t="s">
        <v>250</v>
      </c>
      <c r="LYM47" s="58" t="s">
        <v>247</v>
      </c>
      <c r="LYN47" s="58" t="s">
        <v>248</v>
      </c>
      <c r="LYO47" s="58" t="s">
        <v>249</v>
      </c>
      <c r="LYP47" s="58" t="s">
        <v>250</v>
      </c>
      <c r="LYQ47" s="58" t="s">
        <v>247</v>
      </c>
      <c r="LYR47" s="58" t="s">
        <v>248</v>
      </c>
      <c r="LYS47" s="58" t="s">
        <v>249</v>
      </c>
      <c r="LYT47" s="58" t="s">
        <v>250</v>
      </c>
      <c r="LYU47" s="58" t="s">
        <v>247</v>
      </c>
      <c r="LYV47" s="58" t="s">
        <v>248</v>
      </c>
      <c r="LYW47" s="58" t="s">
        <v>249</v>
      </c>
      <c r="LYX47" s="58" t="s">
        <v>250</v>
      </c>
      <c r="LYY47" s="58" t="s">
        <v>247</v>
      </c>
      <c r="LYZ47" s="58" t="s">
        <v>248</v>
      </c>
      <c r="LZA47" s="58" t="s">
        <v>249</v>
      </c>
      <c r="LZB47" s="58" t="s">
        <v>250</v>
      </c>
      <c r="LZC47" s="58" t="s">
        <v>247</v>
      </c>
      <c r="LZD47" s="58" t="s">
        <v>248</v>
      </c>
      <c r="LZE47" s="58" t="s">
        <v>249</v>
      </c>
      <c r="LZF47" s="58" t="s">
        <v>250</v>
      </c>
      <c r="LZG47" s="58" t="s">
        <v>247</v>
      </c>
      <c r="LZH47" s="58" t="s">
        <v>248</v>
      </c>
      <c r="LZI47" s="58" t="s">
        <v>249</v>
      </c>
      <c r="LZJ47" s="58" t="s">
        <v>250</v>
      </c>
      <c r="LZK47" s="58" t="s">
        <v>247</v>
      </c>
      <c r="LZL47" s="58" t="s">
        <v>248</v>
      </c>
      <c r="LZM47" s="58" t="s">
        <v>249</v>
      </c>
      <c r="LZN47" s="58" t="s">
        <v>250</v>
      </c>
      <c r="LZO47" s="58" t="s">
        <v>247</v>
      </c>
      <c r="LZP47" s="58" t="s">
        <v>248</v>
      </c>
      <c r="LZQ47" s="58" t="s">
        <v>249</v>
      </c>
      <c r="LZR47" s="58" t="s">
        <v>250</v>
      </c>
      <c r="LZS47" s="58" t="s">
        <v>247</v>
      </c>
      <c r="LZT47" s="58" t="s">
        <v>248</v>
      </c>
      <c r="LZU47" s="58" t="s">
        <v>249</v>
      </c>
      <c r="LZV47" s="58" t="s">
        <v>250</v>
      </c>
      <c r="LZW47" s="58" t="s">
        <v>247</v>
      </c>
      <c r="LZX47" s="58" t="s">
        <v>248</v>
      </c>
      <c r="LZY47" s="58" t="s">
        <v>249</v>
      </c>
      <c r="LZZ47" s="58" t="s">
        <v>250</v>
      </c>
      <c r="MAA47" s="58" t="s">
        <v>247</v>
      </c>
      <c r="MAB47" s="58" t="s">
        <v>248</v>
      </c>
      <c r="MAC47" s="58" t="s">
        <v>249</v>
      </c>
      <c r="MAD47" s="58" t="s">
        <v>250</v>
      </c>
      <c r="MAE47" s="58" t="s">
        <v>247</v>
      </c>
      <c r="MAF47" s="58" t="s">
        <v>248</v>
      </c>
      <c r="MAG47" s="58" t="s">
        <v>249</v>
      </c>
      <c r="MAH47" s="58" t="s">
        <v>250</v>
      </c>
      <c r="MAI47" s="58" t="s">
        <v>247</v>
      </c>
      <c r="MAJ47" s="58" t="s">
        <v>248</v>
      </c>
      <c r="MAK47" s="58" t="s">
        <v>249</v>
      </c>
      <c r="MAL47" s="58" t="s">
        <v>250</v>
      </c>
      <c r="MAM47" s="58" t="s">
        <v>247</v>
      </c>
      <c r="MAN47" s="58" t="s">
        <v>248</v>
      </c>
      <c r="MAO47" s="58" t="s">
        <v>249</v>
      </c>
      <c r="MAP47" s="58" t="s">
        <v>250</v>
      </c>
      <c r="MAQ47" s="58" t="s">
        <v>247</v>
      </c>
      <c r="MAR47" s="58" t="s">
        <v>248</v>
      </c>
      <c r="MAS47" s="58" t="s">
        <v>249</v>
      </c>
      <c r="MAT47" s="58" t="s">
        <v>250</v>
      </c>
      <c r="MAU47" s="58" t="s">
        <v>247</v>
      </c>
      <c r="MAV47" s="58" t="s">
        <v>248</v>
      </c>
      <c r="MAW47" s="58" t="s">
        <v>249</v>
      </c>
      <c r="MAX47" s="58" t="s">
        <v>250</v>
      </c>
      <c r="MAY47" s="58" t="s">
        <v>247</v>
      </c>
      <c r="MAZ47" s="58" t="s">
        <v>248</v>
      </c>
      <c r="MBA47" s="58" t="s">
        <v>249</v>
      </c>
      <c r="MBB47" s="58" t="s">
        <v>250</v>
      </c>
      <c r="MBC47" s="58" t="s">
        <v>247</v>
      </c>
      <c r="MBD47" s="58" t="s">
        <v>248</v>
      </c>
      <c r="MBE47" s="58" t="s">
        <v>249</v>
      </c>
      <c r="MBF47" s="58" t="s">
        <v>250</v>
      </c>
      <c r="MBG47" s="58" t="s">
        <v>247</v>
      </c>
      <c r="MBH47" s="58" t="s">
        <v>248</v>
      </c>
      <c r="MBI47" s="58" t="s">
        <v>249</v>
      </c>
      <c r="MBJ47" s="58" t="s">
        <v>250</v>
      </c>
      <c r="MBK47" s="58" t="s">
        <v>247</v>
      </c>
      <c r="MBL47" s="58" t="s">
        <v>248</v>
      </c>
      <c r="MBM47" s="58" t="s">
        <v>249</v>
      </c>
      <c r="MBN47" s="58" t="s">
        <v>250</v>
      </c>
      <c r="MBO47" s="58" t="s">
        <v>247</v>
      </c>
      <c r="MBP47" s="58" t="s">
        <v>248</v>
      </c>
      <c r="MBQ47" s="58" t="s">
        <v>249</v>
      </c>
      <c r="MBR47" s="58" t="s">
        <v>250</v>
      </c>
      <c r="MBS47" s="58" t="s">
        <v>247</v>
      </c>
      <c r="MBT47" s="58" t="s">
        <v>248</v>
      </c>
      <c r="MBU47" s="58" t="s">
        <v>249</v>
      </c>
      <c r="MBV47" s="58" t="s">
        <v>250</v>
      </c>
      <c r="MBW47" s="58" t="s">
        <v>247</v>
      </c>
      <c r="MBX47" s="58" t="s">
        <v>248</v>
      </c>
      <c r="MBY47" s="58" t="s">
        <v>249</v>
      </c>
      <c r="MBZ47" s="58" t="s">
        <v>250</v>
      </c>
      <c r="MCA47" s="58" t="s">
        <v>247</v>
      </c>
      <c r="MCB47" s="58" t="s">
        <v>248</v>
      </c>
      <c r="MCC47" s="58" t="s">
        <v>249</v>
      </c>
      <c r="MCD47" s="58" t="s">
        <v>250</v>
      </c>
      <c r="MCE47" s="58" t="s">
        <v>247</v>
      </c>
      <c r="MCF47" s="58" t="s">
        <v>248</v>
      </c>
      <c r="MCG47" s="58" t="s">
        <v>249</v>
      </c>
      <c r="MCH47" s="58" t="s">
        <v>250</v>
      </c>
      <c r="MCI47" s="58" t="s">
        <v>247</v>
      </c>
      <c r="MCJ47" s="58" t="s">
        <v>248</v>
      </c>
      <c r="MCK47" s="58" t="s">
        <v>249</v>
      </c>
      <c r="MCL47" s="58" t="s">
        <v>250</v>
      </c>
      <c r="MCM47" s="58" t="s">
        <v>247</v>
      </c>
      <c r="MCN47" s="58" t="s">
        <v>248</v>
      </c>
      <c r="MCO47" s="58" t="s">
        <v>249</v>
      </c>
      <c r="MCP47" s="58" t="s">
        <v>250</v>
      </c>
      <c r="MCQ47" s="58" t="s">
        <v>247</v>
      </c>
      <c r="MCR47" s="58" t="s">
        <v>248</v>
      </c>
      <c r="MCS47" s="58" t="s">
        <v>249</v>
      </c>
      <c r="MCT47" s="58" t="s">
        <v>250</v>
      </c>
      <c r="MCU47" s="58" t="s">
        <v>247</v>
      </c>
      <c r="MCV47" s="58" t="s">
        <v>248</v>
      </c>
      <c r="MCW47" s="58" t="s">
        <v>249</v>
      </c>
      <c r="MCX47" s="58" t="s">
        <v>250</v>
      </c>
      <c r="MCY47" s="58" t="s">
        <v>247</v>
      </c>
      <c r="MCZ47" s="58" t="s">
        <v>248</v>
      </c>
      <c r="MDA47" s="58" t="s">
        <v>249</v>
      </c>
      <c r="MDB47" s="58" t="s">
        <v>250</v>
      </c>
      <c r="MDC47" s="58" t="s">
        <v>247</v>
      </c>
      <c r="MDD47" s="58" t="s">
        <v>248</v>
      </c>
      <c r="MDE47" s="58" t="s">
        <v>249</v>
      </c>
      <c r="MDF47" s="58" t="s">
        <v>250</v>
      </c>
      <c r="MDG47" s="58" t="s">
        <v>247</v>
      </c>
      <c r="MDH47" s="58" t="s">
        <v>248</v>
      </c>
      <c r="MDI47" s="58" t="s">
        <v>249</v>
      </c>
      <c r="MDJ47" s="58" t="s">
        <v>250</v>
      </c>
      <c r="MDK47" s="58" t="s">
        <v>247</v>
      </c>
      <c r="MDL47" s="58" t="s">
        <v>248</v>
      </c>
      <c r="MDM47" s="58" t="s">
        <v>249</v>
      </c>
      <c r="MDN47" s="58" t="s">
        <v>250</v>
      </c>
      <c r="MDO47" s="58" t="s">
        <v>247</v>
      </c>
      <c r="MDP47" s="58" t="s">
        <v>248</v>
      </c>
      <c r="MDQ47" s="58" t="s">
        <v>249</v>
      </c>
      <c r="MDR47" s="58" t="s">
        <v>250</v>
      </c>
      <c r="MDS47" s="58" t="s">
        <v>247</v>
      </c>
      <c r="MDT47" s="58" t="s">
        <v>248</v>
      </c>
      <c r="MDU47" s="58" t="s">
        <v>249</v>
      </c>
      <c r="MDV47" s="58" t="s">
        <v>250</v>
      </c>
      <c r="MDW47" s="58" t="s">
        <v>247</v>
      </c>
      <c r="MDX47" s="58" t="s">
        <v>248</v>
      </c>
      <c r="MDY47" s="58" t="s">
        <v>249</v>
      </c>
      <c r="MDZ47" s="58" t="s">
        <v>250</v>
      </c>
      <c r="MEA47" s="58" t="s">
        <v>247</v>
      </c>
      <c r="MEB47" s="58" t="s">
        <v>248</v>
      </c>
      <c r="MEC47" s="58" t="s">
        <v>249</v>
      </c>
      <c r="MED47" s="58" t="s">
        <v>250</v>
      </c>
      <c r="MEE47" s="58" t="s">
        <v>247</v>
      </c>
      <c r="MEF47" s="58" t="s">
        <v>248</v>
      </c>
      <c r="MEG47" s="58" t="s">
        <v>249</v>
      </c>
      <c r="MEH47" s="58" t="s">
        <v>250</v>
      </c>
      <c r="MEI47" s="58" t="s">
        <v>247</v>
      </c>
      <c r="MEJ47" s="58" t="s">
        <v>248</v>
      </c>
      <c r="MEK47" s="58" t="s">
        <v>249</v>
      </c>
      <c r="MEL47" s="58" t="s">
        <v>250</v>
      </c>
      <c r="MEM47" s="58" t="s">
        <v>247</v>
      </c>
      <c r="MEN47" s="58" t="s">
        <v>248</v>
      </c>
      <c r="MEO47" s="58" t="s">
        <v>249</v>
      </c>
      <c r="MEP47" s="58" t="s">
        <v>250</v>
      </c>
      <c r="MEQ47" s="58" t="s">
        <v>247</v>
      </c>
      <c r="MER47" s="58" t="s">
        <v>248</v>
      </c>
      <c r="MES47" s="58" t="s">
        <v>249</v>
      </c>
      <c r="MET47" s="58" t="s">
        <v>250</v>
      </c>
      <c r="MEU47" s="58" t="s">
        <v>247</v>
      </c>
      <c r="MEV47" s="58" t="s">
        <v>248</v>
      </c>
      <c r="MEW47" s="58" t="s">
        <v>249</v>
      </c>
      <c r="MEX47" s="58" t="s">
        <v>250</v>
      </c>
      <c r="MEY47" s="58" t="s">
        <v>247</v>
      </c>
      <c r="MEZ47" s="58" t="s">
        <v>248</v>
      </c>
      <c r="MFA47" s="58" t="s">
        <v>249</v>
      </c>
      <c r="MFB47" s="58" t="s">
        <v>250</v>
      </c>
      <c r="MFC47" s="58" t="s">
        <v>247</v>
      </c>
      <c r="MFD47" s="58" t="s">
        <v>248</v>
      </c>
      <c r="MFE47" s="58" t="s">
        <v>249</v>
      </c>
      <c r="MFF47" s="58" t="s">
        <v>250</v>
      </c>
      <c r="MFG47" s="58" t="s">
        <v>247</v>
      </c>
      <c r="MFH47" s="58" t="s">
        <v>248</v>
      </c>
      <c r="MFI47" s="58" t="s">
        <v>249</v>
      </c>
      <c r="MFJ47" s="58" t="s">
        <v>250</v>
      </c>
      <c r="MFK47" s="58" t="s">
        <v>247</v>
      </c>
      <c r="MFL47" s="58" t="s">
        <v>248</v>
      </c>
      <c r="MFM47" s="58" t="s">
        <v>249</v>
      </c>
      <c r="MFN47" s="58" t="s">
        <v>250</v>
      </c>
      <c r="MFO47" s="58" t="s">
        <v>247</v>
      </c>
      <c r="MFP47" s="58" t="s">
        <v>248</v>
      </c>
      <c r="MFQ47" s="58" t="s">
        <v>249</v>
      </c>
      <c r="MFR47" s="58" t="s">
        <v>250</v>
      </c>
      <c r="MFS47" s="58" t="s">
        <v>247</v>
      </c>
      <c r="MFT47" s="58" t="s">
        <v>248</v>
      </c>
      <c r="MFU47" s="58" t="s">
        <v>249</v>
      </c>
      <c r="MFV47" s="58" t="s">
        <v>250</v>
      </c>
      <c r="MFW47" s="58" t="s">
        <v>247</v>
      </c>
      <c r="MFX47" s="58" t="s">
        <v>248</v>
      </c>
      <c r="MFY47" s="58" t="s">
        <v>249</v>
      </c>
      <c r="MFZ47" s="58" t="s">
        <v>250</v>
      </c>
      <c r="MGA47" s="58" t="s">
        <v>247</v>
      </c>
      <c r="MGB47" s="58" t="s">
        <v>248</v>
      </c>
      <c r="MGC47" s="58" t="s">
        <v>249</v>
      </c>
      <c r="MGD47" s="58" t="s">
        <v>250</v>
      </c>
      <c r="MGE47" s="58" t="s">
        <v>247</v>
      </c>
      <c r="MGF47" s="58" t="s">
        <v>248</v>
      </c>
      <c r="MGG47" s="58" t="s">
        <v>249</v>
      </c>
      <c r="MGH47" s="58" t="s">
        <v>250</v>
      </c>
      <c r="MGI47" s="58" t="s">
        <v>247</v>
      </c>
      <c r="MGJ47" s="58" t="s">
        <v>248</v>
      </c>
      <c r="MGK47" s="58" t="s">
        <v>249</v>
      </c>
      <c r="MGL47" s="58" t="s">
        <v>250</v>
      </c>
      <c r="MGM47" s="58" t="s">
        <v>247</v>
      </c>
      <c r="MGN47" s="58" t="s">
        <v>248</v>
      </c>
      <c r="MGO47" s="58" t="s">
        <v>249</v>
      </c>
      <c r="MGP47" s="58" t="s">
        <v>250</v>
      </c>
      <c r="MGQ47" s="58" t="s">
        <v>247</v>
      </c>
      <c r="MGR47" s="58" t="s">
        <v>248</v>
      </c>
      <c r="MGS47" s="58" t="s">
        <v>249</v>
      </c>
      <c r="MGT47" s="58" t="s">
        <v>250</v>
      </c>
      <c r="MGU47" s="58" t="s">
        <v>247</v>
      </c>
      <c r="MGV47" s="58" t="s">
        <v>248</v>
      </c>
      <c r="MGW47" s="58" t="s">
        <v>249</v>
      </c>
      <c r="MGX47" s="58" t="s">
        <v>250</v>
      </c>
      <c r="MGY47" s="58" t="s">
        <v>247</v>
      </c>
      <c r="MGZ47" s="58" t="s">
        <v>248</v>
      </c>
      <c r="MHA47" s="58" t="s">
        <v>249</v>
      </c>
      <c r="MHB47" s="58" t="s">
        <v>250</v>
      </c>
      <c r="MHC47" s="58" t="s">
        <v>247</v>
      </c>
      <c r="MHD47" s="58" t="s">
        <v>248</v>
      </c>
      <c r="MHE47" s="58" t="s">
        <v>249</v>
      </c>
      <c r="MHF47" s="58" t="s">
        <v>250</v>
      </c>
      <c r="MHG47" s="58" t="s">
        <v>247</v>
      </c>
      <c r="MHH47" s="58" t="s">
        <v>248</v>
      </c>
      <c r="MHI47" s="58" t="s">
        <v>249</v>
      </c>
      <c r="MHJ47" s="58" t="s">
        <v>250</v>
      </c>
      <c r="MHK47" s="58" t="s">
        <v>247</v>
      </c>
      <c r="MHL47" s="58" t="s">
        <v>248</v>
      </c>
      <c r="MHM47" s="58" t="s">
        <v>249</v>
      </c>
      <c r="MHN47" s="58" t="s">
        <v>250</v>
      </c>
      <c r="MHO47" s="58" t="s">
        <v>247</v>
      </c>
      <c r="MHP47" s="58" t="s">
        <v>248</v>
      </c>
      <c r="MHQ47" s="58" t="s">
        <v>249</v>
      </c>
      <c r="MHR47" s="58" t="s">
        <v>250</v>
      </c>
      <c r="MHS47" s="58" t="s">
        <v>247</v>
      </c>
      <c r="MHT47" s="58" t="s">
        <v>248</v>
      </c>
      <c r="MHU47" s="58" t="s">
        <v>249</v>
      </c>
      <c r="MHV47" s="58" t="s">
        <v>250</v>
      </c>
      <c r="MHW47" s="58" t="s">
        <v>247</v>
      </c>
      <c r="MHX47" s="58" t="s">
        <v>248</v>
      </c>
      <c r="MHY47" s="58" t="s">
        <v>249</v>
      </c>
      <c r="MHZ47" s="58" t="s">
        <v>250</v>
      </c>
      <c r="MIA47" s="58" t="s">
        <v>247</v>
      </c>
      <c r="MIB47" s="58" t="s">
        <v>248</v>
      </c>
      <c r="MIC47" s="58" t="s">
        <v>249</v>
      </c>
      <c r="MID47" s="58" t="s">
        <v>250</v>
      </c>
      <c r="MIE47" s="58" t="s">
        <v>247</v>
      </c>
      <c r="MIF47" s="58" t="s">
        <v>248</v>
      </c>
      <c r="MIG47" s="58" t="s">
        <v>249</v>
      </c>
      <c r="MIH47" s="58" t="s">
        <v>250</v>
      </c>
      <c r="MII47" s="58" t="s">
        <v>247</v>
      </c>
      <c r="MIJ47" s="58" t="s">
        <v>248</v>
      </c>
      <c r="MIK47" s="58" t="s">
        <v>249</v>
      </c>
      <c r="MIL47" s="58" t="s">
        <v>250</v>
      </c>
      <c r="MIM47" s="58" t="s">
        <v>247</v>
      </c>
      <c r="MIN47" s="58" t="s">
        <v>248</v>
      </c>
      <c r="MIO47" s="58" t="s">
        <v>249</v>
      </c>
      <c r="MIP47" s="58" t="s">
        <v>250</v>
      </c>
      <c r="MIQ47" s="58" t="s">
        <v>247</v>
      </c>
      <c r="MIR47" s="58" t="s">
        <v>248</v>
      </c>
      <c r="MIS47" s="58" t="s">
        <v>249</v>
      </c>
      <c r="MIT47" s="58" t="s">
        <v>250</v>
      </c>
      <c r="MIU47" s="58" t="s">
        <v>247</v>
      </c>
      <c r="MIV47" s="58" t="s">
        <v>248</v>
      </c>
      <c r="MIW47" s="58" t="s">
        <v>249</v>
      </c>
      <c r="MIX47" s="58" t="s">
        <v>250</v>
      </c>
      <c r="MIY47" s="58" t="s">
        <v>247</v>
      </c>
      <c r="MIZ47" s="58" t="s">
        <v>248</v>
      </c>
      <c r="MJA47" s="58" t="s">
        <v>249</v>
      </c>
      <c r="MJB47" s="58" t="s">
        <v>250</v>
      </c>
      <c r="MJC47" s="58" t="s">
        <v>247</v>
      </c>
      <c r="MJD47" s="58" t="s">
        <v>248</v>
      </c>
      <c r="MJE47" s="58" t="s">
        <v>249</v>
      </c>
      <c r="MJF47" s="58" t="s">
        <v>250</v>
      </c>
      <c r="MJG47" s="58" t="s">
        <v>247</v>
      </c>
      <c r="MJH47" s="58" t="s">
        <v>248</v>
      </c>
      <c r="MJI47" s="58" t="s">
        <v>249</v>
      </c>
      <c r="MJJ47" s="58" t="s">
        <v>250</v>
      </c>
      <c r="MJK47" s="58" t="s">
        <v>247</v>
      </c>
      <c r="MJL47" s="58" t="s">
        <v>248</v>
      </c>
      <c r="MJM47" s="58" t="s">
        <v>249</v>
      </c>
      <c r="MJN47" s="58" t="s">
        <v>250</v>
      </c>
      <c r="MJO47" s="58" t="s">
        <v>247</v>
      </c>
      <c r="MJP47" s="58" t="s">
        <v>248</v>
      </c>
      <c r="MJQ47" s="58" t="s">
        <v>249</v>
      </c>
      <c r="MJR47" s="58" t="s">
        <v>250</v>
      </c>
      <c r="MJS47" s="58" t="s">
        <v>247</v>
      </c>
      <c r="MJT47" s="58" t="s">
        <v>248</v>
      </c>
      <c r="MJU47" s="58" t="s">
        <v>249</v>
      </c>
      <c r="MJV47" s="58" t="s">
        <v>250</v>
      </c>
      <c r="MJW47" s="58" t="s">
        <v>247</v>
      </c>
      <c r="MJX47" s="58" t="s">
        <v>248</v>
      </c>
      <c r="MJY47" s="58" t="s">
        <v>249</v>
      </c>
      <c r="MJZ47" s="58" t="s">
        <v>250</v>
      </c>
      <c r="MKA47" s="58" t="s">
        <v>247</v>
      </c>
      <c r="MKB47" s="58" t="s">
        <v>248</v>
      </c>
      <c r="MKC47" s="58" t="s">
        <v>249</v>
      </c>
      <c r="MKD47" s="58" t="s">
        <v>250</v>
      </c>
      <c r="MKE47" s="58" t="s">
        <v>247</v>
      </c>
      <c r="MKF47" s="58" t="s">
        <v>248</v>
      </c>
      <c r="MKG47" s="58" t="s">
        <v>249</v>
      </c>
      <c r="MKH47" s="58" t="s">
        <v>250</v>
      </c>
      <c r="MKI47" s="58" t="s">
        <v>247</v>
      </c>
      <c r="MKJ47" s="58" t="s">
        <v>248</v>
      </c>
      <c r="MKK47" s="58" t="s">
        <v>249</v>
      </c>
      <c r="MKL47" s="58" t="s">
        <v>250</v>
      </c>
      <c r="MKM47" s="58" t="s">
        <v>247</v>
      </c>
      <c r="MKN47" s="58" t="s">
        <v>248</v>
      </c>
      <c r="MKO47" s="58" t="s">
        <v>249</v>
      </c>
      <c r="MKP47" s="58" t="s">
        <v>250</v>
      </c>
      <c r="MKQ47" s="58" t="s">
        <v>247</v>
      </c>
      <c r="MKR47" s="58" t="s">
        <v>248</v>
      </c>
      <c r="MKS47" s="58" t="s">
        <v>249</v>
      </c>
      <c r="MKT47" s="58" t="s">
        <v>250</v>
      </c>
      <c r="MKU47" s="58" t="s">
        <v>247</v>
      </c>
      <c r="MKV47" s="58" t="s">
        <v>248</v>
      </c>
      <c r="MKW47" s="58" t="s">
        <v>249</v>
      </c>
      <c r="MKX47" s="58" t="s">
        <v>250</v>
      </c>
      <c r="MKY47" s="58" t="s">
        <v>247</v>
      </c>
      <c r="MKZ47" s="58" t="s">
        <v>248</v>
      </c>
      <c r="MLA47" s="58" t="s">
        <v>249</v>
      </c>
      <c r="MLB47" s="58" t="s">
        <v>250</v>
      </c>
      <c r="MLC47" s="58" t="s">
        <v>247</v>
      </c>
      <c r="MLD47" s="58" t="s">
        <v>248</v>
      </c>
      <c r="MLE47" s="58" t="s">
        <v>249</v>
      </c>
      <c r="MLF47" s="58" t="s">
        <v>250</v>
      </c>
      <c r="MLG47" s="58" t="s">
        <v>247</v>
      </c>
      <c r="MLH47" s="58" t="s">
        <v>248</v>
      </c>
      <c r="MLI47" s="58" t="s">
        <v>249</v>
      </c>
      <c r="MLJ47" s="58" t="s">
        <v>250</v>
      </c>
      <c r="MLK47" s="58" t="s">
        <v>247</v>
      </c>
      <c r="MLL47" s="58" t="s">
        <v>248</v>
      </c>
      <c r="MLM47" s="58" t="s">
        <v>249</v>
      </c>
      <c r="MLN47" s="58" t="s">
        <v>250</v>
      </c>
      <c r="MLO47" s="58" t="s">
        <v>247</v>
      </c>
      <c r="MLP47" s="58" t="s">
        <v>248</v>
      </c>
      <c r="MLQ47" s="58" t="s">
        <v>249</v>
      </c>
      <c r="MLR47" s="58" t="s">
        <v>250</v>
      </c>
      <c r="MLS47" s="58" t="s">
        <v>247</v>
      </c>
      <c r="MLT47" s="58" t="s">
        <v>248</v>
      </c>
      <c r="MLU47" s="58" t="s">
        <v>249</v>
      </c>
      <c r="MLV47" s="58" t="s">
        <v>250</v>
      </c>
      <c r="MLW47" s="58" t="s">
        <v>247</v>
      </c>
      <c r="MLX47" s="58" t="s">
        <v>248</v>
      </c>
      <c r="MLY47" s="58" t="s">
        <v>249</v>
      </c>
      <c r="MLZ47" s="58" t="s">
        <v>250</v>
      </c>
      <c r="MMA47" s="58" t="s">
        <v>247</v>
      </c>
      <c r="MMB47" s="58" t="s">
        <v>248</v>
      </c>
      <c r="MMC47" s="58" t="s">
        <v>249</v>
      </c>
      <c r="MMD47" s="58" t="s">
        <v>250</v>
      </c>
      <c r="MME47" s="58" t="s">
        <v>247</v>
      </c>
      <c r="MMF47" s="58" t="s">
        <v>248</v>
      </c>
      <c r="MMG47" s="58" t="s">
        <v>249</v>
      </c>
      <c r="MMH47" s="58" t="s">
        <v>250</v>
      </c>
      <c r="MMI47" s="58" t="s">
        <v>247</v>
      </c>
      <c r="MMJ47" s="58" t="s">
        <v>248</v>
      </c>
      <c r="MMK47" s="58" t="s">
        <v>249</v>
      </c>
      <c r="MML47" s="58" t="s">
        <v>250</v>
      </c>
      <c r="MMM47" s="58" t="s">
        <v>247</v>
      </c>
      <c r="MMN47" s="58" t="s">
        <v>248</v>
      </c>
      <c r="MMO47" s="58" t="s">
        <v>249</v>
      </c>
      <c r="MMP47" s="58" t="s">
        <v>250</v>
      </c>
      <c r="MMQ47" s="58" t="s">
        <v>247</v>
      </c>
      <c r="MMR47" s="58" t="s">
        <v>248</v>
      </c>
      <c r="MMS47" s="58" t="s">
        <v>249</v>
      </c>
      <c r="MMT47" s="58" t="s">
        <v>250</v>
      </c>
      <c r="MMU47" s="58" t="s">
        <v>247</v>
      </c>
      <c r="MMV47" s="58" t="s">
        <v>248</v>
      </c>
      <c r="MMW47" s="58" t="s">
        <v>249</v>
      </c>
      <c r="MMX47" s="58" t="s">
        <v>250</v>
      </c>
      <c r="MMY47" s="58" t="s">
        <v>247</v>
      </c>
      <c r="MMZ47" s="58" t="s">
        <v>248</v>
      </c>
      <c r="MNA47" s="58" t="s">
        <v>249</v>
      </c>
      <c r="MNB47" s="58" t="s">
        <v>250</v>
      </c>
      <c r="MNC47" s="58" t="s">
        <v>247</v>
      </c>
      <c r="MND47" s="58" t="s">
        <v>248</v>
      </c>
      <c r="MNE47" s="58" t="s">
        <v>249</v>
      </c>
      <c r="MNF47" s="58" t="s">
        <v>250</v>
      </c>
      <c r="MNG47" s="58" t="s">
        <v>247</v>
      </c>
      <c r="MNH47" s="58" t="s">
        <v>248</v>
      </c>
      <c r="MNI47" s="58" t="s">
        <v>249</v>
      </c>
      <c r="MNJ47" s="58" t="s">
        <v>250</v>
      </c>
      <c r="MNK47" s="58" t="s">
        <v>247</v>
      </c>
      <c r="MNL47" s="58" t="s">
        <v>248</v>
      </c>
      <c r="MNM47" s="58" t="s">
        <v>249</v>
      </c>
      <c r="MNN47" s="58" t="s">
        <v>250</v>
      </c>
      <c r="MNO47" s="58" t="s">
        <v>247</v>
      </c>
      <c r="MNP47" s="58" t="s">
        <v>248</v>
      </c>
      <c r="MNQ47" s="58" t="s">
        <v>249</v>
      </c>
      <c r="MNR47" s="58" t="s">
        <v>250</v>
      </c>
      <c r="MNS47" s="58" t="s">
        <v>247</v>
      </c>
      <c r="MNT47" s="58" t="s">
        <v>248</v>
      </c>
      <c r="MNU47" s="58" t="s">
        <v>249</v>
      </c>
      <c r="MNV47" s="58" t="s">
        <v>250</v>
      </c>
      <c r="MNW47" s="58" t="s">
        <v>247</v>
      </c>
      <c r="MNX47" s="58" t="s">
        <v>248</v>
      </c>
      <c r="MNY47" s="58" t="s">
        <v>249</v>
      </c>
      <c r="MNZ47" s="58" t="s">
        <v>250</v>
      </c>
      <c r="MOA47" s="58" t="s">
        <v>247</v>
      </c>
      <c r="MOB47" s="58" t="s">
        <v>248</v>
      </c>
      <c r="MOC47" s="58" t="s">
        <v>249</v>
      </c>
      <c r="MOD47" s="58" t="s">
        <v>250</v>
      </c>
      <c r="MOE47" s="58" t="s">
        <v>247</v>
      </c>
      <c r="MOF47" s="58" t="s">
        <v>248</v>
      </c>
      <c r="MOG47" s="58" t="s">
        <v>249</v>
      </c>
      <c r="MOH47" s="58" t="s">
        <v>250</v>
      </c>
      <c r="MOI47" s="58" t="s">
        <v>247</v>
      </c>
      <c r="MOJ47" s="58" t="s">
        <v>248</v>
      </c>
      <c r="MOK47" s="58" t="s">
        <v>249</v>
      </c>
      <c r="MOL47" s="58" t="s">
        <v>250</v>
      </c>
      <c r="MOM47" s="58" t="s">
        <v>247</v>
      </c>
      <c r="MON47" s="58" t="s">
        <v>248</v>
      </c>
      <c r="MOO47" s="58" t="s">
        <v>249</v>
      </c>
      <c r="MOP47" s="58" t="s">
        <v>250</v>
      </c>
      <c r="MOQ47" s="58" t="s">
        <v>247</v>
      </c>
      <c r="MOR47" s="58" t="s">
        <v>248</v>
      </c>
      <c r="MOS47" s="58" t="s">
        <v>249</v>
      </c>
      <c r="MOT47" s="58" t="s">
        <v>250</v>
      </c>
      <c r="MOU47" s="58" t="s">
        <v>247</v>
      </c>
      <c r="MOV47" s="58" t="s">
        <v>248</v>
      </c>
      <c r="MOW47" s="58" t="s">
        <v>249</v>
      </c>
      <c r="MOX47" s="58" t="s">
        <v>250</v>
      </c>
      <c r="MOY47" s="58" t="s">
        <v>247</v>
      </c>
      <c r="MOZ47" s="58" t="s">
        <v>248</v>
      </c>
      <c r="MPA47" s="58" t="s">
        <v>249</v>
      </c>
      <c r="MPB47" s="58" t="s">
        <v>250</v>
      </c>
      <c r="MPC47" s="58" t="s">
        <v>247</v>
      </c>
      <c r="MPD47" s="58" t="s">
        <v>248</v>
      </c>
      <c r="MPE47" s="58" t="s">
        <v>249</v>
      </c>
      <c r="MPF47" s="58" t="s">
        <v>250</v>
      </c>
      <c r="MPG47" s="58" t="s">
        <v>247</v>
      </c>
      <c r="MPH47" s="58" t="s">
        <v>248</v>
      </c>
      <c r="MPI47" s="58" t="s">
        <v>249</v>
      </c>
      <c r="MPJ47" s="58" t="s">
        <v>250</v>
      </c>
      <c r="MPK47" s="58" t="s">
        <v>247</v>
      </c>
      <c r="MPL47" s="58" t="s">
        <v>248</v>
      </c>
      <c r="MPM47" s="58" t="s">
        <v>249</v>
      </c>
      <c r="MPN47" s="58" t="s">
        <v>250</v>
      </c>
      <c r="MPO47" s="58" t="s">
        <v>247</v>
      </c>
      <c r="MPP47" s="58" t="s">
        <v>248</v>
      </c>
      <c r="MPQ47" s="58" t="s">
        <v>249</v>
      </c>
      <c r="MPR47" s="58" t="s">
        <v>250</v>
      </c>
      <c r="MPS47" s="58" t="s">
        <v>247</v>
      </c>
      <c r="MPT47" s="58" t="s">
        <v>248</v>
      </c>
      <c r="MPU47" s="58" t="s">
        <v>249</v>
      </c>
      <c r="MPV47" s="58" t="s">
        <v>250</v>
      </c>
      <c r="MPW47" s="58" t="s">
        <v>247</v>
      </c>
      <c r="MPX47" s="58" t="s">
        <v>248</v>
      </c>
      <c r="MPY47" s="58" t="s">
        <v>249</v>
      </c>
      <c r="MPZ47" s="58" t="s">
        <v>250</v>
      </c>
      <c r="MQA47" s="58" t="s">
        <v>247</v>
      </c>
      <c r="MQB47" s="58" t="s">
        <v>248</v>
      </c>
      <c r="MQC47" s="58" t="s">
        <v>249</v>
      </c>
      <c r="MQD47" s="58" t="s">
        <v>250</v>
      </c>
      <c r="MQE47" s="58" t="s">
        <v>247</v>
      </c>
      <c r="MQF47" s="58" t="s">
        <v>248</v>
      </c>
      <c r="MQG47" s="58" t="s">
        <v>249</v>
      </c>
      <c r="MQH47" s="58" t="s">
        <v>250</v>
      </c>
      <c r="MQI47" s="58" t="s">
        <v>247</v>
      </c>
      <c r="MQJ47" s="58" t="s">
        <v>248</v>
      </c>
      <c r="MQK47" s="58" t="s">
        <v>249</v>
      </c>
      <c r="MQL47" s="58" t="s">
        <v>250</v>
      </c>
      <c r="MQM47" s="58" t="s">
        <v>247</v>
      </c>
      <c r="MQN47" s="58" t="s">
        <v>248</v>
      </c>
      <c r="MQO47" s="58" t="s">
        <v>249</v>
      </c>
      <c r="MQP47" s="58" t="s">
        <v>250</v>
      </c>
      <c r="MQQ47" s="58" t="s">
        <v>247</v>
      </c>
      <c r="MQR47" s="58" t="s">
        <v>248</v>
      </c>
      <c r="MQS47" s="58" t="s">
        <v>249</v>
      </c>
      <c r="MQT47" s="58" t="s">
        <v>250</v>
      </c>
      <c r="MQU47" s="58" t="s">
        <v>247</v>
      </c>
      <c r="MQV47" s="58" t="s">
        <v>248</v>
      </c>
      <c r="MQW47" s="58" t="s">
        <v>249</v>
      </c>
      <c r="MQX47" s="58" t="s">
        <v>250</v>
      </c>
      <c r="MQY47" s="58" t="s">
        <v>247</v>
      </c>
      <c r="MQZ47" s="58" t="s">
        <v>248</v>
      </c>
      <c r="MRA47" s="58" t="s">
        <v>249</v>
      </c>
      <c r="MRB47" s="58" t="s">
        <v>250</v>
      </c>
      <c r="MRC47" s="58" t="s">
        <v>247</v>
      </c>
      <c r="MRD47" s="58" t="s">
        <v>248</v>
      </c>
      <c r="MRE47" s="58" t="s">
        <v>249</v>
      </c>
      <c r="MRF47" s="58" t="s">
        <v>250</v>
      </c>
      <c r="MRG47" s="58" t="s">
        <v>247</v>
      </c>
      <c r="MRH47" s="58" t="s">
        <v>248</v>
      </c>
      <c r="MRI47" s="58" t="s">
        <v>249</v>
      </c>
      <c r="MRJ47" s="58" t="s">
        <v>250</v>
      </c>
      <c r="MRK47" s="58" t="s">
        <v>247</v>
      </c>
      <c r="MRL47" s="58" t="s">
        <v>248</v>
      </c>
      <c r="MRM47" s="58" t="s">
        <v>249</v>
      </c>
      <c r="MRN47" s="58" t="s">
        <v>250</v>
      </c>
      <c r="MRO47" s="58" t="s">
        <v>247</v>
      </c>
      <c r="MRP47" s="58" t="s">
        <v>248</v>
      </c>
      <c r="MRQ47" s="58" t="s">
        <v>249</v>
      </c>
      <c r="MRR47" s="58" t="s">
        <v>250</v>
      </c>
      <c r="MRS47" s="58" t="s">
        <v>247</v>
      </c>
      <c r="MRT47" s="58" t="s">
        <v>248</v>
      </c>
      <c r="MRU47" s="58" t="s">
        <v>249</v>
      </c>
      <c r="MRV47" s="58" t="s">
        <v>250</v>
      </c>
      <c r="MRW47" s="58" t="s">
        <v>247</v>
      </c>
      <c r="MRX47" s="58" t="s">
        <v>248</v>
      </c>
      <c r="MRY47" s="58" t="s">
        <v>249</v>
      </c>
      <c r="MRZ47" s="58" t="s">
        <v>250</v>
      </c>
      <c r="MSA47" s="58" t="s">
        <v>247</v>
      </c>
      <c r="MSB47" s="58" t="s">
        <v>248</v>
      </c>
      <c r="MSC47" s="58" t="s">
        <v>249</v>
      </c>
      <c r="MSD47" s="58" t="s">
        <v>250</v>
      </c>
      <c r="MSE47" s="58" t="s">
        <v>247</v>
      </c>
      <c r="MSF47" s="58" t="s">
        <v>248</v>
      </c>
      <c r="MSG47" s="58" t="s">
        <v>249</v>
      </c>
      <c r="MSH47" s="58" t="s">
        <v>250</v>
      </c>
      <c r="MSI47" s="58" t="s">
        <v>247</v>
      </c>
      <c r="MSJ47" s="58" t="s">
        <v>248</v>
      </c>
      <c r="MSK47" s="58" t="s">
        <v>249</v>
      </c>
      <c r="MSL47" s="58" t="s">
        <v>250</v>
      </c>
      <c r="MSM47" s="58" t="s">
        <v>247</v>
      </c>
      <c r="MSN47" s="58" t="s">
        <v>248</v>
      </c>
      <c r="MSO47" s="58" t="s">
        <v>249</v>
      </c>
      <c r="MSP47" s="58" t="s">
        <v>250</v>
      </c>
      <c r="MSQ47" s="58" t="s">
        <v>247</v>
      </c>
      <c r="MSR47" s="58" t="s">
        <v>248</v>
      </c>
      <c r="MSS47" s="58" t="s">
        <v>249</v>
      </c>
      <c r="MST47" s="58" t="s">
        <v>250</v>
      </c>
      <c r="MSU47" s="58" t="s">
        <v>247</v>
      </c>
      <c r="MSV47" s="58" t="s">
        <v>248</v>
      </c>
      <c r="MSW47" s="58" t="s">
        <v>249</v>
      </c>
      <c r="MSX47" s="58" t="s">
        <v>250</v>
      </c>
      <c r="MSY47" s="58" t="s">
        <v>247</v>
      </c>
      <c r="MSZ47" s="58" t="s">
        <v>248</v>
      </c>
      <c r="MTA47" s="58" t="s">
        <v>249</v>
      </c>
      <c r="MTB47" s="58" t="s">
        <v>250</v>
      </c>
      <c r="MTC47" s="58" t="s">
        <v>247</v>
      </c>
      <c r="MTD47" s="58" t="s">
        <v>248</v>
      </c>
      <c r="MTE47" s="58" t="s">
        <v>249</v>
      </c>
      <c r="MTF47" s="58" t="s">
        <v>250</v>
      </c>
      <c r="MTG47" s="58" t="s">
        <v>247</v>
      </c>
      <c r="MTH47" s="58" t="s">
        <v>248</v>
      </c>
      <c r="MTI47" s="58" t="s">
        <v>249</v>
      </c>
      <c r="MTJ47" s="58" t="s">
        <v>250</v>
      </c>
      <c r="MTK47" s="58" t="s">
        <v>247</v>
      </c>
      <c r="MTL47" s="58" t="s">
        <v>248</v>
      </c>
      <c r="MTM47" s="58" t="s">
        <v>249</v>
      </c>
      <c r="MTN47" s="58" t="s">
        <v>250</v>
      </c>
      <c r="MTO47" s="58" t="s">
        <v>247</v>
      </c>
      <c r="MTP47" s="58" t="s">
        <v>248</v>
      </c>
      <c r="MTQ47" s="58" t="s">
        <v>249</v>
      </c>
      <c r="MTR47" s="58" t="s">
        <v>250</v>
      </c>
      <c r="MTS47" s="58" t="s">
        <v>247</v>
      </c>
      <c r="MTT47" s="58" t="s">
        <v>248</v>
      </c>
      <c r="MTU47" s="58" t="s">
        <v>249</v>
      </c>
      <c r="MTV47" s="58" t="s">
        <v>250</v>
      </c>
      <c r="MTW47" s="58" t="s">
        <v>247</v>
      </c>
      <c r="MTX47" s="58" t="s">
        <v>248</v>
      </c>
      <c r="MTY47" s="58" t="s">
        <v>249</v>
      </c>
      <c r="MTZ47" s="58" t="s">
        <v>250</v>
      </c>
      <c r="MUA47" s="58" t="s">
        <v>247</v>
      </c>
      <c r="MUB47" s="58" t="s">
        <v>248</v>
      </c>
      <c r="MUC47" s="58" t="s">
        <v>249</v>
      </c>
      <c r="MUD47" s="58" t="s">
        <v>250</v>
      </c>
      <c r="MUE47" s="58" t="s">
        <v>247</v>
      </c>
      <c r="MUF47" s="58" t="s">
        <v>248</v>
      </c>
      <c r="MUG47" s="58" t="s">
        <v>249</v>
      </c>
      <c r="MUH47" s="58" t="s">
        <v>250</v>
      </c>
      <c r="MUI47" s="58" t="s">
        <v>247</v>
      </c>
      <c r="MUJ47" s="58" t="s">
        <v>248</v>
      </c>
      <c r="MUK47" s="58" t="s">
        <v>249</v>
      </c>
      <c r="MUL47" s="58" t="s">
        <v>250</v>
      </c>
      <c r="MUM47" s="58" t="s">
        <v>247</v>
      </c>
      <c r="MUN47" s="58" t="s">
        <v>248</v>
      </c>
      <c r="MUO47" s="58" t="s">
        <v>249</v>
      </c>
      <c r="MUP47" s="58" t="s">
        <v>250</v>
      </c>
      <c r="MUQ47" s="58" t="s">
        <v>247</v>
      </c>
      <c r="MUR47" s="58" t="s">
        <v>248</v>
      </c>
      <c r="MUS47" s="58" t="s">
        <v>249</v>
      </c>
      <c r="MUT47" s="58" t="s">
        <v>250</v>
      </c>
      <c r="MUU47" s="58" t="s">
        <v>247</v>
      </c>
      <c r="MUV47" s="58" t="s">
        <v>248</v>
      </c>
      <c r="MUW47" s="58" t="s">
        <v>249</v>
      </c>
      <c r="MUX47" s="58" t="s">
        <v>250</v>
      </c>
      <c r="MUY47" s="58" t="s">
        <v>247</v>
      </c>
      <c r="MUZ47" s="58" t="s">
        <v>248</v>
      </c>
      <c r="MVA47" s="58" t="s">
        <v>249</v>
      </c>
      <c r="MVB47" s="58" t="s">
        <v>250</v>
      </c>
      <c r="MVC47" s="58" t="s">
        <v>247</v>
      </c>
      <c r="MVD47" s="58" t="s">
        <v>248</v>
      </c>
      <c r="MVE47" s="58" t="s">
        <v>249</v>
      </c>
      <c r="MVF47" s="58" t="s">
        <v>250</v>
      </c>
      <c r="MVG47" s="58" t="s">
        <v>247</v>
      </c>
      <c r="MVH47" s="58" t="s">
        <v>248</v>
      </c>
      <c r="MVI47" s="58" t="s">
        <v>249</v>
      </c>
      <c r="MVJ47" s="58" t="s">
        <v>250</v>
      </c>
      <c r="MVK47" s="58" t="s">
        <v>247</v>
      </c>
      <c r="MVL47" s="58" t="s">
        <v>248</v>
      </c>
      <c r="MVM47" s="58" t="s">
        <v>249</v>
      </c>
      <c r="MVN47" s="58" t="s">
        <v>250</v>
      </c>
      <c r="MVO47" s="58" t="s">
        <v>247</v>
      </c>
      <c r="MVP47" s="58" t="s">
        <v>248</v>
      </c>
      <c r="MVQ47" s="58" t="s">
        <v>249</v>
      </c>
      <c r="MVR47" s="58" t="s">
        <v>250</v>
      </c>
      <c r="MVS47" s="58" t="s">
        <v>247</v>
      </c>
      <c r="MVT47" s="58" t="s">
        <v>248</v>
      </c>
      <c r="MVU47" s="58" t="s">
        <v>249</v>
      </c>
      <c r="MVV47" s="58" t="s">
        <v>250</v>
      </c>
      <c r="MVW47" s="58" t="s">
        <v>247</v>
      </c>
      <c r="MVX47" s="58" t="s">
        <v>248</v>
      </c>
      <c r="MVY47" s="58" t="s">
        <v>249</v>
      </c>
      <c r="MVZ47" s="58" t="s">
        <v>250</v>
      </c>
      <c r="MWA47" s="58" t="s">
        <v>247</v>
      </c>
      <c r="MWB47" s="58" t="s">
        <v>248</v>
      </c>
      <c r="MWC47" s="58" t="s">
        <v>249</v>
      </c>
      <c r="MWD47" s="58" t="s">
        <v>250</v>
      </c>
      <c r="MWE47" s="58" t="s">
        <v>247</v>
      </c>
      <c r="MWF47" s="58" t="s">
        <v>248</v>
      </c>
      <c r="MWG47" s="58" t="s">
        <v>249</v>
      </c>
      <c r="MWH47" s="58" t="s">
        <v>250</v>
      </c>
      <c r="MWI47" s="58" t="s">
        <v>247</v>
      </c>
      <c r="MWJ47" s="58" t="s">
        <v>248</v>
      </c>
      <c r="MWK47" s="58" t="s">
        <v>249</v>
      </c>
      <c r="MWL47" s="58" t="s">
        <v>250</v>
      </c>
      <c r="MWM47" s="58" t="s">
        <v>247</v>
      </c>
      <c r="MWN47" s="58" t="s">
        <v>248</v>
      </c>
      <c r="MWO47" s="58" t="s">
        <v>249</v>
      </c>
      <c r="MWP47" s="58" t="s">
        <v>250</v>
      </c>
      <c r="MWQ47" s="58" t="s">
        <v>247</v>
      </c>
      <c r="MWR47" s="58" t="s">
        <v>248</v>
      </c>
      <c r="MWS47" s="58" t="s">
        <v>249</v>
      </c>
      <c r="MWT47" s="58" t="s">
        <v>250</v>
      </c>
      <c r="MWU47" s="58" t="s">
        <v>247</v>
      </c>
      <c r="MWV47" s="58" t="s">
        <v>248</v>
      </c>
      <c r="MWW47" s="58" t="s">
        <v>249</v>
      </c>
      <c r="MWX47" s="58" t="s">
        <v>250</v>
      </c>
      <c r="MWY47" s="58" t="s">
        <v>247</v>
      </c>
      <c r="MWZ47" s="58" t="s">
        <v>248</v>
      </c>
      <c r="MXA47" s="58" t="s">
        <v>249</v>
      </c>
      <c r="MXB47" s="58" t="s">
        <v>250</v>
      </c>
      <c r="MXC47" s="58" t="s">
        <v>247</v>
      </c>
      <c r="MXD47" s="58" t="s">
        <v>248</v>
      </c>
      <c r="MXE47" s="58" t="s">
        <v>249</v>
      </c>
      <c r="MXF47" s="58" t="s">
        <v>250</v>
      </c>
      <c r="MXG47" s="58" t="s">
        <v>247</v>
      </c>
      <c r="MXH47" s="58" t="s">
        <v>248</v>
      </c>
      <c r="MXI47" s="58" t="s">
        <v>249</v>
      </c>
      <c r="MXJ47" s="58" t="s">
        <v>250</v>
      </c>
      <c r="MXK47" s="58" t="s">
        <v>247</v>
      </c>
      <c r="MXL47" s="58" t="s">
        <v>248</v>
      </c>
      <c r="MXM47" s="58" t="s">
        <v>249</v>
      </c>
      <c r="MXN47" s="58" t="s">
        <v>250</v>
      </c>
      <c r="MXO47" s="58" t="s">
        <v>247</v>
      </c>
      <c r="MXP47" s="58" t="s">
        <v>248</v>
      </c>
      <c r="MXQ47" s="58" t="s">
        <v>249</v>
      </c>
      <c r="MXR47" s="58" t="s">
        <v>250</v>
      </c>
      <c r="MXS47" s="58" t="s">
        <v>247</v>
      </c>
      <c r="MXT47" s="58" t="s">
        <v>248</v>
      </c>
      <c r="MXU47" s="58" t="s">
        <v>249</v>
      </c>
      <c r="MXV47" s="58" t="s">
        <v>250</v>
      </c>
      <c r="MXW47" s="58" t="s">
        <v>247</v>
      </c>
      <c r="MXX47" s="58" t="s">
        <v>248</v>
      </c>
      <c r="MXY47" s="58" t="s">
        <v>249</v>
      </c>
      <c r="MXZ47" s="58" t="s">
        <v>250</v>
      </c>
      <c r="MYA47" s="58" t="s">
        <v>247</v>
      </c>
      <c r="MYB47" s="58" t="s">
        <v>248</v>
      </c>
      <c r="MYC47" s="58" t="s">
        <v>249</v>
      </c>
      <c r="MYD47" s="58" t="s">
        <v>250</v>
      </c>
      <c r="MYE47" s="58" t="s">
        <v>247</v>
      </c>
      <c r="MYF47" s="58" t="s">
        <v>248</v>
      </c>
      <c r="MYG47" s="58" t="s">
        <v>249</v>
      </c>
      <c r="MYH47" s="58" t="s">
        <v>250</v>
      </c>
      <c r="MYI47" s="58" t="s">
        <v>247</v>
      </c>
      <c r="MYJ47" s="58" t="s">
        <v>248</v>
      </c>
      <c r="MYK47" s="58" t="s">
        <v>249</v>
      </c>
      <c r="MYL47" s="58" t="s">
        <v>250</v>
      </c>
      <c r="MYM47" s="58" t="s">
        <v>247</v>
      </c>
      <c r="MYN47" s="58" t="s">
        <v>248</v>
      </c>
      <c r="MYO47" s="58" t="s">
        <v>249</v>
      </c>
      <c r="MYP47" s="58" t="s">
        <v>250</v>
      </c>
      <c r="MYQ47" s="58" t="s">
        <v>247</v>
      </c>
      <c r="MYR47" s="58" t="s">
        <v>248</v>
      </c>
      <c r="MYS47" s="58" t="s">
        <v>249</v>
      </c>
      <c r="MYT47" s="58" t="s">
        <v>250</v>
      </c>
      <c r="MYU47" s="58" t="s">
        <v>247</v>
      </c>
      <c r="MYV47" s="58" t="s">
        <v>248</v>
      </c>
      <c r="MYW47" s="58" t="s">
        <v>249</v>
      </c>
      <c r="MYX47" s="58" t="s">
        <v>250</v>
      </c>
      <c r="MYY47" s="58" t="s">
        <v>247</v>
      </c>
      <c r="MYZ47" s="58" t="s">
        <v>248</v>
      </c>
      <c r="MZA47" s="58" t="s">
        <v>249</v>
      </c>
      <c r="MZB47" s="58" t="s">
        <v>250</v>
      </c>
      <c r="MZC47" s="58" t="s">
        <v>247</v>
      </c>
      <c r="MZD47" s="58" t="s">
        <v>248</v>
      </c>
      <c r="MZE47" s="58" t="s">
        <v>249</v>
      </c>
      <c r="MZF47" s="58" t="s">
        <v>250</v>
      </c>
      <c r="MZG47" s="58" t="s">
        <v>247</v>
      </c>
      <c r="MZH47" s="58" t="s">
        <v>248</v>
      </c>
      <c r="MZI47" s="58" t="s">
        <v>249</v>
      </c>
      <c r="MZJ47" s="58" t="s">
        <v>250</v>
      </c>
      <c r="MZK47" s="58" t="s">
        <v>247</v>
      </c>
      <c r="MZL47" s="58" t="s">
        <v>248</v>
      </c>
      <c r="MZM47" s="58" t="s">
        <v>249</v>
      </c>
      <c r="MZN47" s="58" t="s">
        <v>250</v>
      </c>
      <c r="MZO47" s="58" t="s">
        <v>247</v>
      </c>
      <c r="MZP47" s="58" t="s">
        <v>248</v>
      </c>
      <c r="MZQ47" s="58" t="s">
        <v>249</v>
      </c>
      <c r="MZR47" s="58" t="s">
        <v>250</v>
      </c>
      <c r="MZS47" s="58" t="s">
        <v>247</v>
      </c>
      <c r="MZT47" s="58" t="s">
        <v>248</v>
      </c>
      <c r="MZU47" s="58" t="s">
        <v>249</v>
      </c>
      <c r="MZV47" s="58" t="s">
        <v>250</v>
      </c>
      <c r="MZW47" s="58" t="s">
        <v>247</v>
      </c>
      <c r="MZX47" s="58" t="s">
        <v>248</v>
      </c>
      <c r="MZY47" s="58" t="s">
        <v>249</v>
      </c>
      <c r="MZZ47" s="58" t="s">
        <v>250</v>
      </c>
      <c r="NAA47" s="58" t="s">
        <v>247</v>
      </c>
      <c r="NAB47" s="58" t="s">
        <v>248</v>
      </c>
      <c r="NAC47" s="58" t="s">
        <v>249</v>
      </c>
      <c r="NAD47" s="58" t="s">
        <v>250</v>
      </c>
      <c r="NAE47" s="58" t="s">
        <v>247</v>
      </c>
      <c r="NAF47" s="58" t="s">
        <v>248</v>
      </c>
      <c r="NAG47" s="58" t="s">
        <v>249</v>
      </c>
      <c r="NAH47" s="58" t="s">
        <v>250</v>
      </c>
      <c r="NAI47" s="58" t="s">
        <v>247</v>
      </c>
      <c r="NAJ47" s="58" t="s">
        <v>248</v>
      </c>
      <c r="NAK47" s="58" t="s">
        <v>249</v>
      </c>
      <c r="NAL47" s="58" t="s">
        <v>250</v>
      </c>
      <c r="NAM47" s="58" t="s">
        <v>247</v>
      </c>
      <c r="NAN47" s="58" t="s">
        <v>248</v>
      </c>
      <c r="NAO47" s="58" t="s">
        <v>249</v>
      </c>
      <c r="NAP47" s="58" t="s">
        <v>250</v>
      </c>
      <c r="NAQ47" s="58" t="s">
        <v>247</v>
      </c>
      <c r="NAR47" s="58" t="s">
        <v>248</v>
      </c>
      <c r="NAS47" s="58" t="s">
        <v>249</v>
      </c>
      <c r="NAT47" s="58" t="s">
        <v>250</v>
      </c>
      <c r="NAU47" s="58" t="s">
        <v>247</v>
      </c>
      <c r="NAV47" s="58" t="s">
        <v>248</v>
      </c>
      <c r="NAW47" s="58" t="s">
        <v>249</v>
      </c>
      <c r="NAX47" s="58" t="s">
        <v>250</v>
      </c>
      <c r="NAY47" s="58" t="s">
        <v>247</v>
      </c>
      <c r="NAZ47" s="58" t="s">
        <v>248</v>
      </c>
      <c r="NBA47" s="58" t="s">
        <v>249</v>
      </c>
      <c r="NBB47" s="58" t="s">
        <v>250</v>
      </c>
      <c r="NBC47" s="58" t="s">
        <v>247</v>
      </c>
      <c r="NBD47" s="58" t="s">
        <v>248</v>
      </c>
      <c r="NBE47" s="58" t="s">
        <v>249</v>
      </c>
      <c r="NBF47" s="58" t="s">
        <v>250</v>
      </c>
      <c r="NBG47" s="58" t="s">
        <v>247</v>
      </c>
      <c r="NBH47" s="58" t="s">
        <v>248</v>
      </c>
      <c r="NBI47" s="58" t="s">
        <v>249</v>
      </c>
      <c r="NBJ47" s="58" t="s">
        <v>250</v>
      </c>
      <c r="NBK47" s="58" t="s">
        <v>247</v>
      </c>
      <c r="NBL47" s="58" t="s">
        <v>248</v>
      </c>
      <c r="NBM47" s="58" t="s">
        <v>249</v>
      </c>
      <c r="NBN47" s="58" t="s">
        <v>250</v>
      </c>
      <c r="NBO47" s="58" t="s">
        <v>247</v>
      </c>
      <c r="NBP47" s="58" t="s">
        <v>248</v>
      </c>
      <c r="NBQ47" s="58" t="s">
        <v>249</v>
      </c>
      <c r="NBR47" s="58" t="s">
        <v>250</v>
      </c>
      <c r="NBS47" s="58" t="s">
        <v>247</v>
      </c>
      <c r="NBT47" s="58" t="s">
        <v>248</v>
      </c>
      <c r="NBU47" s="58" t="s">
        <v>249</v>
      </c>
      <c r="NBV47" s="58" t="s">
        <v>250</v>
      </c>
      <c r="NBW47" s="58" t="s">
        <v>247</v>
      </c>
      <c r="NBX47" s="58" t="s">
        <v>248</v>
      </c>
      <c r="NBY47" s="58" t="s">
        <v>249</v>
      </c>
      <c r="NBZ47" s="58" t="s">
        <v>250</v>
      </c>
      <c r="NCA47" s="58" t="s">
        <v>247</v>
      </c>
      <c r="NCB47" s="58" t="s">
        <v>248</v>
      </c>
      <c r="NCC47" s="58" t="s">
        <v>249</v>
      </c>
      <c r="NCD47" s="58" t="s">
        <v>250</v>
      </c>
      <c r="NCE47" s="58" t="s">
        <v>247</v>
      </c>
      <c r="NCF47" s="58" t="s">
        <v>248</v>
      </c>
      <c r="NCG47" s="58" t="s">
        <v>249</v>
      </c>
      <c r="NCH47" s="58" t="s">
        <v>250</v>
      </c>
      <c r="NCI47" s="58" t="s">
        <v>247</v>
      </c>
      <c r="NCJ47" s="58" t="s">
        <v>248</v>
      </c>
      <c r="NCK47" s="58" t="s">
        <v>249</v>
      </c>
      <c r="NCL47" s="58" t="s">
        <v>250</v>
      </c>
      <c r="NCM47" s="58" t="s">
        <v>247</v>
      </c>
      <c r="NCN47" s="58" t="s">
        <v>248</v>
      </c>
      <c r="NCO47" s="58" t="s">
        <v>249</v>
      </c>
      <c r="NCP47" s="58" t="s">
        <v>250</v>
      </c>
      <c r="NCQ47" s="58" t="s">
        <v>247</v>
      </c>
      <c r="NCR47" s="58" t="s">
        <v>248</v>
      </c>
      <c r="NCS47" s="58" t="s">
        <v>249</v>
      </c>
      <c r="NCT47" s="58" t="s">
        <v>250</v>
      </c>
      <c r="NCU47" s="58" t="s">
        <v>247</v>
      </c>
      <c r="NCV47" s="58" t="s">
        <v>248</v>
      </c>
      <c r="NCW47" s="58" t="s">
        <v>249</v>
      </c>
      <c r="NCX47" s="58" t="s">
        <v>250</v>
      </c>
      <c r="NCY47" s="58" t="s">
        <v>247</v>
      </c>
      <c r="NCZ47" s="58" t="s">
        <v>248</v>
      </c>
      <c r="NDA47" s="58" t="s">
        <v>249</v>
      </c>
      <c r="NDB47" s="58" t="s">
        <v>250</v>
      </c>
      <c r="NDC47" s="58" t="s">
        <v>247</v>
      </c>
      <c r="NDD47" s="58" t="s">
        <v>248</v>
      </c>
      <c r="NDE47" s="58" t="s">
        <v>249</v>
      </c>
      <c r="NDF47" s="58" t="s">
        <v>250</v>
      </c>
      <c r="NDG47" s="58" t="s">
        <v>247</v>
      </c>
      <c r="NDH47" s="58" t="s">
        <v>248</v>
      </c>
      <c r="NDI47" s="58" t="s">
        <v>249</v>
      </c>
      <c r="NDJ47" s="58" t="s">
        <v>250</v>
      </c>
      <c r="NDK47" s="58" t="s">
        <v>247</v>
      </c>
      <c r="NDL47" s="58" t="s">
        <v>248</v>
      </c>
      <c r="NDM47" s="58" t="s">
        <v>249</v>
      </c>
      <c r="NDN47" s="58" t="s">
        <v>250</v>
      </c>
      <c r="NDO47" s="58" t="s">
        <v>247</v>
      </c>
      <c r="NDP47" s="58" t="s">
        <v>248</v>
      </c>
      <c r="NDQ47" s="58" t="s">
        <v>249</v>
      </c>
      <c r="NDR47" s="58" t="s">
        <v>250</v>
      </c>
      <c r="NDS47" s="58" t="s">
        <v>247</v>
      </c>
      <c r="NDT47" s="58" t="s">
        <v>248</v>
      </c>
      <c r="NDU47" s="58" t="s">
        <v>249</v>
      </c>
      <c r="NDV47" s="58" t="s">
        <v>250</v>
      </c>
      <c r="NDW47" s="58" t="s">
        <v>247</v>
      </c>
      <c r="NDX47" s="58" t="s">
        <v>248</v>
      </c>
      <c r="NDY47" s="58" t="s">
        <v>249</v>
      </c>
      <c r="NDZ47" s="58" t="s">
        <v>250</v>
      </c>
      <c r="NEA47" s="58" t="s">
        <v>247</v>
      </c>
      <c r="NEB47" s="58" t="s">
        <v>248</v>
      </c>
      <c r="NEC47" s="58" t="s">
        <v>249</v>
      </c>
      <c r="NED47" s="58" t="s">
        <v>250</v>
      </c>
      <c r="NEE47" s="58" t="s">
        <v>247</v>
      </c>
      <c r="NEF47" s="58" t="s">
        <v>248</v>
      </c>
      <c r="NEG47" s="58" t="s">
        <v>249</v>
      </c>
      <c r="NEH47" s="58" t="s">
        <v>250</v>
      </c>
      <c r="NEI47" s="58" t="s">
        <v>247</v>
      </c>
      <c r="NEJ47" s="58" t="s">
        <v>248</v>
      </c>
      <c r="NEK47" s="58" t="s">
        <v>249</v>
      </c>
      <c r="NEL47" s="58" t="s">
        <v>250</v>
      </c>
      <c r="NEM47" s="58" t="s">
        <v>247</v>
      </c>
      <c r="NEN47" s="58" t="s">
        <v>248</v>
      </c>
      <c r="NEO47" s="58" t="s">
        <v>249</v>
      </c>
      <c r="NEP47" s="58" t="s">
        <v>250</v>
      </c>
      <c r="NEQ47" s="58" t="s">
        <v>247</v>
      </c>
      <c r="NER47" s="58" t="s">
        <v>248</v>
      </c>
      <c r="NES47" s="58" t="s">
        <v>249</v>
      </c>
      <c r="NET47" s="58" t="s">
        <v>250</v>
      </c>
      <c r="NEU47" s="58" t="s">
        <v>247</v>
      </c>
      <c r="NEV47" s="58" t="s">
        <v>248</v>
      </c>
      <c r="NEW47" s="58" t="s">
        <v>249</v>
      </c>
      <c r="NEX47" s="58" t="s">
        <v>250</v>
      </c>
      <c r="NEY47" s="58" t="s">
        <v>247</v>
      </c>
      <c r="NEZ47" s="58" t="s">
        <v>248</v>
      </c>
      <c r="NFA47" s="58" t="s">
        <v>249</v>
      </c>
      <c r="NFB47" s="58" t="s">
        <v>250</v>
      </c>
      <c r="NFC47" s="58" t="s">
        <v>247</v>
      </c>
      <c r="NFD47" s="58" t="s">
        <v>248</v>
      </c>
      <c r="NFE47" s="58" t="s">
        <v>249</v>
      </c>
      <c r="NFF47" s="58" t="s">
        <v>250</v>
      </c>
      <c r="NFG47" s="58" t="s">
        <v>247</v>
      </c>
      <c r="NFH47" s="58" t="s">
        <v>248</v>
      </c>
      <c r="NFI47" s="58" t="s">
        <v>249</v>
      </c>
      <c r="NFJ47" s="58" t="s">
        <v>250</v>
      </c>
      <c r="NFK47" s="58" t="s">
        <v>247</v>
      </c>
      <c r="NFL47" s="58" t="s">
        <v>248</v>
      </c>
      <c r="NFM47" s="58" t="s">
        <v>249</v>
      </c>
      <c r="NFN47" s="58" t="s">
        <v>250</v>
      </c>
      <c r="NFO47" s="58" t="s">
        <v>247</v>
      </c>
      <c r="NFP47" s="58" t="s">
        <v>248</v>
      </c>
      <c r="NFQ47" s="58" t="s">
        <v>249</v>
      </c>
      <c r="NFR47" s="58" t="s">
        <v>250</v>
      </c>
      <c r="NFS47" s="58" t="s">
        <v>247</v>
      </c>
      <c r="NFT47" s="58" t="s">
        <v>248</v>
      </c>
      <c r="NFU47" s="58" t="s">
        <v>249</v>
      </c>
      <c r="NFV47" s="58" t="s">
        <v>250</v>
      </c>
      <c r="NFW47" s="58" t="s">
        <v>247</v>
      </c>
      <c r="NFX47" s="58" t="s">
        <v>248</v>
      </c>
      <c r="NFY47" s="58" t="s">
        <v>249</v>
      </c>
      <c r="NFZ47" s="58" t="s">
        <v>250</v>
      </c>
      <c r="NGA47" s="58" t="s">
        <v>247</v>
      </c>
      <c r="NGB47" s="58" t="s">
        <v>248</v>
      </c>
      <c r="NGC47" s="58" t="s">
        <v>249</v>
      </c>
      <c r="NGD47" s="58" t="s">
        <v>250</v>
      </c>
      <c r="NGE47" s="58" t="s">
        <v>247</v>
      </c>
      <c r="NGF47" s="58" t="s">
        <v>248</v>
      </c>
      <c r="NGG47" s="58" t="s">
        <v>249</v>
      </c>
      <c r="NGH47" s="58" t="s">
        <v>250</v>
      </c>
      <c r="NGI47" s="58" t="s">
        <v>247</v>
      </c>
      <c r="NGJ47" s="58" t="s">
        <v>248</v>
      </c>
      <c r="NGK47" s="58" t="s">
        <v>249</v>
      </c>
      <c r="NGL47" s="58" t="s">
        <v>250</v>
      </c>
      <c r="NGM47" s="58" t="s">
        <v>247</v>
      </c>
      <c r="NGN47" s="58" t="s">
        <v>248</v>
      </c>
      <c r="NGO47" s="58" t="s">
        <v>249</v>
      </c>
      <c r="NGP47" s="58" t="s">
        <v>250</v>
      </c>
      <c r="NGQ47" s="58" t="s">
        <v>247</v>
      </c>
      <c r="NGR47" s="58" t="s">
        <v>248</v>
      </c>
      <c r="NGS47" s="58" t="s">
        <v>249</v>
      </c>
      <c r="NGT47" s="58" t="s">
        <v>250</v>
      </c>
      <c r="NGU47" s="58" t="s">
        <v>247</v>
      </c>
      <c r="NGV47" s="58" t="s">
        <v>248</v>
      </c>
      <c r="NGW47" s="58" t="s">
        <v>249</v>
      </c>
      <c r="NGX47" s="58" t="s">
        <v>250</v>
      </c>
      <c r="NGY47" s="58" t="s">
        <v>247</v>
      </c>
      <c r="NGZ47" s="58" t="s">
        <v>248</v>
      </c>
      <c r="NHA47" s="58" t="s">
        <v>249</v>
      </c>
      <c r="NHB47" s="58" t="s">
        <v>250</v>
      </c>
      <c r="NHC47" s="58" t="s">
        <v>247</v>
      </c>
      <c r="NHD47" s="58" t="s">
        <v>248</v>
      </c>
      <c r="NHE47" s="58" t="s">
        <v>249</v>
      </c>
      <c r="NHF47" s="58" t="s">
        <v>250</v>
      </c>
      <c r="NHG47" s="58" t="s">
        <v>247</v>
      </c>
      <c r="NHH47" s="58" t="s">
        <v>248</v>
      </c>
      <c r="NHI47" s="58" t="s">
        <v>249</v>
      </c>
      <c r="NHJ47" s="58" t="s">
        <v>250</v>
      </c>
      <c r="NHK47" s="58" t="s">
        <v>247</v>
      </c>
      <c r="NHL47" s="58" t="s">
        <v>248</v>
      </c>
      <c r="NHM47" s="58" t="s">
        <v>249</v>
      </c>
      <c r="NHN47" s="58" t="s">
        <v>250</v>
      </c>
      <c r="NHO47" s="58" t="s">
        <v>247</v>
      </c>
      <c r="NHP47" s="58" t="s">
        <v>248</v>
      </c>
      <c r="NHQ47" s="58" t="s">
        <v>249</v>
      </c>
      <c r="NHR47" s="58" t="s">
        <v>250</v>
      </c>
      <c r="NHS47" s="58" t="s">
        <v>247</v>
      </c>
      <c r="NHT47" s="58" t="s">
        <v>248</v>
      </c>
      <c r="NHU47" s="58" t="s">
        <v>249</v>
      </c>
      <c r="NHV47" s="58" t="s">
        <v>250</v>
      </c>
      <c r="NHW47" s="58" t="s">
        <v>247</v>
      </c>
      <c r="NHX47" s="58" t="s">
        <v>248</v>
      </c>
      <c r="NHY47" s="58" t="s">
        <v>249</v>
      </c>
      <c r="NHZ47" s="58" t="s">
        <v>250</v>
      </c>
      <c r="NIA47" s="58" t="s">
        <v>247</v>
      </c>
      <c r="NIB47" s="58" t="s">
        <v>248</v>
      </c>
      <c r="NIC47" s="58" t="s">
        <v>249</v>
      </c>
      <c r="NID47" s="58" t="s">
        <v>250</v>
      </c>
      <c r="NIE47" s="58" t="s">
        <v>247</v>
      </c>
      <c r="NIF47" s="58" t="s">
        <v>248</v>
      </c>
      <c r="NIG47" s="58" t="s">
        <v>249</v>
      </c>
      <c r="NIH47" s="58" t="s">
        <v>250</v>
      </c>
      <c r="NII47" s="58" t="s">
        <v>247</v>
      </c>
      <c r="NIJ47" s="58" t="s">
        <v>248</v>
      </c>
      <c r="NIK47" s="58" t="s">
        <v>249</v>
      </c>
      <c r="NIL47" s="58" t="s">
        <v>250</v>
      </c>
      <c r="NIM47" s="58" t="s">
        <v>247</v>
      </c>
      <c r="NIN47" s="58" t="s">
        <v>248</v>
      </c>
      <c r="NIO47" s="58" t="s">
        <v>249</v>
      </c>
      <c r="NIP47" s="58" t="s">
        <v>250</v>
      </c>
      <c r="NIQ47" s="58" t="s">
        <v>247</v>
      </c>
      <c r="NIR47" s="58" t="s">
        <v>248</v>
      </c>
      <c r="NIS47" s="58" t="s">
        <v>249</v>
      </c>
      <c r="NIT47" s="58" t="s">
        <v>250</v>
      </c>
      <c r="NIU47" s="58" t="s">
        <v>247</v>
      </c>
      <c r="NIV47" s="58" t="s">
        <v>248</v>
      </c>
      <c r="NIW47" s="58" t="s">
        <v>249</v>
      </c>
      <c r="NIX47" s="58" t="s">
        <v>250</v>
      </c>
      <c r="NIY47" s="58" t="s">
        <v>247</v>
      </c>
      <c r="NIZ47" s="58" t="s">
        <v>248</v>
      </c>
      <c r="NJA47" s="58" t="s">
        <v>249</v>
      </c>
      <c r="NJB47" s="58" t="s">
        <v>250</v>
      </c>
      <c r="NJC47" s="58" t="s">
        <v>247</v>
      </c>
      <c r="NJD47" s="58" t="s">
        <v>248</v>
      </c>
      <c r="NJE47" s="58" t="s">
        <v>249</v>
      </c>
      <c r="NJF47" s="58" t="s">
        <v>250</v>
      </c>
      <c r="NJG47" s="58" t="s">
        <v>247</v>
      </c>
      <c r="NJH47" s="58" t="s">
        <v>248</v>
      </c>
      <c r="NJI47" s="58" t="s">
        <v>249</v>
      </c>
      <c r="NJJ47" s="58" t="s">
        <v>250</v>
      </c>
      <c r="NJK47" s="58" t="s">
        <v>247</v>
      </c>
      <c r="NJL47" s="58" t="s">
        <v>248</v>
      </c>
      <c r="NJM47" s="58" t="s">
        <v>249</v>
      </c>
      <c r="NJN47" s="58" t="s">
        <v>250</v>
      </c>
      <c r="NJO47" s="58" t="s">
        <v>247</v>
      </c>
      <c r="NJP47" s="58" t="s">
        <v>248</v>
      </c>
      <c r="NJQ47" s="58" t="s">
        <v>249</v>
      </c>
      <c r="NJR47" s="58" t="s">
        <v>250</v>
      </c>
      <c r="NJS47" s="58" t="s">
        <v>247</v>
      </c>
      <c r="NJT47" s="58" t="s">
        <v>248</v>
      </c>
      <c r="NJU47" s="58" t="s">
        <v>249</v>
      </c>
      <c r="NJV47" s="58" t="s">
        <v>250</v>
      </c>
      <c r="NJW47" s="58" t="s">
        <v>247</v>
      </c>
      <c r="NJX47" s="58" t="s">
        <v>248</v>
      </c>
      <c r="NJY47" s="58" t="s">
        <v>249</v>
      </c>
      <c r="NJZ47" s="58" t="s">
        <v>250</v>
      </c>
      <c r="NKA47" s="58" t="s">
        <v>247</v>
      </c>
      <c r="NKB47" s="58" t="s">
        <v>248</v>
      </c>
      <c r="NKC47" s="58" t="s">
        <v>249</v>
      </c>
      <c r="NKD47" s="58" t="s">
        <v>250</v>
      </c>
      <c r="NKE47" s="58" t="s">
        <v>247</v>
      </c>
      <c r="NKF47" s="58" t="s">
        <v>248</v>
      </c>
      <c r="NKG47" s="58" t="s">
        <v>249</v>
      </c>
      <c r="NKH47" s="58" t="s">
        <v>250</v>
      </c>
      <c r="NKI47" s="58" t="s">
        <v>247</v>
      </c>
      <c r="NKJ47" s="58" t="s">
        <v>248</v>
      </c>
      <c r="NKK47" s="58" t="s">
        <v>249</v>
      </c>
      <c r="NKL47" s="58" t="s">
        <v>250</v>
      </c>
      <c r="NKM47" s="58" t="s">
        <v>247</v>
      </c>
      <c r="NKN47" s="58" t="s">
        <v>248</v>
      </c>
      <c r="NKO47" s="58" t="s">
        <v>249</v>
      </c>
      <c r="NKP47" s="58" t="s">
        <v>250</v>
      </c>
      <c r="NKQ47" s="58" t="s">
        <v>247</v>
      </c>
      <c r="NKR47" s="58" t="s">
        <v>248</v>
      </c>
      <c r="NKS47" s="58" t="s">
        <v>249</v>
      </c>
      <c r="NKT47" s="58" t="s">
        <v>250</v>
      </c>
      <c r="NKU47" s="58" t="s">
        <v>247</v>
      </c>
      <c r="NKV47" s="58" t="s">
        <v>248</v>
      </c>
      <c r="NKW47" s="58" t="s">
        <v>249</v>
      </c>
      <c r="NKX47" s="58" t="s">
        <v>250</v>
      </c>
      <c r="NKY47" s="58" t="s">
        <v>247</v>
      </c>
      <c r="NKZ47" s="58" t="s">
        <v>248</v>
      </c>
      <c r="NLA47" s="58" t="s">
        <v>249</v>
      </c>
      <c r="NLB47" s="58" t="s">
        <v>250</v>
      </c>
      <c r="NLC47" s="58" t="s">
        <v>247</v>
      </c>
      <c r="NLD47" s="58" t="s">
        <v>248</v>
      </c>
      <c r="NLE47" s="58" t="s">
        <v>249</v>
      </c>
      <c r="NLF47" s="58" t="s">
        <v>250</v>
      </c>
      <c r="NLG47" s="58" t="s">
        <v>247</v>
      </c>
      <c r="NLH47" s="58" t="s">
        <v>248</v>
      </c>
      <c r="NLI47" s="58" t="s">
        <v>249</v>
      </c>
      <c r="NLJ47" s="58" t="s">
        <v>250</v>
      </c>
      <c r="NLK47" s="58" t="s">
        <v>247</v>
      </c>
      <c r="NLL47" s="58" t="s">
        <v>248</v>
      </c>
      <c r="NLM47" s="58" t="s">
        <v>249</v>
      </c>
      <c r="NLN47" s="58" t="s">
        <v>250</v>
      </c>
      <c r="NLO47" s="58" t="s">
        <v>247</v>
      </c>
      <c r="NLP47" s="58" t="s">
        <v>248</v>
      </c>
      <c r="NLQ47" s="58" t="s">
        <v>249</v>
      </c>
      <c r="NLR47" s="58" t="s">
        <v>250</v>
      </c>
      <c r="NLS47" s="58" t="s">
        <v>247</v>
      </c>
      <c r="NLT47" s="58" t="s">
        <v>248</v>
      </c>
      <c r="NLU47" s="58" t="s">
        <v>249</v>
      </c>
      <c r="NLV47" s="58" t="s">
        <v>250</v>
      </c>
      <c r="NLW47" s="58" t="s">
        <v>247</v>
      </c>
      <c r="NLX47" s="58" t="s">
        <v>248</v>
      </c>
      <c r="NLY47" s="58" t="s">
        <v>249</v>
      </c>
      <c r="NLZ47" s="58" t="s">
        <v>250</v>
      </c>
      <c r="NMA47" s="58" t="s">
        <v>247</v>
      </c>
      <c r="NMB47" s="58" t="s">
        <v>248</v>
      </c>
      <c r="NMC47" s="58" t="s">
        <v>249</v>
      </c>
      <c r="NMD47" s="58" t="s">
        <v>250</v>
      </c>
      <c r="NME47" s="58" t="s">
        <v>247</v>
      </c>
      <c r="NMF47" s="58" t="s">
        <v>248</v>
      </c>
      <c r="NMG47" s="58" t="s">
        <v>249</v>
      </c>
      <c r="NMH47" s="58" t="s">
        <v>250</v>
      </c>
      <c r="NMI47" s="58" t="s">
        <v>247</v>
      </c>
      <c r="NMJ47" s="58" t="s">
        <v>248</v>
      </c>
      <c r="NMK47" s="58" t="s">
        <v>249</v>
      </c>
      <c r="NML47" s="58" t="s">
        <v>250</v>
      </c>
      <c r="NMM47" s="58" t="s">
        <v>247</v>
      </c>
      <c r="NMN47" s="58" t="s">
        <v>248</v>
      </c>
      <c r="NMO47" s="58" t="s">
        <v>249</v>
      </c>
      <c r="NMP47" s="58" t="s">
        <v>250</v>
      </c>
      <c r="NMQ47" s="58" t="s">
        <v>247</v>
      </c>
      <c r="NMR47" s="58" t="s">
        <v>248</v>
      </c>
      <c r="NMS47" s="58" t="s">
        <v>249</v>
      </c>
      <c r="NMT47" s="58" t="s">
        <v>250</v>
      </c>
      <c r="NMU47" s="58" t="s">
        <v>247</v>
      </c>
      <c r="NMV47" s="58" t="s">
        <v>248</v>
      </c>
      <c r="NMW47" s="58" t="s">
        <v>249</v>
      </c>
      <c r="NMX47" s="58" t="s">
        <v>250</v>
      </c>
      <c r="NMY47" s="58" t="s">
        <v>247</v>
      </c>
      <c r="NMZ47" s="58" t="s">
        <v>248</v>
      </c>
      <c r="NNA47" s="58" t="s">
        <v>249</v>
      </c>
      <c r="NNB47" s="58" t="s">
        <v>250</v>
      </c>
      <c r="NNC47" s="58" t="s">
        <v>247</v>
      </c>
      <c r="NND47" s="58" t="s">
        <v>248</v>
      </c>
      <c r="NNE47" s="58" t="s">
        <v>249</v>
      </c>
      <c r="NNF47" s="58" t="s">
        <v>250</v>
      </c>
      <c r="NNG47" s="58" t="s">
        <v>247</v>
      </c>
      <c r="NNH47" s="58" t="s">
        <v>248</v>
      </c>
      <c r="NNI47" s="58" t="s">
        <v>249</v>
      </c>
      <c r="NNJ47" s="58" t="s">
        <v>250</v>
      </c>
      <c r="NNK47" s="58" t="s">
        <v>247</v>
      </c>
      <c r="NNL47" s="58" t="s">
        <v>248</v>
      </c>
      <c r="NNM47" s="58" t="s">
        <v>249</v>
      </c>
      <c r="NNN47" s="58" t="s">
        <v>250</v>
      </c>
      <c r="NNO47" s="58" t="s">
        <v>247</v>
      </c>
      <c r="NNP47" s="58" t="s">
        <v>248</v>
      </c>
      <c r="NNQ47" s="58" t="s">
        <v>249</v>
      </c>
      <c r="NNR47" s="58" t="s">
        <v>250</v>
      </c>
      <c r="NNS47" s="58" t="s">
        <v>247</v>
      </c>
      <c r="NNT47" s="58" t="s">
        <v>248</v>
      </c>
      <c r="NNU47" s="58" t="s">
        <v>249</v>
      </c>
      <c r="NNV47" s="58" t="s">
        <v>250</v>
      </c>
      <c r="NNW47" s="58" t="s">
        <v>247</v>
      </c>
      <c r="NNX47" s="58" t="s">
        <v>248</v>
      </c>
      <c r="NNY47" s="58" t="s">
        <v>249</v>
      </c>
      <c r="NNZ47" s="58" t="s">
        <v>250</v>
      </c>
      <c r="NOA47" s="58" t="s">
        <v>247</v>
      </c>
      <c r="NOB47" s="58" t="s">
        <v>248</v>
      </c>
      <c r="NOC47" s="58" t="s">
        <v>249</v>
      </c>
      <c r="NOD47" s="58" t="s">
        <v>250</v>
      </c>
      <c r="NOE47" s="58" t="s">
        <v>247</v>
      </c>
      <c r="NOF47" s="58" t="s">
        <v>248</v>
      </c>
      <c r="NOG47" s="58" t="s">
        <v>249</v>
      </c>
      <c r="NOH47" s="58" t="s">
        <v>250</v>
      </c>
      <c r="NOI47" s="58" t="s">
        <v>247</v>
      </c>
      <c r="NOJ47" s="58" t="s">
        <v>248</v>
      </c>
      <c r="NOK47" s="58" t="s">
        <v>249</v>
      </c>
      <c r="NOL47" s="58" t="s">
        <v>250</v>
      </c>
      <c r="NOM47" s="58" t="s">
        <v>247</v>
      </c>
      <c r="NON47" s="58" t="s">
        <v>248</v>
      </c>
      <c r="NOO47" s="58" t="s">
        <v>249</v>
      </c>
      <c r="NOP47" s="58" t="s">
        <v>250</v>
      </c>
      <c r="NOQ47" s="58" t="s">
        <v>247</v>
      </c>
      <c r="NOR47" s="58" t="s">
        <v>248</v>
      </c>
      <c r="NOS47" s="58" t="s">
        <v>249</v>
      </c>
      <c r="NOT47" s="58" t="s">
        <v>250</v>
      </c>
      <c r="NOU47" s="58" t="s">
        <v>247</v>
      </c>
      <c r="NOV47" s="58" t="s">
        <v>248</v>
      </c>
      <c r="NOW47" s="58" t="s">
        <v>249</v>
      </c>
      <c r="NOX47" s="58" t="s">
        <v>250</v>
      </c>
      <c r="NOY47" s="58" t="s">
        <v>247</v>
      </c>
      <c r="NOZ47" s="58" t="s">
        <v>248</v>
      </c>
      <c r="NPA47" s="58" t="s">
        <v>249</v>
      </c>
      <c r="NPB47" s="58" t="s">
        <v>250</v>
      </c>
      <c r="NPC47" s="58" t="s">
        <v>247</v>
      </c>
      <c r="NPD47" s="58" t="s">
        <v>248</v>
      </c>
      <c r="NPE47" s="58" t="s">
        <v>249</v>
      </c>
      <c r="NPF47" s="58" t="s">
        <v>250</v>
      </c>
      <c r="NPG47" s="58" t="s">
        <v>247</v>
      </c>
      <c r="NPH47" s="58" t="s">
        <v>248</v>
      </c>
      <c r="NPI47" s="58" t="s">
        <v>249</v>
      </c>
      <c r="NPJ47" s="58" t="s">
        <v>250</v>
      </c>
      <c r="NPK47" s="58" t="s">
        <v>247</v>
      </c>
      <c r="NPL47" s="58" t="s">
        <v>248</v>
      </c>
      <c r="NPM47" s="58" t="s">
        <v>249</v>
      </c>
      <c r="NPN47" s="58" t="s">
        <v>250</v>
      </c>
      <c r="NPO47" s="58" t="s">
        <v>247</v>
      </c>
      <c r="NPP47" s="58" t="s">
        <v>248</v>
      </c>
      <c r="NPQ47" s="58" t="s">
        <v>249</v>
      </c>
      <c r="NPR47" s="58" t="s">
        <v>250</v>
      </c>
      <c r="NPS47" s="58" t="s">
        <v>247</v>
      </c>
      <c r="NPT47" s="58" t="s">
        <v>248</v>
      </c>
      <c r="NPU47" s="58" t="s">
        <v>249</v>
      </c>
      <c r="NPV47" s="58" t="s">
        <v>250</v>
      </c>
      <c r="NPW47" s="58" t="s">
        <v>247</v>
      </c>
      <c r="NPX47" s="58" t="s">
        <v>248</v>
      </c>
      <c r="NPY47" s="58" t="s">
        <v>249</v>
      </c>
      <c r="NPZ47" s="58" t="s">
        <v>250</v>
      </c>
      <c r="NQA47" s="58" t="s">
        <v>247</v>
      </c>
      <c r="NQB47" s="58" t="s">
        <v>248</v>
      </c>
      <c r="NQC47" s="58" t="s">
        <v>249</v>
      </c>
      <c r="NQD47" s="58" t="s">
        <v>250</v>
      </c>
      <c r="NQE47" s="58" t="s">
        <v>247</v>
      </c>
      <c r="NQF47" s="58" t="s">
        <v>248</v>
      </c>
      <c r="NQG47" s="58" t="s">
        <v>249</v>
      </c>
      <c r="NQH47" s="58" t="s">
        <v>250</v>
      </c>
      <c r="NQI47" s="58" t="s">
        <v>247</v>
      </c>
      <c r="NQJ47" s="58" t="s">
        <v>248</v>
      </c>
      <c r="NQK47" s="58" t="s">
        <v>249</v>
      </c>
      <c r="NQL47" s="58" t="s">
        <v>250</v>
      </c>
      <c r="NQM47" s="58" t="s">
        <v>247</v>
      </c>
      <c r="NQN47" s="58" t="s">
        <v>248</v>
      </c>
      <c r="NQO47" s="58" t="s">
        <v>249</v>
      </c>
      <c r="NQP47" s="58" t="s">
        <v>250</v>
      </c>
      <c r="NQQ47" s="58" t="s">
        <v>247</v>
      </c>
      <c r="NQR47" s="58" t="s">
        <v>248</v>
      </c>
      <c r="NQS47" s="58" t="s">
        <v>249</v>
      </c>
      <c r="NQT47" s="58" t="s">
        <v>250</v>
      </c>
      <c r="NQU47" s="58" t="s">
        <v>247</v>
      </c>
      <c r="NQV47" s="58" t="s">
        <v>248</v>
      </c>
      <c r="NQW47" s="58" t="s">
        <v>249</v>
      </c>
      <c r="NQX47" s="58" t="s">
        <v>250</v>
      </c>
      <c r="NQY47" s="58" t="s">
        <v>247</v>
      </c>
      <c r="NQZ47" s="58" t="s">
        <v>248</v>
      </c>
      <c r="NRA47" s="58" t="s">
        <v>249</v>
      </c>
      <c r="NRB47" s="58" t="s">
        <v>250</v>
      </c>
      <c r="NRC47" s="58" t="s">
        <v>247</v>
      </c>
      <c r="NRD47" s="58" t="s">
        <v>248</v>
      </c>
      <c r="NRE47" s="58" t="s">
        <v>249</v>
      </c>
      <c r="NRF47" s="58" t="s">
        <v>250</v>
      </c>
      <c r="NRG47" s="58" t="s">
        <v>247</v>
      </c>
      <c r="NRH47" s="58" t="s">
        <v>248</v>
      </c>
      <c r="NRI47" s="58" t="s">
        <v>249</v>
      </c>
      <c r="NRJ47" s="58" t="s">
        <v>250</v>
      </c>
      <c r="NRK47" s="58" t="s">
        <v>247</v>
      </c>
      <c r="NRL47" s="58" t="s">
        <v>248</v>
      </c>
      <c r="NRM47" s="58" t="s">
        <v>249</v>
      </c>
      <c r="NRN47" s="58" t="s">
        <v>250</v>
      </c>
      <c r="NRO47" s="58" t="s">
        <v>247</v>
      </c>
      <c r="NRP47" s="58" t="s">
        <v>248</v>
      </c>
      <c r="NRQ47" s="58" t="s">
        <v>249</v>
      </c>
      <c r="NRR47" s="58" t="s">
        <v>250</v>
      </c>
      <c r="NRS47" s="58" t="s">
        <v>247</v>
      </c>
      <c r="NRT47" s="58" t="s">
        <v>248</v>
      </c>
      <c r="NRU47" s="58" t="s">
        <v>249</v>
      </c>
      <c r="NRV47" s="58" t="s">
        <v>250</v>
      </c>
      <c r="NRW47" s="58" t="s">
        <v>247</v>
      </c>
      <c r="NRX47" s="58" t="s">
        <v>248</v>
      </c>
      <c r="NRY47" s="58" t="s">
        <v>249</v>
      </c>
      <c r="NRZ47" s="58" t="s">
        <v>250</v>
      </c>
      <c r="NSA47" s="58" t="s">
        <v>247</v>
      </c>
      <c r="NSB47" s="58" t="s">
        <v>248</v>
      </c>
      <c r="NSC47" s="58" t="s">
        <v>249</v>
      </c>
      <c r="NSD47" s="58" t="s">
        <v>250</v>
      </c>
      <c r="NSE47" s="58" t="s">
        <v>247</v>
      </c>
      <c r="NSF47" s="58" t="s">
        <v>248</v>
      </c>
      <c r="NSG47" s="58" t="s">
        <v>249</v>
      </c>
      <c r="NSH47" s="58" t="s">
        <v>250</v>
      </c>
      <c r="NSI47" s="58" t="s">
        <v>247</v>
      </c>
      <c r="NSJ47" s="58" t="s">
        <v>248</v>
      </c>
      <c r="NSK47" s="58" t="s">
        <v>249</v>
      </c>
      <c r="NSL47" s="58" t="s">
        <v>250</v>
      </c>
      <c r="NSM47" s="58" t="s">
        <v>247</v>
      </c>
      <c r="NSN47" s="58" t="s">
        <v>248</v>
      </c>
      <c r="NSO47" s="58" t="s">
        <v>249</v>
      </c>
      <c r="NSP47" s="58" t="s">
        <v>250</v>
      </c>
      <c r="NSQ47" s="58" t="s">
        <v>247</v>
      </c>
      <c r="NSR47" s="58" t="s">
        <v>248</v>
      </c>
      <c r="NSS47" s="58" t="s">
        <v>249</v>
      </c>
      <c r="NST47" s="58" t="s">
        <v>250</v>
      </c>
      <c r="NSU47" s="58" t="s">
        <v>247</v>
      </c>
      <c r="NSV47" s="58" t="s">
        <v>248</v>
      </c>
      <c r="NSW47" s="58" t="s">
        <v>249</v>
      </c>
      <c r="NSX47" s="58" t="s">
        <v>250</v>
      </c>
      <c r="NSY47" s="58" t="s">
        <v>247</v>
      </c>
      <c r="NSZ47" s="58" t="s">
        <v>248</v>
      </c>
      <c r="NTA47" s="58" t="s">
        <v>249</v>
      </c>
      <c r="NTB47" s="58" t="s">
        <v>250</v>
      </c>
      <c r="NTC47" s="58" t="s">
        <v>247</v>
      </c>
      <c r="NTD47" s="58" t="s">
        <v>248</v>
      </c>
      <c r="NTE47" s="58" t="s">
        <v>249</v>
      </c>
      <c r="NTF47" s="58" t="s">
        <v>250</v>
      </c>
      <c r="NTG47" s="58" t="s">
        <v>247</v>
      </c>
      <c r="NTH47" s="58" t="s">
        <v>248</v>
      </c>
      <c r="NTI47" s="58" t="s">
        <v>249</v>
      </c>
      <c r="NTJ47" s="58" t="s">
        <v>250</v>
      </c>
      <c r="NTK47" s="58" t="s">
        <v>247</v>
      </c>
      <c r="NTL47" s="58" t="s">
        <v>248</v>
      </c>
      <c r="NTM47" s="58" t="s">
        <v>249</v>
      </c>
      <c r="NTN47" s="58" t="s">
        <v>250</v>
      </c>
      <c r="NTO47" s="58" t="s">
        <v>247</v>
      </c>
      <c r="NTP47" s="58" t="s">
        <v>248</v>
      </c>
      <c r="NTQ47" s="58" t="s">
        <v>249</v>
      </c>
      <c r="NTR47" s="58" t="s">
        <v>250</v>
      </c>
      <c r="NTS47" s="58" t="s">
        <v>247</v>
      </c>
      <c r="NTT47" s="58" t="s">
        <v>248</v>
      </c>
      <c r="NTU47" s="58" t="s">
        <v>249</v>
      </c>
      <c r="NTV47" s="58" t="s">
        <v>250</v>
      </c>
      <c r="NTW47" s="58" t="s">
        <v>247</v>
      </c>
      <c r="NTX47" s="58" t="s">
        <v>248</v>
      </c>
      <c r="NTY47" s="58" t="s">
        <v>249</v>
      </c>
      <c r="NTZ47" s="58" t="s">
        <v>250</v>
      </c>
      <c r="NUA47" s="58" t="s">
        <v>247</v>
      </c>
      <c r="NUB47" s="58" t="s">
        <v>248</v>
      </c>
      <c r="NUC47" s="58" t="s">
        <v>249</v>
      </c>
      <c r="NUD47" s="58" t="s">
        <v>250</v>
      </c>
      <c r="NUE47" s="58" t="s">
        <v>247</v>
      </c>
      <c r="NUF47" s="58" t="s">
        <v>248</v>
      </c>
      <c r="NUG47" s="58" t="s">
        <v>249</v>
      </c>
      <c r="NUH47" s="58" t="s">
        <v>250</v>
      </c>
      <c r="NUI47" s="58" t="s">
        <v>247</v>
      </c>
      <c r="NUJ47" s="58" t="s">
        <v>248</v>
      </c>
      <c r="NUK47" s="58" t="s">
        <v>249</v>
      </c>
      <c r="NUL47" s="58" t="s">
        <v>250</v>
      </c>
      <c r="NUM47" s="58" t="s">
        <v>247</v>
      </c>
      <c r="NUN47" s="58" t="s">
        <v>248</v>
      </c>
      <c r="NUO47" s="58" t="s">
        <v>249</v>
      </c>
      <c r="NUP47" s="58" t="s">
        <v>250</v>
      </c>
      <c r="NUQ47" s="58" t="s">
        <v>247</v>
      </c>
      <c r="NUR47" s="58" t="s">
        <v>248</v>
      </c>
      <c r="NUS47" s="58" t="s">
        <v>249</v>
      </c>
      <c r="NUT47" s="58" t="s">
        <v>250</v>
      </c>
      <c r="NUU47" s="58" t="s">
        <v>247</v>
      </c>
      <c r="NUV47" s="58" t="s">
        <v>248</v>
      </c>
      <c r="NUW47" s="58" t="s">
        <v>249</v>
      </c>
      <c r="NUX47" s="58" t="s">
        <v>250</v>
      </c>
      <c r="NUY47" s="58" t="s">
        <v>247</v>
      </c>
      <c r="NUZ47" s="58" t="s">
        <v>248</v>
      </c>
      <c r="NVA47" s="58" t="s">
        <v>249</v>
      </c>
      <c r="NVB47" s="58" t="s">
        <v>250</v>
      </c>
      <c r="NVC47" s="58" t="s">
        <v>247</v>
      </c>
      <c r="NVD47" s="58" t="s">
        <v>248</v>
      </c>
      <c r="NVE47" s="58" t="s">
        <v>249</v>
      </c>
      <c r="NVF47" s="58" t="s">
        <v>250</v>
      </c>
      <c r="NVG47" s="58" t="s">
        <v>247</v>
      </c>
      <c r="NVH47" s="58" t="s">
        <v>248</v>
      </c>
      <c r="NVI47" s="58" t="s">
        <v>249</v>
      </c>
      <c r="NVJ47" s="58" t="s">
        <v>250</v>
      </c>
      <c r="NVK47" s="58" t="s">
        <v>247</v>
      </c>
      <c r="NVL47" s="58" t="s">
        <v>248</v>
      </c>
      <c r="NVM47" s="58" t="s">
        <v>249</v>
      </c>
      <c r="NVN47" s="58" t="s">
        <v>250</v>
      </c>
      <c r="NVO47" s="58" t="s">
        <v>247</v>
      </c>
      <c r="NVP47" s="58" t="s">
        <v>248</v>
      </c>
      <c r="NVQ47" s="58" t="s">
        <v>249</v>
      </c>
      <c r="NVR47" s="58" t="s">
        <v>250</v>
      </c>
      <c r="NVS47" s="58" t="s">
        <v>247</v>
      </c>
      <c r="NVT47" s="58" t="s">
        <v>248</v>
      </c>
      <c r="NVU47" s="58" t="s">
        <v>249</v>
      </c>
      <c r="NVV47" s="58" t="s">
        <v>250</v>
      </c>
      <c r="NVW47" s="58" t="s">
        <v>247</v>
      </c>
      <c r="NVX47" s="58" t="s">
        <v>248</v>
      </c>
      <c r="NVY47" s="58" t="s">
        <v>249</v>
      </c>
      <c r="NVZ47" s="58" t="s">
        <v>250</v>
      </c>
      <c r="NWA47" s="58" t="s">
        <v>247</v>
      </c>
      <c r="NWB47" s="58" t="s">
        <v>248</v>
      </c>
      <c r="NWC47" s="58" t="s">
        <v>249</v>
      </c>
      <c r="NWD47" s="58" t="s">
        <v>250</v>
      </c>
      <c r="NWE47" s="58" t="s">
        <v>247</v>
      </c>
      <c r="NWF47" s="58" t="s">
        <v>248</v>
      </c>
      <c r="NWG47" s="58" t="s">
        <v>249</v>
      </c>
      <c r="NWH47" s="58" t="s">
        <v>250</v>
      </c>
      <c r="NWI47" s="58" t="s">
        <v>247</v>
      </c>
      <c r="NWJ47" s="58" t="s">
        <v>248</v>
      </c>
      <c r="NWK47" s="58" t="s">
        <v>249</v>
      </c>
      <c r="NWL47" s="58" t="s">
        <v>250</v>
      </c>
      <c r="NWM47" s="58" t="s">
        <v>247</v>
      </c>
      <c r="NWN47" s="58" t="s">
        <v>248</v>
      </c>
      <c r="NWO47" s="58" t="s">
        <v>249</v>
      </c>
      <c r="NWP47" s="58" t="s">
        <v>250</v>
      </c>
      <c r="NWQ47" s="58" t="s">
        <v>247</v>
      </c>
      <c r="NWR47" s="58" t="s">
        <v>248</v>
      </c>
      <c r="NWS47" s="58" t="s">
        <v>249</v>
      </c>
      <c r="NWT47" s="58" t="s">
        <v>250</v>
      </c>
      <c r="NWU47" s="58" t="s">
        <v>247</v>
      </c>
      <c r="NWV47" s="58" t="s">
        <v>248</v>
      </c>
      <c r="NWW47" s="58" t="s">
        <v>249</v>
      </c>
      <c r="NWX47" s="58" t="s">
        <v>250</v>
      </c>
      <c r="NWY47" s="58" t="s">
        <v>247</v>
      </c>
      <c r="NWZ47" s="58" t="s">
        <v>248</v>
      </c>
      <c r="NXA47" s="58" t="s">
        <v>249</v>
      </c>
      <c r="NXB47" s="58" t="s">
        <v>250</v>
      </c>
      <c r="NXC47" s="58" t="s">
        <v>247</v>
      </c>
      <c r="NXD47" s="58" t="s">
        <v>248</v>
      </c>
      <c r="NXE47" s="58" t="s">
        <v>249</v>
      </c>
      <c r="NXF47" s="58" t="s">
        <v>250</v>
      </c>
      <c r="NXG47" s="58" t="s">
        <v>247</v>
      </c>
      <c r="NXH47" s="58" t="s">
        <v>248</v>
      </c>
      <c r="NXI47" s="58" t="s">
        <v>249</v>
      </c>
      <c r="NXJ47" s="58" t="s">
        <v>250</v>
      </c>
      <c r="NXK47" s="58" t="s">
        <v>247</v>
      </c>
      <c r="NXL47" s="58" t="s">
        <v>248</v>
      </c>
      <c r="NXM47" s="58" t="s">
        <v>249</v>
      </c>
      <c r="NXN47" s="58" t="s">
        <v>250</v>
      </c>
      <c r="NXO47" s="58" t="s">
        <v>247</v>
      </c>
      <c r="NXP47" s="58" t="s">
        <v>248</v>
      </c>
      <c r="NXQ47" s="58" t="s">
        <v>249</v>
      </c>
      <c r="NXR47" s="58" t="s">
        <v>250</v>
      </c>
      <c r="NXS47" s="58" t="s">
        <v>247</v>
      </c>
      <c r="NXT47" s="58" t="s">
        <v>248</v>
      </c>
      <c r="NXU47" s="58" t="s">
        <v>249</v>
      </c>
      <c r="NXV47" s="58" t="s">
        <v>250</v>
      </c>
      <c r="NXW47" s="58" t="s">
        <v>247</v>
      </c>
      <c r="NXX47" s="58" t="s">
        <v>248</v>
      </c>
      <c r="NXY47" s="58" t="s">
        <v>249</v>
      </c>
      <c r="NXZ47" s="58" t="s">
        <v>250</v>
      </c>
      <c r="NYA47" s="58" t="s">
        <v>247</v>
      </c>
      <c r="NYB47" s="58" t="s">
        <v>248</v>
      </c>
      <c r="NYC47" s="58" t="s">
        <v>249</v>
      </c>
      <c r="NYD47" s="58" t="s">
        <v>250</v>
      </c>
      <c r="NYE47" s="58" t="s">
        <v>247</v>
      </c>
      <c r="NYF47" s="58" t="s">
        <v>248</v>
      </c>
      <c r="NYG47" s="58" t="s">
        <v>249</v>
      </c>
      <c r="NYH47" s="58" t="s">
        <v>250</v>
      </c>
      <c r="NYI47" s="58" t="s">
        <v>247</v>
      </c>
      <c r="NYJ47" s="58" t="s">
        <v>248</v>
      </c>
      <c r="NYK47" s="58" t="s">
        <v>249</v>
      </c>
      <c r="NYL47" s="58" t="s">
        <v>250</v>
      </c>
      <c r="NYM47" s="58" t="s">
        <v>247</v>
      </c>
      <c r="NYN47" s="58" t="s">
        <v>248</v>
      </c>
      <c r="NYO47" s="58" t="s">
        <v>249</v>
      </c>
      <c r="NYP47" s="58" t="s">
        <v>250</v>
      </c>
      <c r="NYQ47" s="58" t="s">
        <v>247</v>
      </c>
      <c r="NYR47" s="58" t="s">
        <v>248</v>
      </c>
      <c r="NYS47" s="58" t="s">
        <v>249</v>
      </c>
      <c r="NYT47" s="58" t="s">
        <v>250</v>
      </c>
      <c r="NYU47" s="58" t="s">
        <v>247</v>
      </c>
      <c r="NYV47" s="58" t="s">
        <v>248</v>
      </c>
      <c r="NYW47" s="58" t="s">
        <v>249</v>
      </c>
      <c r="NYX47" s="58" t="s">
        <v>250</v>
      </c>
      <c r="NYY47" s="58" t="s">
        <v>247</v>
      </c>
      <c r="NYZ47" s="58" t="s">
        <v>248</v>
      </c>
      <c r="NZA47" s="58" t="s">
        <v>249</v>
      </c>
      <c r="NZB47" s="58" t="s">
        <v>250</v>
      </c>
      <c r="NZC47" s="58" t="s">
        <v>247</v>
      </c>
      <c r="NZD47" s="58" t="s">
        <v>248</v>
      </c>
      <c r="NZE47" s="58" t="s">
        <v>249</v>
      </c>
      <c r="NZF47" s="58" t="s">
        <v>250</v>
      </c>
      <c r="NZG47" s="58" t="s">
        <v>247</v>
      </c>
      <c r="NZH47" s="58" t="s">
        <v>248</v>
      </c>
      <c r="NZI47" s="58" t="s">
        <v>249</v>
      </c>
      <c r="NZJ47" s="58" t="s">
        <v>250</v>
      </c>
      <c r="NZK47" s="58" t="s">
        <v>247</v>
      </c>
      <c r="NZL47" s="58" t="s">
        <v>248</v>
      </c>
      <c r="NZM47" s="58" t="s">
        <v>249</v>
      </c>
      <c r="NZN47" s="58" t="s">
        <v>250</v>
      </c>
      <c r="NZO47" s="58" t="s">
        <v>247</v>
      </c>
      <c r="NZP47" s="58" t="s">
        <v>248</v>
      </c>
      <c r="NZQ47" s="58" t="s">
        <v>249</v>
      </c>
      <c r="NZR47" s="58" t="s">
        <v>250</v>
      </c>
      <c r="NZS47" s="58" t="s">
        <v>247</v>
      </c>
      <c r="NZT47" s="58" t="s">
        <v>248</v>
      </c>
      <c r="NZU47" s="58" t="s">
        <v>249</v>
      </c>
      <c r="NZV47" s="58" t="s">
        <v>250</v>
      </c>
      <c r="NZW47" s="58" t="s">
        <v>247</v>
      </c>
      <c r="NZX47" s="58" t="s">
        <v>248</v>
      </c>
      <c r="NZY47" s="58" t="s">
        <v>249</v>
      </c>
      <c r="NZZ47" s="58" t="s">
        <v>250</v>
      </c>
      <c r="OAA47" s="58" t="s">
        <v>247</v>
      </c>
      <c r="OAB47" s="58" t="s">
        <v>248</v>
      </c>
      <c r="OAC47" s="58" t="s">
        <v>249</v>
      </c>
      <c r="OAD47" s="58" t="s">
        <v>250</v>
      </c>
      <c r="OAE47" s="58" t="s">
        <v>247</v>
      </c>
      <c r="OAF47" s="58" t="s">
        <v>248</v>
      </c>
      <c r="OAG47" s="58" t="s">
        <v>249</v>
      </c>
      <c r="OAH47" s="58" t="s">
        <v>250</v>
      </c>
      <c r="OAI47" s="58" t="s">
        <v>247</v>
      </c>
      <c r="OAJ47" s="58" t="s">
        <v>248</v>
      </c>
      <c r="OAK47" s="58" t="s">
        <v>249</v>
      </c>
      <c r="OAL47" s="58" t="s">
        <v>250</v>
      </c>
      <c r="OAM47" s="58" t="s">
        <v>247</v>
      </c>
      <c r="OAN47" s="58" t="s">
        <v>248</v>
      </c>
      <c r="OAO47" s="58" t="s">
        <v>249</v>
      </c>
      <c r="OAP47" s="58" t="s">
        <v>250</v>
      </c>
      <c r="OAQ47" s="58" t="s">
        <v>247</v>
      </c>
      <c r="OAR47" s="58" t="s">
        <v>248</v>
      </c>
      <c r="OAS47" s="58" t="s">
        <v>249</v>
      </c>
      <c r="OAT47" s="58" t="s">
        <v>250</v>
      </c>
      <c r="OAU47" s="58" t="s">
        <v>247</v>
      </c>
      <c r="OAV47" s="58" t="s">
        <v>248</v>
      </c>
      <c r="OAW47" s="58" t="s">
        <v>249</v>
      </c>
      <c r="OAX47" s="58" t="s">
        <v>250</v>
      </c>
      <c r="OAY47" s="58" t="s">
        <v>247</v>
      </c>
      <c r="OAZ47" s="58" t="s">
        <v>248</v>
      </c>
      <c r="OBA47" s="58" t="s">
        <v>249</v>
      </c>
      <c r="OBB47" s="58" t="s">
        <v>250</v>
      </c>
      <c r="OBC47" s="58" t="s">
        <v>247</v>
      </c>
      <c r="OBD47" s="58" t="s">
        <v>248</v>
      </c>
      <c r="OBE47" s="58" t="s">
        <v>249</v>
      </c>
      <c r="OBF47" s="58" t="s">
        <v>250</v>
      </c>
      <c r="OBG47" s="58" t="s">
        <v>247</v>
      </c>
      <c r="OBH47" s="58" t="s">
        <v>248</v>
      </c>
      <c r="OBI47" s="58" t="s">
        <v>249</v>
      </c>
      <c r="OBJ47" s="58" t="s">
        <v>250</v>
      </c>
      <c r="OBK47" s="58" t="s">
        <v>247</v>
      </c>
      <c r="OBL47" s="58" t="s">
        <v>248</v>
      </c>
      <c r="OBM47" s="58" t="s">
        <v>249</v>
      </c>
      <c r="OBN47" s="58" t="s">
        <v>250</v>
      </c>
      <c r="OBO47" s="58" t="s">
        <v>247</v>
      </c>
      <c r="OBP47" s="58" t="s">
        <v>248</v>
      </c>
      <c r="OBQ47" s="58" t="s">
        <v>249</v>
      </c>
      <c r="OBR47" s="58" t="s">
        <v>250</v>
      </c>
      <c r="OBS47" s="58" t="s">
        <v>247</v>
      </c>
      <c r="OBT47" s="58" t="s">
        <v>248</v>
      </c>
      <c r="OBU47" s="58" t="s">
        <v>249</v>
      </c>
      <c r="OBV47" s="58" t="s">
        <v>250</v>
      </c>
      <c r="OBW47" s="58" t="s">
        <v>247</v>
      </c>
      <c r="OBX47" s="58" t="s">
        <v>248</v>
      </c>
      <c r="OBY47" s="58" t="s">
        <v>249</v>
      </c>
      <c r="OBZ47" s="58" t="s">
        <v>250</v>
      </c>
      <c r="OCA47" s="58" t="s">
        <v>247</v>
      </c>
      <c r="OCB47" s="58" t="s">
        <v>248</v>
      </c>
      <c r="OCC47" s="58" t="s">
        <v>249</v>
      </c>
      <c r="OCD47" s="58" t="s">
        <v>250</v>
      </c>
      <c r="OCE47" s="58" t="s">
        <v>247</v>
      </c>
      <c r="OCF47" s="58" t="s">
        <v>248</v>
      </c>
      <c r="OCG47" s="58" t="s">
        <v>249</v>
      </c>
      <c r="OCH47" s="58" t="s">
        <v>250</v>
      </c>
      <c r="OCI47" s="58" t="s">
        <v>247</v>
      </c>
      <c r="OCJ47" s="58" t="s">
        <v>248</v>
      </c>
      <c r="OCK47" s="58" t="s">
        <v>249</v>
      </c>
      <c r="OCL47" s="58" t="s">
        <v>250</v>
      </c>
      <c r="OCM47" s="58" t="s">
        <v>247</v>
      </c>
      <c r="OCN47" s="58" t="s">
        <v>248</v>
      </c>
      <c r="OCO47" s="58" t="s">
        <v>249</v>
      </c>
      <c r="OCP47" s="58" t="s">
        <v>250</v>
      </c>
      <c r="OCQ47" s="58" t="s">
        <v>247</v>
      </c>
      <c r="OCR47" s="58" t="s">
        <v>248</v>
      </c>
      <c r="OCS47" s="58" t="s">
        <v>249</v>
      </c>
      <c r="OCT47" s="58" t="s">
        <v>250</v>
      </c>
      <c r="OCU47" s="58" t="s">
        <v>247</v>
      </c>
      <c r="OCV47" s="58" t="s">
        <v>248</v>
      </c>
      <c r="OCW47" s="58" t="s">
        <v>249</v>
      </c>
      <c r="OCX47" s="58" t="s">
        <v>250</v>
      </c>
      <c r="OCY47" s="58" t="s">
        <v>247</v>
      </c>
      <c r="OCZ47" s="58" t="s">
        <v>248</v>
      </c>
      <c r="ODA47" s="58" t="s">
        <v>249</v>
      </c>
      <c r="ODB47" s="58" t="s">
        <v>250</v>
      </c>
      <c r="ODC47" s="58" t="s">
        <v>247</v>
      </c>
      <c r="ODD47" s="58" t="s">
        <v>248</v>
      </c>
      <c r="ODE47" s="58" t="s">
        <v>249</v>
      </c>
      <c r="ODF47" s="58" t="s">
        <v>250</v>
      </c>
      <c r="ODG47" s="58" t="s">
        <v>247</v>
      </c>
      <c r="ODH47" s="58" t="s">
        <v>248</v>
      </c>
      <c r="ODI47" s="58" t="s">
        <v>249</v>
      </c>
      <c r="ODJ47" s="58" t="s">
        <v>250</v>
      </c>
      <c r="ODK47" s="58" t="s">
        <v>247</v>
      </c>
      <c r="ODL47" s="58" t="s">
        <v>248</v>
      </c>
      <c r="ODM47" s="58" t="s">
        <v>249</v>
      </c>
      <c r="ODN47" s="58" t="s">
        <v>250</v>
      </c>
      <c r="ODO47" s="58" t="s">
        <v>247</v>
      </c>
      <c r="ODP47" s="58" t="s">
        <v>248</v>
      </c>
      <c r="ODQ47" s="58" t="s">
        <v>249</v>
      </c>
      <c r="ODR47" s="58" t="s">
        <v>250</v>
      </c>
      <c r="ODS47" s="58" t="s">
        <v>247</v>
      </c>
      <c r="ODT47" s="58" t="s">
        <v>248</v>
      </c>
      <c r="ODU47" s="58" t="s">
        <v>249</v>
      </c>
      <c r="ODV47" s="58" t="s">
        <v>250</v>
      </c>
      <c r="ODW47" s="58" t="s">
        <v>247</v>
      </c>
      <c r="ODX47" s="58" t="s">
        <v>248</v>
      </c>
      <c r="ODY47" s="58" t="s">
        <v>249</v>
      </c>
      <c r="ODZ47" s="58" t="s">
        <v>250</v>
      </c>
      <c r="OEA47" s="58" t="s">
        <v>247</v>
      </c>
      <c r="OEB47" s="58" t="s">
        <v>248</v>
      </c>
      <c r="OEC47" s="58" t="s">
        <v>249</v>
      </c>
      <c r="OED47" s="58" t="s">
        <v>250</v>
      </c>
      <c r="OEE47" s="58" t="s">
        <v>247</v>
      </c>
      <c r="OEF47" s="58" t="s">
        <v>248</v>
      </c>
      <c r="OEG47" s="58" t="s">
        <v>249</v>
      </c>
      <c r="OEH47" s="58" t="s">
        <v>250</v>
      </c>
      <c r="OEI47" s="58" t="s">
        <v>247</v>
      </c>
      <c r="OEJ47" s="58" t="s">
        <v>248</v>
      </c>
      <c r="OEK47" s="58" t="s">
        <v>249</v>
      </c>
      <c r="OEL47" s="58" t="s">
        <v>250</v>
      </c>
      <c r="OEM47" s="58" t="s">
        <v>247</v>
      </c>
      <c r="OEN47" s="58" t="s">
        <v>248</v>
      </c>
      <c r="OEO47" s="58" t="s">
        <v>249</v>
      </c>
      <c r="OEP47" s="58" t="s">
        <v>250</v>
      </c>
      <c r="OEQ47" s="58" t="s">
        <v>247</v>
      </c>
      <c r="OER47" s="58" t="s">
        <v>248</v>
      </c>
      <c r="OES47" s="58" t="s">
        <v>249</v>
      </c>
      <c r="OET47" s="58" t="s">
        <v>250</v>
      </c>
      <c r="OEU47" s="58" t="s">
        <v>247</v>
      </c>
      <c r="OEV47" s="58" t="s">
        <v>248</v>
      </c>
      <c r="OEW47" s="58" t="s">
        <v>249</v>
      </c>
      <c r="OEX47" s="58" t="s">
        <v>250</v>
      </c>
      <c r="OEY47" s="58" t="s">
        <v>247</v>
      </c>
      <c r="OEZ47" s="58" t="s">
        <v>248</v>
      </c>
      <c r="OFA47" s="58" t="s">
        <v>249</v>
      </c>
      <c r="OFB47" s="58" t="s">
        <v>250</v>
      </c>
      <c r="OFC47" s="58" t="s">
        <v>247</v>
      </c>
      <c r="OFD47" s="58" t="s">
        <v>248</v>
      </c>
      <c r="OFE47" s="58" t="s">
        <v>249</v>
      </c>
      <c r="OFF47" s="58" t="s">
        <v>250</v>
      </c>
      <c r="OFG47" s="58" t="s">
        <v>247</v>
      </c>
      <c r="OFH47" s="58" t="s">
        <v>248</v>
      </c>
      <c r="OFI47" s="58" t="s">
        <v>249</v>
      </c>
      <c r="OFJ47" s="58" t="s">
        <v>250</v>
      </c>
      <c r="OFK47" s="58" t="s">
        <v>247</v>
      </c>
      <c r="OFL47" s="58" t="s">
        <v>248</v>
      </c>
      <c r="OFM47" s="58" t="s">
        <v>249</v>
      </c>
      <c r="OFN47" s="58" t="s">
        <v>250</v>
      </c>
      <c r="OFO47" s="58" t="s">
        <v>247</v>
      </c>
      <c r="OFP47" s="58" t="s">
        <v>248</v>
      </c>
      <c r="OFQ47" s="58" t="s">
        <v>249</v>
      </c>
      <c r="OFR47" s="58" t="s">
        <v>250</v>
      </c>
      <c r="OFS47" s="58" t="s">
        <v>247</v>
      </c>
      <c r="OFT47" s="58" t="s">
        <v>248</v>
      </c>
      <c r="OFU47" s="58" t="s">
        <v>249</v>
      </c>
      <c r="OFV47" s="58" t="s">
        <v>250</v>
      </c>
      <c r="OFW47" s="58" t="s">
        <v>247</v>
      </c>
      <c r="OFX47" s="58" t="s">
        <v>248</v>
      </c>
      <c r="OFY47" s="58" t="s">
        <v>249</v>
      </c>
      <c r="OFZ47" s="58" t="s">
        <v>250</v>
      </c>
      <c r="OGA47" s="58" t="s">
        <v>247</v>
      </c>
      <c r="OGB47" s="58" t="s">
        <v>248</v>
      </c>
      <c r="OGC47" s="58" t="s">
        <v>249</v>
      </c>
      <c r="OGD47" s="58" t="s">
        <v>250</v>
      </c>
      <c r="OGE47" s="58" t="s">
        <v>247</v>
      </c>
      <c r="OGF47" s="58" t="s">
        <v>248</v>
      </c>
      <c r="OGG47" s="58" t="s">
        <v>249</v>
      </c>
      <c r="OGH47" s="58" t="s">
        <v>250</v>
      </c>
      <c r="OGI47" s="58" t="s">
        <v>247</v>
      </c>
      <c r="OGJ47" s="58" t="s">
        <v>248</v>
      </c>
      <c r="OGK47" s="58" t="s">
        <v>249</v>
      </c>
      <c r="OGL47" s="58" t="s">
        <v>250</v>
      </c>
      <c r="OGM47" s="58" t="s">
        <v>247</v>
      </c>
      <c r="OGN47" s="58" t="s">
        <v>248</v>
      </c>
      <c r="OGO47" s="58" t="s">
        <v>249</v>
      </c>
      <c r="OGP47" s="58" t="s">
        <v>250</v>
      </c>
      <c r="OGQ47" s="58" t="s">
        <v>247</v>
      </c>
      <c r="OGR47" s="58" t="s">
        <v>248</v>
      </c>
      <c r="OGS47" s="58" t="s">
        <v>249</v>
      </c>
      <c r="OGT47" s="58" t="s">
        <v>250</v>
      </c>
      <c r="OGU47" s="58" t="s">
        <v>247</v>
      </c>
      <c r="OGV47" s="58" t="s">
        <v>248</v>
      </c>
      <c r="OGW47" s="58" t="s">
        <v>249</v>
      </c>
      <c r="OGX47" s="58" t="s">
        <v>250</v>
      </c>
      <c r="OGY47" s="58" t="s">
        <v>247</v>
      </c>
      <c r="OGZ47" s="58" t="s">
        <v>248</v>
      </c>
      <c r="OHA47" s="58" t="s">
        <v>249</v>
      </c>
      <c r="OHB47" s="58" t="s">
        <v>250</v>
      </c>
      <c r="OHC47" s="58" t="s">
        <v>247</v>
      </c>
      <c r="OHD47" s="58" t="s">
        <v>248</v>
      </c>
      <c r="OHE47" s="58" t="s">
        <v>249</v>
      </c>
      <c r="OHF47" s="58" t="s">
        <v>250</v>
      </c>
      <c r="OHG47" s="58" t="s">
        <v>247</v>
      </c>
      <c r="OHH47" s="58" t="s">
        <v>248</v>
      </c>
      <c r="OHI47" s="58" t="s">
        <v>249</v>
      </c>
      <c r="OHJ47" s="58" t="s">
        <v>250</v>
      </c>
      <c r="OHK47" s="58" t="s">
        <v>247</v>
      </c>
      <c r="OHL47" s="58" t="s">
        <v>248</v>
      </c>
      <c r="OHM47" s="58" t="s">
        <v>249</v>
      </c>
      <c r="OHN47" s="58" t="s">
        <v>250</v>
      </c>
      <c r="OHO47" s="58" t="s">
        <v>247</v>
      </c>
      <c r="OHP47" s="58" t="s">
        <v>248</v>
      </c>
      <c r="OHQ47" s="58" t="s">
        <v>249</v>
      </c>
      <c r="OHR47" s="58" t="s">
        <v>250</v>
      </c>
      <c r="OHS47" s="58" t="s">
        <v>247</v>
      </c>
      <c r="OHT47" s="58" t="s">
        <v>248</v>
      </c>
      <c r="OHU47" s="58" t="s">
        <v>249</v>
      </c>
      <c r="OHV47" s="58" t="s">
        <v>250</v>
      </c>
      <c r="OHW47" s="58" t="s">
        <v>247</v>
      </c>
      <c r="OHX47" s="58" t="s">
        <v>248</v>
      </c>
      <c r="OHY47" s="58" t="s">
        <v>249</v>
      </c>
      <c r="OHZ47" s="58" t="s">
        <v>250</v>
      </c>
      <c r="OIA47" s="58" t="s">
        <v>247</v>
      </c>
      <c r="OIB47" s="58" t="s">
        <v>248</v>
      </c>
      <c r="OIC47" s="58" t="s">
        <v>249</v>
      </c>
      <c r="OID47" s="58" t="s">
        <v>250</v>
      </c>
      <c r="OIE47" s="58" t="s">
        <v>247</v>
      </c>
      <c r="OIF47" s="58" t="s">
        <v>248</v>
      </c>
      <c r="OIG47" s="58" t="s">
        <v>249</v>
      </c>
      <c r="OIH47" s="58" t="s">
        <v>250</v>
      </c>
      <c r="OII47" s="58" t="s">
        <v>247</v>
      </c>
      <c r="OIJ47" s="58" t="s">
        <v>248</v>
      </c>
      <c r="OIK47" s="58" t="s">
        <v>249</v>
      </c>
      <c r="OIL47" s="58" t="s">
        <v>250</v>
      </c>
      <c r="OIM47" s="58" t="s">
        <v>247</v>
      </c>
      <c r="OIN47" s="58" t="s">
        <v>248</v>
      </c>
      <c r="OIO47" s="58" t="s">
        <v>249</v>
      </c>
      <c r="OIP47" s="58" t="s">
        <v>250</v>
      </c>
      <c r="OIQ47" s="58" t="s">
        <v>247</v>
      </c>
      <c r="OIR47" s="58" t="s">
        <v>248</v>
      </c>
      <c r="OIS47" s="58" t="s">
        <v>249</v>
      </c>
      <c r="OIT47" s="58" t="s">
        <v>250</v>
      </c>
      <c r="OIU47" s="58" t="s">
        <v>247</v>
      </c>
      <c r="OIV47" s="58" t="s">
        <v>248</v>
      </c>
      <c r="OIW47" s="58" t="s">
        <v>249</v>
      </c>
      <c r="OIX47" s="58" t="s">
        <v>250</v>
      </c>
      <c r="OIY47" s="58" t="s">
        <v>247</v>
      </c>
      <c r="OIZ47" s="58" t="s">
        <v>248</v>
      </c>
      <c r="OJA47" s="58" t="s">
        <v>249</v>
      </c>
      <c r="OJB47" s="58" t="s">
        <v>250</v>
      </c>
      <c r="OJC47" s="58" t="s">
        <v>247</v>
      </c>
      <c r="OJD47" s="58" t="s">
        <v>248</v>
      </c>
      <c r="OJE47" s="58" t="s">
        <v>249</v>
      </c>
      <c r="OJF47" s="58" t="s">
        <v>250</v>
      </c>
      <c r="OJG47" s="58" t="s">
        <v>247</v>
      </c>
      <c r="OJH47" s="58" t="s">
        <v>248</v>
      </c>
      <c r="OJI47" s="58" t="s">
        <v>249</v>
      </c>
      <c r="OJJ47" s="58" t="s">
        <v>250</v>
      </c>
      <c r="OJK47" s="58" t="s">
        <v>247</v>
      </c>
      <c r="OJL47" s="58" t="s">
        <v>248</v>
      </c>
      <c r="OJM47" s="58" t="s">
        <v>249</v>
      </c>
      <c r="OJN47" s="58" t="s">
        <v>250</v>
      </c>
      <c r="OJO47" s="58" t="s">
        <v>247</v>
      </c>
      <c r="OJP47" s="58" t="s">
        <v>248</v>
      </c>
      <c r="OJQ47" s="58" t="s">
        <v>249</v>
      </c>
      <c r="OJR47" s="58" t="s">
        <v>250</v>
      </c>
      <c r="OJS47" s="58" t="s">
        <v>247</v>
      </c>
      <c r="OJT47" s="58" t="s">
        <v>248</v>
      </c>
      <c r="OJU47" s="58" t="s">
        <v>249</v>
      </c>
      <c r="OJV47" s="58" t="s">
        <v>250</v>
      </c>
      <c r="OJW47" s="58" t="s">
        <v>247</v>
      </c>
      <c r="OJX47" s="58" t="s">
        <v>248</v>
      </c>
      <c r="OJY47" s="58" t="s">
        <v>249</v>
      </c>
      <c r="OJZ47" s="58" t="s">
        <v>250</v>
      </c>
      <c r="OKA47" s="58" t="s">
        <v>247</v>
      </c>
      <c r="OKB47" s="58" t="s">
        <v>248</v>
      </c>
      <c r="OKC47" s="58" t="s">
        <v>249</v>
      </c>
      <c r="OKD47" s="58" t="s">
        <v>250</v>
      </c>
      <c r="OKE47" s="58" t="s">
        <v>247</v>
      </c>
      <c r="OKF47" s="58" t="s">
        <v>248</v>
      </c>
      <c r="OKG47" s="58" t="s">
        <v>249</v>
      </c>
      <c r="OKH47" s="58" t="s">
        <v>250</v>
      </c>
      <c r="OKI47" s="58" t="s">
        <v>247</v>
      </c>
      <c r="OKJ47" s="58" t="s">
        <v>248</v>
      </c>
      <c r="OKK47" s="58" t="s">
        <v>249</v>
      </c>
      <c r="OKL47" s="58" t="s">
        <v>250</v>
      </c>
      <c r="OKM47" s="58" t="s">
        <v>247</v>
      </c>
      <c r="OKN47" s="58" t="s">
        <v>248</v>
      </c>
      <c r="OKO47" s="58" t="s">
        <v>249</v>
      </c>
      <c r="OKP47" s="58" t="s">
        <v>250</v>
      </c>
      <c r="OKQ47" s="58" t="s">
        <v>247</v>
      </c>
      <c r="OKR47" s="58" t="s">
        <v>248</v>
      </c>
      <c r="OKS47" s="58" t="s">
        <v>249</v>
      </c>
      <c r="OKT47" s="58" t="s">
        <v>250</v>
      </c>
      <c r="OKU47" s="58" t="s">
        <v>247</v>
      </c>
      <c r="OKV47" s="58" t="s">
        <v>248</v>
      </c>
      <c r="OKW47" s="58" t="s">
        <v>249</v>
      </c>
      <c r="OKX47" s="58" t="s">
        <v>250</v>
      </c>
      <c r="OKY47" s="58" t="s">
        <v>247</v>
      </c>
      <c r="OKZ47" s="58" t="s">
        <v>248</v>
      </c>
      <c r="OLA47" s="58" t="s">
        <v>249</v>
      </c>
      <c r="OLB47" s="58" t="s">
        <v>250</v>
      </c>
      <c r="OLC47" s="58" t="s">
        <v>247</v>
      </c>
      <c r="OLD47" s="58" t="s">
        <v>248</v>
      </c>
      <c r="OLE47" s="58" t="s">
        <v>249</v>
      </c>
      <c r="OLF47" s="58" t="s">
        <v>250</v>
      </c>
      <c r="OLG47" s="58" t="s">
        <v>247</v>
      </c>
      <c r="OLH47" s="58" t="s">
        <v>248</v>
      </c>
      <c r="OLI47" s="58" t="s">
        <v>249</v>
      </c>
      <c r="OLJ47" s="58" t="s">
        <v>250</v>
      </c>
      <c r="OLK47" s="58" t="s">
        <v>247</v>
      </c>
      <c r="OLL47" s="58" t="s">
        <v>248</v>
      </c>
      <c r="OLM47" s="58" t="s">
        <v>249</v>
      </c>
      <c r="OLN47" s="58" t="s">
        <v>250</v>
      </c>
      <c r="OLO47" s="58" t="s">
        <v>247</v>
      </c>
      <c r="OLP47" s="58" t="s">
        <v>248</v>
      </c>
      <c r="OLQ47" s="58" t="s">
        <v>249</v>
      </c>
      <c r="OLR47" s="58" t="s">
        <v>250</v>
      </c>
      <c r="OLS47" s="58" t="s">
        <v>247</v>
      </c>
      <c r="OLT47" s="58" t="s">
        <v>248</v>
      </c>
      <c r="OLU47" s="58" t="s">
        <v>249</v>
      </c>
      <c r="OLV47" s="58" t="s">
        <v>250</v>
      </c>
      <c r="OLW47" s="58" t="s">
        <v>247</v>
      </c>
      <c r="OLX47" s="58" t="s">
        <v>248</v>
      </c>
      <c r="OLY47" s="58" t="s">
        <v>249</v>
      </c>
      <c r="OLZ47" s="58" t="s">
        <v>250</v>
      </c>
      <c r="OMA47" s="58" t="s">
        <v>247</v>
      </c>
      <c r="OMB47" s="58" t="s">
        <v>248</v>
      </c>
      <c r="OMC47" s="58" t="s">
        <v>249</v>
      </c>
      <c r="OMD47" s="58" t="s">
        <v>250</v>
      </c>
      <c r="OME47" s="58" t="s">
        <v>247</v>
      </c>
      <c r="OMF47" s="58" t="s">
        <v>248</v>
      </c>
      <c r="OMG47" s="58" t="s">
        <v>249</v>
      </c>
      <c r="OMH47" s="58" t="s">
        <v>250</v>
      </c>
      <c r="OMI47" s="58" t="s">
        <v>247</v>
      </c>
      <c r="OMJ47" s="58" t="s">
        <v>248</v>
      </c>
      <c r="OMK47" s="58" t="s">
        <v>249</v>
      </c>
      <c r="OML47" s="58" t="s">
        <v>250</v>
      </c>
      <c r="OMM47" s="58" t="s">
        <v>247</v>
      </c>
      <c r="OMN47" s="58" t="s">
        <v>248</v>
      </c>
      <c r="OMO47" s="58" t="s">
        <v>249</v>
      </c>
      <c r="OMP47" s="58" t="s">
        <v>250</v>
      </c>
      <c r="OMQ47" s="58" t="s">
        <v>247</v>
      </c>
      <c r="OMR47" s="58" t="s">
        <v>248</v>
      </c>
      <c r="OMS47" s="58" t="s">
        <v>249</v>
      </c>
      <c r="OMT47" s="58" t="s">
        <v>250</v>
      </c>
      <c r="OMU47" s="58" t="s">
        <v>247</v>
      </c>
      <c r="OMV47" s="58" t="s">
        <v>248</v>
      </c>
      <c r="OMW47" s="58" t="s">
        <v>249</v>
      </c>
      <c r="OMX47" s="58" t="s">
        <v>250</v>
      </c>
      <c r="OMY47" s="58" t="s">
        <v>247</v>
      </c>
      <c r="OMZ47" s="58" t="s">
        <v>248</v>
      </c>
      <c r="ONA47" s="58" t="s">
        <v>249</v>
      </c>
      <c r="ONB47" s="58" t="s">
        <v>250</v>
      </c>
      <c r="ONC47" s="58" t="s">
        <v>247</v>
      </c>
      <c r="OND47" s="58" t="s">
        <v>248</v>
      </c>
      <c r="ONE47" s="58" t="s">
        <v>249</v>
      </c>
      <c r="ONF47" s="58" t="s">
        <v>250</v>
      </c>
      <c r="ONG47" s="58" t="s">
        <v>247</v>
      </c>
      <c r="ONH47" s="58" t="s">
        <v>248</v>
      </c>
      <c r="ONI47" s="58" t="s">
        <v>249</v>
      </c>
      <c r="ONJ47" s="58" t="s">
        <v>250</v>
      </c>
      <c r="ONK47" s="58" t="s">
        <v>247</v>
      </c>
      <c r="ONL47" s="58" t="s">
        <v>248</v>
      </c>
      <c r="ONM47" s="58" t="s">
        <v>249</v>
      </c>
      <c r="ONN47" s="58" t="s">
        <v>250</v>
      </c>
      <c r="ONO47" s="58" t="s">
        <v>247</v>
      </c>
      <c r="ONP47" s="58" t="s">
        <v>248</v>
      </c>
      <c r="ONQ47" s="58" t="s">
        <v>249</v>
      </c>
      <c r="ONR47" s="58" t="s">
        <v>250</v>
      </c>
      <c r="ONS47" s="58" t="s">
        <v>247</v>
      </c>
      <c r="ONT47" s="58" t="s">
        <v>248</v>
      </c>
      <c r="ONU47" s="58" t="s">
        <v>249</v>
      </c>
      <c r="ONV47" s="58" t="s">
        <v>250</v>
      </c>
      <c r="ONW47" s="58" t="s">
        <v>247</v>
      </c>
      <c r="ONX47" s="58" t="s">
        <v>248</v>
      </c>
      <c r="ONY47" s="58" t="s">
        <v>249</v>
      </c>
      <c r="ONZ47" s="58" t="s">
        <v>250</v>
      </c>
      <c r="OOA47" s="58" t="s">
        <v>247</v>
      </c>
      <c r="OOB47" s="58" t="s">
        <v>248</v>
      </c>
      <c r="OOC47" s="58" t="s">
        <v>249</v>
      </c>
      <c r="OOD47" s="58" t="s">
        <v>250</v>
      </c>
      <c r="OOE47" s="58" t="s">
        <v>247</v>
      </c>
      <c r="OOF47" s="58" t="s">
        <v>248</v>
      </c>
      <c r="OOG47" s="58" t="s">
        <v>249</v>
      </c>
      <c r="OOH47" s="58" t="s">
        <v>250</v>
      </c>
      <c r="OOI47" s="58" t="s">
        <v>247</v>
      </c>
      <c r="OOJ47" s="58" t="s">
        <v>248</v>
      </c>
      <c r="OOK47" s="58" t="s">
        <v>249</v>
      </c>
      <c r="OOL47" s="58" t="s">
        <v>250</v>
      </c>
      <c r="OOM47" s="58" t="s">
        <v>247</v>
      </c>
      <c r="OON47" s="58" t="s">
        <v>248</v>
      </c>
      <c r="OOO47" s="58" t="s">
        <v>249</v>
      </c>
      <c r="OOP47" s="58" t="s">
        <v>250</v>
      </c>
      <c r="OOQ47" s="58" t="s">
        <v>247</v>
      </c>
      <c r="OOR47" s="58" t="s">
        <v>248</v>
      </c>
      <c r="OOS47" s="58" t="s">
        <v>249</v>
      </c>
      <c r="OOT47" s="58" t="s">
        <v>250</v>
      </c>
      <c r="OOU47" s="58" t="s">
        <v>247</v>
      </c>
      <c r="OOV47" s="58" t="s">
        <v>248</v>
      </c>
      <c r="OOW47" s="58" t="s">
        <v>249</v>
      </c>
      <c r="OOX47" s="58" t="s">
        <v>250</v>
      </c>
      <c r="OOY47" s="58" t="s">
        <v>247</v>
      </c>
      <c r="OOZ47" s="58" t="s">
        <v>248</v>
      </c>
      <c r="OPA47" s="58" t="s">
        <v>249</v>
      </c>
      <c r="OPB47" s="58" t="s">
        <v>250</v>
      </c>
      <c r="OPC47" s="58" t="s">
        <v>247</v>
      </c>
      <c r="OPD47" s="58" t="s">
        <v>248</v>
      </c>
      <c r="OPE47" s="58" t="s">
        <v>249</v>
      </c>
      <c r="OPF47" s="58" t="s">
        <v>250</v>
      </c>
      <c r="OPG47" s="58" t="s">
        <v>247</v>
      </c>
      <c r="OPH47" s="58" t="s">
        <v>248</v>
      </c>
      <c r="OPI47" s="58" t="s">
        <v>249</v>
      </c>
      <c r="OPJ47" s="58" t="s">
        <v>250</v>
      </c>
      <c r="OPK47" s="58" t="s">
        <v>247</v>
      </c>
      <c r="OPL47" s="58" t="s">
        <v>248</v>
      </c>
      <c r="OPM47" s="58" t="s">
        <v>249</v>
      </c>
      <c r="OPN47" s="58" t="s">
        <v>250</v>
      </c>
      <c r="OPO47" s="58" t="s">
        <v>247</v>
      </c>
      <c r="OPP47" s="58" t="s">
        <v>248</v>
      </c>
      <c r="OPQ47" s="58" t="s">
        <v>249</v>
      </c>
      <c r="OPR47" s="58" t="s">
        <v>250</v>
      </c>
      <c r="OPS47" s="58" t="s">
        <v>247</v>
      </c>
      <c r="OPT47" s="58" t="s">
        <v>248</v>
      </c>
      <c r="OPU47" s="58" t="s">
        <v>249</v>
      </c>
      <c r="OPV47" s="58" t="s">
        <v>250</v>
      </c>
      <c r="OPW47" s="58" t="s">
        <v>247</v>
      </c>
      <c r="OPX47" s="58" t="s">
        <v>248</v>
      </c>
      <c r="OPY47" s="58" t="s">
        <v>249</v>
      </c>
      <c r="OPZ47" s="58" t="s">
        <v>250</v>
      </c>
      <c r="OQA47" s="58" t="s">
        <v>247</v>
      </c>
      <c r="OQB47" s="58" t="s">
        <v>248</v>
      </c>
      <c r="OQC47" s="58" t="s">
        <v>249</v>
      </c>
      <c r="OQD47" s="58" t="s">
        <v>250</v>
      </c>
      <c r="OQE47" s="58" t="s">
        <v>247</v>
      </c>
      <c r="OQF47" s="58" t="s">
        <v>248</v>
      </c>
      <c r="OQG47" s="58" t="s">
        <v>249</v>
      </c>
      <c r="OQH47" s="58" t="s">
        <v>250</v>
      </c>
      <c r="OQI47" s="58" t="s">
        <v>247</v>
      </c>
      <c r="OQJ47" s="58" t="s">
        <v>248</v>
      </c>
      <c r="OQK47" s="58" t="s">
        <v>249</v>
      </c>
      <c r="OQL47" s="58" t="s">
        <v>250</v>
      </c>
      <c r="OQM47" s="58" t="s">
        <v>247</v>
      </c>
      <c r="OQN47" s="58" t="s">
        <v>248</v>
      </c>
      <c r="OQO47" s="58" t="s">
        <v>249</v>
      </c>
      <c r="OQP47" s="58" t="s">
        <v>250</v>
      </c>
      <c r="OQQ47" s="58" t="s">
        <v>247</v>
      </c>
      <c r="OQR47" s="58" t="s">
        <v>248</v>
      </c>
      <c r="OQS47" s="58" t="s">
        <v>249</v>
      </c>
      <c r="OQT47" s="58" t="s">
        <v>250</v>
      </c>
      <c r="OQU47" s="58" t="s">
        <v>247</v>
      </c>
      <c r="OQV47" s="58" t="s">
        <v>248</v>
      </c>
      <c r="OQW47" s="58" t="s">
        <v>249</v>
      </c>
      <c r="OQX47" s="58" t="s">
        <v>250</v>
      </c>
      <c r="OQY47" s="58" t="s">
        <v>247</v>
      </c>
      <c r="OQZ47" s="58" t="s">
        <v>248</v>
      </c>
      <c r="ORA47" s="58" t="s">
        <v>249</v>
      </c>
      <c r="ORB47" s="58" t="s">
        <v>250</v>
      </c>
      <c r="ORC47" s="58" t="s">
        <v>247</v>
      </c>
      <c r="ORD47" s="58" t="s">
        <v>248</v>
      </c>
      <c r="ORE47" s="58" t="s">
        <v>249</v>
      </c>
      <c r="ORF47" s="58" t="s">
        <v>250</v>
      </c>
      <c r="ORG47" s="58" t="s">
        <v>247</v>
      </c>
      <c r="ORH47" s="58" t="s">
        <v>248</v>
      </c>
      <c r="ORI47" s="58" t="s">
        <v>249</v>
      </c>
      <c r="ORJ47" s="58" t="s">
        <v>250</v>
      </c>
      <c r="ORK47" s="58" t="s">
        <v>247</v>
      </c>
      <c r="ORL47" s="58" t="s">
        <v>248</v>
      </c>
      <c r="ORM47" s="58" t="s">
        <v>249</v>
      </c>
      <c r="ORN47" s="58" t="s">
        <v>250</v>
      </c>
      <c r="ORO47" s="58" t="s">
        <v>247</v>
      </c>
      <c r="ORP47" s="58" t="s">
        <v>248</v>
      </c>
      <c r="ORQ47" s="58" t="s">
        <v>249</v>
      </c>
      <c r="ORR47" s="58" t="s">
        <v>250</v>
      </c>
      <c r="ORS47" s="58" t="s">
        <v>247</v>
      </c>
      <c r="ORT47" s="58" t="s">
        <v>248</v>
      </c>
      <c r="ORU47" s="58" t="s">
        <v>249</v>
      </c>
      <c r="ORV47" s="58" t="s">
        <v>250</v>
      </c>
      <c r="ORW47" s="58" t="s">
        <v>247</v>
      </c>
      <c r="ORX47" s="58" t="s">
        <v>248</v>
      </c>
      <c r="ORY47" s="58" t="s">
        <v>249</v>
      </c>
      <c r="ORZ47" s="58" t="s">
        <v>250</v>
      </c>
      <c r="OSA47" s="58" t="s">
        <v>247</v>
      </c>
      <c r="OSB47" s="58" t="s">
        <v>248</v>
      </c>
      <c r="OSC47" s="58" t="s">
        <v>249</v>
      </c>
      <c r="OSD47" s="58" t="s">
        <v>250</v>
      </c>
      <c r="OSE47" s="58" t="s">
        <v>247</v>
      </c>
      <c r="OSF47" s="58" t="s">
        <v>248</v>
      </c>
      <c r="OSG47" s="58" t="s">
        <v>249</v>
      </c>
      <c r="OSH47" s="58" t="s">
        <v>250</v>
      </c>
      <c r="OSI47" s="58" t="s">
        <v>247</v>
      </c>
      <c r="OSJ47" s="58" t="s">
        <v>248</v>
      </c>
      <c r="OSK47" s="58" t="s">
        <v>249</v>
      </c>
      <c r="OSL47" s="58" t="s">
        <v>250</v>
      </c>
      <c r="OSM47" s="58" t="s">
        <v>247</v>
      </c>
      <c r="OSN47" s="58" t="s">
        <v>248</v>
      </c>
      <c r="OSO47" s="58" t="s">
        <v>249</v>
      </c>
      <c r="OSP47" s="58" t="s">
        <v>250</v>
      </c>
      <c r="OSQ47" s="58" t="s">
        <v>247</v>
      </c>
      <c r="OSR47" s="58" t="s">
        <v>248</v>
      </c>
      <c r="OSS47" s="58" t="s">
        <v>249</v>
      </c>
      <c r="OST47" s="58" t="s">
        <v>250</v>
      </c>
      <c r="OSU47" s="58" t="s">
        <v>247</v>
      </c>
      <c r="OSV47" s="58" t="s">
        <v>248</v>
      </c>
      <c r="OSW47" s="58" t="s">
        <v>249</v>
      </c>
      <c r="OSX47" s="58" t="s">
        <v>250</v>
      </c>
      <c r="OSY47" s="58" t="s">
        <v>247</v>
      </c>
      <c r="OSZ47" s="58" t="s">
        <v>248</v>
      </c>
      <c r="OTA47" s="58" t="s">
        <v>249</v>
      </c>
      <c r="OTB47" s="58" t="s">
        <v>250</v>
      </c>
      <c r="OTC47" s="58" t="s">
        <v>247</v>
      </c>
      <c r="OTD47" s="58" t="s">
        <v>248</v>
      </c>
      <c r="OTE47" s="58" t="s">
        <v>249</v>
      </c>
      <c r="OTF47" s="58" t="s">
        <v>250</v>
      </c>
      <c r="OTG47" s="58" t="s">
        <v>247</v>
      </c>
      <c r="OTH47" s="58" t="s">
        <v>248</v>
      </c>
      <c r="OTI47" s="58" t="s">
        <v>249</v>
      </c>
      <c r="OTJ47" s="58" t="s">
        <v>250</v>
      </c>
      <c r="OTK47" s="58" t="s">
        <v>247</v>
      </c>
      <c r="OTL47" s="58" t="s">
        <v>248</v>
      </c>
      <c r="OTM47" s="58" t="s">
        <v>249</v>
      </c>
      <c r="OTN47" s="58" t="s">
        <v>250</v>
      </c>
      <c r="OTO47" s="58" t="s">
        <v>247</v>
      </c>
      <c r="OTP47" s="58" t="s">
        <v>248</v>
      </c>
      <c r="OTQ47" s="58" t="s">
        <v>249</v>
      </c>
      <c r="OTR47" s="58" t="s">
        <v>250</v>
      </c>
      <c r="OTS47" s="58" t="s">
        <v>247</v>
      </c>
      <c r="OTT47" s="58" t="s">
        <v>248</v>
      </c>
      <c r="OTU47" s="58" t="s">
        <v>249</v>
      </c>
      <c r="OTV47" s="58" t="s">
        <v>250</v>
      </c>
      <c r="OTW47" s="58" t="s">
        <v>247</v>
      </c>
      <c r="OTX47" s="58" t="s">
        <v>248</v>
      </c>
      <c r="OTY47" s="58" t="s">
        <v>249</v>
      </c>
      <c r="OTZ47" s="58" t="s">
        <v>250</v>
      </c>
      <c r="OUA47" s="58" t="s">
        <v>247</v>
      </c>
      <c r="OUB47" s="58" t="s">
        <v>248</v>
      </c>
      <c r="OUC47" s="58" t="s">
        <v>249</v>
      </c>
      <c r="OUD47" s="58" t="s">
        <v>250</v>
      </c>
      <c r="OUE47" s="58" t="s">
        <v>247</v>
      </c>
      <c r="OUF47" s="58" t="s">
        <v>248</v>
      </c>
      <c r="OUG47" s="58" t="s">
        <v>249</v>
      </c>
      <c r="OUH47" s="58" t="s">
        <v>250</v>
      </c>
      <c r="OUI47" s="58" t="s">
        <v>247</v>
      </c>
      <c r="OUJ47" s="58" t="s">
        <v>248</v>
      </c>
      <c r="OUK47" s="58" t="s">
        <v>249</v>
      </c>
      <c r="OUL47" s="58" t="s">
        <v>250</v>
      </c>
      <c r="OUM47" s="58" t="s">
        <v>247</v>
      </c>
      <c r="OUN47" s="58" t="s">
        <v>248</v>
      </c>
      <c r="OUO47" s="58" t="s">
        <v>249</v>
      </c>
      <c r="OUP47" s="58" t="s">
        <v>250</v>
      </c>
      <c r="OUQ47" s="58" t="s">
        <v>247</v>
      </c>
      <c r="OUR47" s="58" t="s">
        <v>248</v>
      </c>
      <c r="OUS47" s="58" t="s">
        <v>249</v>
      </c>
      <c r="OUT47" s="58" t="s">
        <v>250</v>
      </c>
      <c r="OUU47" s="58" t="s">
        <v>247</v>
      </c>
      <c r="OUV47" s="58" t="s">
        <v>248</v>
      </c>
      <c r="OUW47" s="58" t="s">
        <v>249</v>
      </c>
      <c r="OUX47" s="58" t="s">
        <v>250</v>
      </c>
      <c r="OUY47" s="58" t="s">
        <v>247</v>
      </c>
      <c r="OUZ47" s="58" t="s">
        <v>248</v>
      </c>
      <c r="OVA47" s="58" t="s">
        <v>249</v>
      </c>
      <c r="OVB47" s="58" t="s">
        <v>250</v>
      </c>
      <c r="OVC47" s="58" t="s">
        <v>247</v>
      </c>
      <c r="OVD47" s="58" t="s">
        <v>248</v>
      </c>
      <c r="OVE47" s="58" t="s">
        <v>249</v>
      </c>
      <c r="OVF47" s="58" t="s">
        <v>250</v>
      </c>
      <c r="OVG47" s="58" t="s">
        <v>247</v>
      </c>
      <c r="OVH47" s="58" t="s">
        <v>248</v>
      </c>
      <c r="OVI47" s="58" t="s">
        <v>249</v>
      </c>
      <c r="OVJ47" s="58" t="s">
        <v>250</v>
      </c>
      <c r="OVK47" s="58" t="s">
        <v>247</v>
      </c>
      <c r="OVL47" s="58" t="s">
        <v>248</v>
      </c>
      <c r="OVM47" s="58" t="s">
        <v>249</v>
      </c>
      <c r="OVN47" s="58" t="s">
        <v>250</v>
      </c>
      <c r="OVO47" s="58" t="s">
        <v>247</v>
      </c>
      <c r="OVP47" s="58" t="s">
        <v>248</v>
      </c>
      <c r="OVQ47" s="58" t="s">
        <v>249</v>
      </c>
      <c r="OVR47" s="58" t="s">
        <v>250</v>
      </c>
      <c r="OVS47" s="58" t="s">
        <v>247</v>
      </c>
      <c r="OVT47" s="58" t="s">
        <v>248</v>
      </c>
      <c r="OVU47" s="58" t="s">
        <v>249</v>
      </c>
      <c r="OVV47" s="58" t="s">
        <v>250</v>
      </c>
      <c r="OVW47" s="58" t="s">
        <v>247</v>
      </c>
      <c r="OVX47" s="58" t="s">
        <v>248</v>
      </c>
      <c r="OVY47" s="58" t="s">
        <v>249</v>
      </c>
      <c r="OVZ47" s="58" t="s">
        <v>250</v>
      </c>
      <c r="OWA47" s="58" t="s">
        <v>247</v>
      </c>
      <c r="OWB47" s="58" t="s">
        <v>248</v>
      </c>
      <c r="OWC47" s="58" t="s">
        <v>249</v>
      </c>
      <c r="OWD47" s="58" t="s">
        <v>250</v>
      </c>
      <c r="OWE47" s="58" t="s">
        <v>247</v>
      </c>
      <c r="OWF47" s="58" t="s">
        <v>248</v>
      </c>
      <c r="OWG47" s="58" t="s">
        <v>249</v>
      </c>
      <c r="OWH47" s="58" t="s">
        <v>250</v>
      </c>
      <c r="OWI47" s="58" t="s">
        <v>247</v>
      </c>
      <c r="OWJ47" s="58" t="s">
        <v>248</v>
      </c>
      <c r="OWK47" s="58" t="s">
        <v>249</v>
      </c>
      <c r="OWL47" s="58" t="s">
        <v>250</v>
      </c>
      <c r="OWM47" s="58" t="s">
        <v>247</v>
      </c>
      <c r="OWN47" s="58" t="s">
        <v>248</v>
      </c>
      <c r="OWO47" s="58" t="s">
        <v>249</v>
      </c>
      <c r="OWP47" s="58" t="s">
        <v>250</v>
      </c>
      <c r="OWQ47" s="58" t="s">
        <v>247</v>
      </c>
      <c r="OWR47" s="58" t="s">
        <v>248</v>
      </c>
      <c r="OWS47" s="58" t="s">
        <v>249</v>
      </c>
      <c r="OWT47" s="58" t="s">
        <v>250</v>
      </c>
      <c r="OWU47" s="58" t="s">
        <v>247</v>
      </c>
      <c r="OWV47" s="58" t="s">
        <v>248</v>
      </c>
      <c r="OWW47" s="58" t="s">
        <v>249</v>
      </c>
      <c r="OWX47" s="58" t="s">
        <v>250</v>
      </c>
      <c r="OWY47" s="58" t="s">
        <v>247</v>
      </c>
      <c r="OWZ47" s="58" t="s">
        <v>248</v>
      </c>
      <c r="OXA47" s="58" t="s">
        <v>249</v>
      </c>
      <c r="OXB47" s="58" t="s">
        <v>250</v>
      </c>
      <c r="OXC47" s="58" t="s">
        <v>247</v>
      </c>
      <c r="OXD47" s="58" t="s">
        <v>248</v>
      </c>
      <c r="OXE47" s="58" t="s">
        <v>249</v>
      </c>
      <c r="OXF47" s="58" t="s">
        <v>250</v>
      </c>
      <c r="OXG47" s="58" t="s">
        <v>247</v>
      </c>
      <c r="OXH47" s="58" t="s">
        <v>248</v>
      </c>
      <c r="OXI47" s="58" t="s">
        <v>249</v>
      </c>
      <c r="OXJ47" s="58" t="s">
        <v>250</v>
      </c>
      <c r="OXK47" s="58" t="s">
        <v>247</v>
      </c>
      <c r="OXL47" s="58" t="s">
        <v>248</v>
      </c>
      <c r="OXM47" s="58" t="s">
        <v>249</v>
      </c>
      <c r="OXN47" s="58" t="s">
        <v>250</v>
      </c>
      <c r="OXO47" s="58" t="s">
        <v>247</v>
      </c>
      <c r="OXP47" s="58" t="s">
        <v>248</v>
      </c>
      <c r="OXQ47" s="58" t="s">
        <v>249</v>
      </c>
      <c r="OXR47" s="58" t="s">
        <v>250</v>
      </c>
      <c r="OXS47" s="58" t="s">
        <v>247</v>
      </c>
      <c r="OXT47" s="58" t="s">
        <v>248</v>
      </c>
      <c r="OXU47" s="58" t="s">
        <v>249</v>
      </c>
      <c r="OXV47" s="58" t="s">
        <v>250</v>
      </c>
      <c r="OXW47" s="58" t="s">
        <v>247</v>
      </c>
      <c r="OXX47" s="58" t="s">
        <v>248</v>
      </c>
      <c r="OXY47" s="58" t="s">
        <v>249</v>
      </c>
      <c r="OXZ47" s="58" t="s">
        <v>250</v>
      </c>
      <c r="OYA47" s="58" t="s">
        <v>247</v>
      </c>
      <c r="OYB47" s="58" t="s">
        <v>248</v>
      </c>
      <c r="OYC47" s="58" t="s">
        <v>249</v>
      </c>
      <c r="OYD47" s="58" t="s">
        <v>250</v>
      </c>
      <c r="OYE47" s="58" t="s">
        <v>247</v>
      </c>
      <c r="OYF47" s="58" t="s">
        <v>248</v>
      </c>
      <c r="OYG47" s="58" t="s">
        <v>249</v>
      </c>
      <c r="OYH47" s="58" t="s">
        <v>250</v>
      </c>
      <c r="OYI47" s="58" t="s">
        <v>247</v>
      </c>
      <c r="OYJ47" s="58" t="s">
        <v>248</v>
      </c>
      <c r="OYK47" s="58" t="s">
        <v>249</v>
      </c>
      <c r="OYL47" s="58" t="s">
        <v>250</v>
      </c>
      <c r="OYM47" s="58" t="s">
        <v>247</v>
      </c>
      <c r="OYN47" s="58" t="s">
        <v>248</v>
      </c>
      <c r="OYO47" s="58" t="s">
        <v>249</v>
      </c>
      <c r="OYP47" s="58" t="s">
        <v>250</v>
      </c>
      <c r="OYQ47" s="58" t="s">
        <v>247</v>
      </c>
      <c r="OYR47" s="58" t="s">
        <v>248</v>
      </c>
      <c r="OYS47" s="58" t="s">
        <v>249</v>
      </c>
      <c r="OYT47" s="58" t="s">
        <v>250</v>
      </c>
      <c r="OYU47" s="58" t="s">
        <v>247</v>
      </c>
      <c r="OYV47" s="58" t="s">
        <v>248</v>
      </c>
      <c r="OYW47" s="58" t="s">
        <v>249</v>
      </c>
      <c r="OYX47" s="58" t="s">
        <v>250</v>
      </c>
      <c r="OYY47" s="58" t="s">
        <v>247</v>
      </c>
      <c r="OYZ47" s="58" t="s">
        <v>248</v>
      </c>
      <c r="OZA47" s="58" t="s">
        <v>249</v>
      </c>
      <c r="OZB47" s="58" t="s">
        <v>250</v>
      </c>
      <c r="OZC47" s="58" t="s">
        <v>247</v>
      </c>
      <c r="OZD47" s="58" t="s">
        <v>248</v>
      </c>
      <c r="OZE47" s="58" t="s">
        <v>249</v>
      </c>
      <c r="OZF47" s="58" t="s">
        <v>250</v>
      </c>
      <c r="OZG47" s="58" t="s">
        <v>247</v>
      </c>
      <c r="OZH47" s="58" t="s">
        <v>248</v>
      </c>
      <c r="OZI47" s="58" t="s">
        <v>249</v>
      </c>
      <c r="OZJ47" s="58" t="s">
        <v>250</v>
      </c>
      <c r="OZK47" s="58" t="s">
        <v>247</v>
      </c>
      <c r="OZL47" s="58" t="s">
        <v>248</v>
      </c>
      <c r="OZM47" s="58" t="s">
        <v>249</v>
      </c>
      <c r="OZN47" s="58" t="s">
        <v>250</v>
      </c>
      <c r="OZO47" s="58" t="s">
        <v>247</v>
      </c>
      <c r="OZP47" s="58" t="s">
        <v>248</v>
      </c>
      <c r="OZQ47" s="58" t="s">
        <v>249</v>
      </c>
      <c r="OZR47" s="58" t="s">
        <v>250</v>
      </c>
      <c r="OZS47" s="58" t="s">
        <v>247</v>
      </c>
      <c r="OZT47" s="58" t="s">
        <v>248</v>
      </c>
      <c r="OZU47" s="58" t="s">
        <v>249</v>
      </c>
      <c r="OZV47" s="58" t="s">
        <v>250</v>
      </c>
      <c r="OZW47" s="58" t="s">
        <v>247</v>
      </c>
      <c r="OZX47" s="58" t="s">
        <v>248</v>
      </c>
      <c r="OZY47" s="58" t="s">
        <v>249</v>
      </c>
      <c r="OZZ47" s="58" t="s">
        <v>250</v>
      </c>
      <c r="PAA47" s="58" t="s">
        <v>247</v>
      </c>
      <c r="PAB47" s="58" t="s">
        <v>248</v>
      </c>
      <c r="PAC47" s="58" t="s">
        <v>249</v>
      </c>
      <c r="PAD47" s="58" t="s">
        <v>250</v>
      </c>
      <c r="PAE47" s="58" t="s">
        <v>247</v>
      </c>
      <c r="PAF47" s="58" t="s">
        <v>248</v>
      </c>
      <c r="PAG47" s="58" t="s">
        <v>249</v>
      </c>
      <c r="PAH47" s="58" t="s">
        <v>250</v>
      </c>
      <c r="PAI47" s="58" t="s">
        <v>247</v>
      </c>
      <c r="PAJ47" s="58" t="s">
        <v>248</v>
      </c>
      <c r="PAK47" s="58" t="s">
        <v>249</v>
      </c>
      <c r="PAL47" s="58" t="s">
        <v>250</v>
      </c>
      <c r="PAM47" s="58" t="s">
        <v>247</v>
      </c>
      <c r="PAN47" s="58" t="s">
        <v>248</v>
      </c>
      <c r="PAO47" s="58" t="s">
        <v>249</v>
      </c>
      <c r="PAP47" s="58" t="s">
        <v>250</v>
      </c>
      <c r="PAQ47" s="58" t="s">
        <v>247</v>
      </c>
      <c r="PAR47" s="58" t="s">
        <v>248</v>
      </c>
      <c r="PAS47" s="58" t="s">
        <v>249</v>
      </c>
      <c r="PAT47" s="58" t="s">
        <v>250</v>
      </c>
      <c r="PAU47" s="58" t="s">
        <v>247</v>
      </c>
      <c r="PAV47" s="58" t="s">
        <v>248</v>
      </c>
      <c r="PAW47" s="58" t="s">
        <v>249</v>
      </c>
      <c r="PAX47" s="58" t="s">
        <v>250</v>
      </c>
      <c r="PAY47" s="58" t="s">
        <v>247</v>
      </c>
      <c r="PAZ47" s="58" t="s">
        <v>248</v>
      </c>
      <c r="PBA47" s="58" t="s">
        <v>249</v>
      </c>
      <c r="PBB47" s="58" t="s">
        <v>250</v>
      </c>
      <c r="PBC47" s="58" t="s">
        <v>247</v>
      </c>
      <c r="PBD47" s="58" t="s">
        <v>248</v>
      </c>
      <c r="PBE47" s="58" t="s">
        <v>249</v>
      </c>
      <c r="PBF47" s="58" t="s">
        <v>250</v>
      </c>
      <c r="PBG47" s="58" t="s">
        <v>247</v>
      </c>
      <c r="PBH47" s="58" t="s">
        <v>248</v>
      </c>
      <c r="PBI47" s="58" t="s">
        <v>249</v>
      </c>
      <c r="PBJ47" s="58" t="s">
        <v>250</v>
      </c>
      <c r="PBK47" s="58" t="s">
        <v>247</v>
      </c>
      <c r="PBL47" s="58" t="s">
        <v>248</v>
      </c>
      <c r="PBM47" s="58" t="s">
        <v>249</v>
      </c>
      <c r="PBN47" s="58" t="s">
        <v>250</v>
      </c>
      <c r="PBO47" s="58" t="s">
        <v>247</v>
      </c>
      <c r="PBP47" s="58" t="s">
        <v>248</v>
      </c>
      <c r="PBQ47" s="58" t="s">
        <v>249</v>
      </c>
      <c r="PBR47" s="58" t="s">
        <v>250</v>
      </c>
      <c r="PBS47" s="58" t="s">
        <v>247</v>
      </c>
      <c r="PBT47" s="58" t="s">
        <v>248</v>
      </c>
      <c r="PBU47" s="58" t="s">
        <v>249</v>
      </c>
      <c r="PBV47" s="58" t="s">
        <v>250</v>
      </c>
      <c r="PBW47" s="58" t="s">
        <v>247</v>
      </c>
      <c r="PBX47" s="58" t="s">
        <v>248</v>
      </c>
      <c r="PBY47" s="58" t="s">
        <v>249</v>
      </c>
      <c r="PBZ47" s="58" t="s">
        <v>250</v>
      </c>
      <c r="PCA47" s="58" t="s">
        <v>247</v>
      </c>
      <c r="PCB47" s="58" t="s">
        <v>248</v>
      </c>
      <c r="PCC47" s="58" t="s">
        <v>249</v>
      </c>
      <c r="PCD47" s="58" t="s">
        <v>250</v>
      </c>
      <c r="PCE47" s="58" t="s">
        <v>247</v>
      </c>
      <c r="PCF47" s="58" t="s">
        <v>248</v>
      </c>
      <c r="PCG47" s="58" t="s">
        <v>249</v>
      </c>
      <c r="PCH47" s="58" t="s">
        <v>250</v>
      </c>
      <c r="PCI47" s="58" t="s">
        <v>247</v>
      </c>
      <c r="PCJ47" s="58" t="s">
        <v>248</v>
      </c>
      <c r="PCK47" s="58" t="s">
        <v>249</v>
      </c>
      <c r="PCL47" s="58" t="s">
        <v>250</v>
      </c>
      <c r="PCM47" s="58" t="s">
        <v>247</v>
      </c>
      <c r="PCN47" s="58" t="s">
        <v>248</v>
      </c>
      <c r="PCO47" s="58" t="s">
        <v>249</v>
      </c>
      <c r="PCP47" s="58" t="s">
        <v>250</v>
      </c>
      <c r="PCQ47" s="58" t="s">
        <v>247</v>
      </c>
      <c r="PCR47" s="58" t="s">
        <v>248</v>
      </c>
      <c r="PCS47" s="58" t="s">
        <v>249</v>
      </c>
      <c r="PCT47" s="58" t="s">
        <v>250</v>
      </c>
      <c r="PCU47" s="58" t="s">
        <v>247</v>
      </c>
      <c r="PCV47" s="58" t="s">
        <v>248</v>
      </c>
      <c r="PCW47" s="58" t="s">
        <v>249</v>
      </c>
      <c r="PCX47" s="58" t="s">
        <v>250</v>
      </c>
      <c r="PCY47" s="58" t="s">
        <v>247</v>
      </c>
      <c r="PCZ47" s="58" t="s">
        <v>248</v>
      </c>
      <c r="PDA47" s="58" t="s">
        <v>249</v>
      </c>
      <c r="PDB47" s="58" t="s">
        <v>250</v>
      </c>
      <c r="PDC47" s="58" t="s">
        <v>247</v>
      </c>
      <c r="PDD47" s="58" t="s">
        <v>248</v>
      </c>
      <c r="PDE47" s="58" t="s">
        <v>249</v>
      </c>
      <c r="PDF47" s="58" t="s">
        <v>250</v>
      </c>
      <c r="PDG47" s="58" t="s">
        <v>247</v>
      </c>
      <c r="PDH47" s="58" t="s">
        <v>248</v>
      </c>
      <c r="PDI47" s="58" t="s">
        <v>249</v>
      </c>
      <c r="PDJ47" s="58" t="s">
        <v>250</v>
      </c>
      <c r="PDK47" s="58" t="s">
        <v>247</v>
      </c>
      <c r="PDL47" s="58" t="s">
        <v>248</v>
      </c>
      <c r="PDM47" s="58" t="s">
        <v>249</v>
      </c>
      <c r="PDN47" s="58" t="s">
        <v>250</v>
      </c>
      <c r="PDO47" s="58" t="s">
        <v>247</v>
      </c>
      <c r="PDP47" s="58" t="s">
        <v>248</v>
      </c>
      <c r="PDQ47" s="58" t="s">
        <v>249</v>
      </c>
      <c r="PDR47" s="58" t="s">
        <v>250</v>
      </c>
      <c r="PDS47" s="58" t="s">
        <v>247</v>
      </c>
      <c r="PDT47" s="58" t="s">
        <v>248</v>
      </c>
      <c r="PDU47" s="58" t="s">
        <v>249</v>
      </c>
      <c r="PDV47" s="58" t="s">
        <v>250</v>
      </c>
      <c r="PDW47" s="58" t="s">
        <v>247</v>
      </c>
      <c r="PDX47" s="58" t="s">
        <v>248</v>
      </c>
      <c r="PDY47" s="58" t="s">
        <v>249</v>
      </c>
      <c r="PDZ47" s="58" t="s">
        <v>250</v>
      </c>
      <c r="PEA47" s="58" t="s">
        <v>247</v>
      </c>
      <c r="PEB47" s="58" t="s">
        <v>248</v>
      </c>
      <c r="PEC47" s="58" t="s">
        <v>249</v>
      </c>
      <c r="PED47" s="58" t="s">
        <v>250</v>
      </c>
      <c r="PEE47" s="58" t="s">
        <v>247</v>
      </c>
      <c r="PEF47" s="58" t="s">
        <v>248</v>
      </c>
      <c r="PEG47" s="58" t="s">
        <v>249</v>
      </c>
      <c r="PEH47" s="58" t="s">
        <v>250</v>
      </c>
      <c r="PEI47" s="58" t="s">
        <v>247</v>
      </c>
      <c r="PEJ47" s="58" t="s">
        <v>248</v>
      </c>
      <c r="PEK47" s="58" t="s">
        <v>249</v>
      </c>
      <c r="PEL47" s="58" t="s">
        <v>250</v>
      </c>
      <c r="PEM47" s="58" t="s">
        <v>247</v>
      </c>
      <c r="PEN47" s="58" t="s">
        <v>248</v>
      </c>
      <c r="PEO47" s="58" t="s">
        <v>249</v>
      </c>
      <c r="PEP47" s="58" t="s">
        <v>250</v>
      </c>
      <c r="PEQ47" s="58" t="s">
        <v>247</v>
      </c>
      <c r="PER47" s="58" t="s">
        <v>248</v>
      </c>
      <c r="PES47" s="58" t="s">
        <v>249</v>
      </c>
      <c r="PET47" s="58" t="s">
        <v>250</v>
      </c>
      <c r="PEU47" s="58" t="s">
        <v>247</v>
      </c>
      <c r="PEV47" s="58" t="s">
        <v>248</v>
      </c>
      <c r="PEW47" s="58" t="s">
        <v>249</v>
      </c>
      <c r="PEX47" s="58" t="s">
        <v>250</v>
      </c>
      <c r="PEY47" s="58" t="s">
        <v>247</v>
      </c>
      <c r="PEZ47" s="58" t="s">
        <v>248</v>
      </c>
      <c r="PFA47" s="58" t="s">
        <v>249</v>
      </c>
      <c r="PFB47" s="58" t="s">
        <v>250</v>
      </c>
      <c r="PFC47" s="58" t="s">
        <v>247</v>
      </c>
      <c r="PFD47" s="58" t="s">
        <v>248</v>
      </c>
      <c r="PFE47" s="58" t="s">
        <v>249</v>
      </c>
      <c r="PFF47" s="58" t="s">
        <v>250</v>
      </c>
      <c r="PFG47" s="58" t="s">
        <v>247</v>
      </c>
      <c r="PFH47" s="58" t="s">
        <v>248</v>
      </c>
      <c r="PFI47" s="58" t="s">
        <v>249</v>
      </c>
      <c r="PFJ47" s="58" t="s">
        <v>250</v>
      </c>
      <c r="PFK47" s="58" t="s">
        <v>247</v>
      </c>
      <c r="PFL47" s="58" t="s">
        <v>248</v>
      </c>
      <c r="PFM47" s="58" t="s">
        <v>249</v>
      </c>
      <c r="PFN47" s="58" t="s">
        <v>250</v>
      </c>
      <c r="PFO47" s="58" t="s">
        <v>247</v>
      </c>
      <c r="PFP47" s="58" t="s">
        <v>248</v>
      </c>
      <c r="PFQ47" s="58" t="s">
        <v>249</v>
      </c>
      <c r="PFR47" s="58" t="s">
        <v>250</v>
      </c>
      <c r="PFS47" s="58" t="s">
        <v>247</v>
      </c>
      <c r="PFT47" s="58" t="s">
        <v>248</v>
      </c>
      <c r="PFU47" s="58" t="s">
        <v>249</v>
      </c>
      <c r="PFV47" s="58" t="s">
        <v>250</v>
      </c>
      <c r="PFW47" s="58" t="s">
        <v>247</v>
      </c>
      <c r="PFX47" s="58" t="s">
        <v>248</v>
      </c>
      <c r="PFY47" s="58" t="s">
        <v>249</v>
      </c>
      <c r="PFZ47" s="58" t="s">
        <v>250</v>
      </c>
      <c r="PGA47" s="58" t="s">
        <v>247</v>
      </c>
      <c r="PGB47" s="58" t="s">
        <v>248</v>
      </c>
      <c r="PGC47" s="58" t="s">
        <v>249</v>
      </c>
      <c r="PGD47" s="58" t="s">
        <v>250</v>
      </c>
      <c r="PGE47" s="58" t="s">
        <v>247</v>
      </c>
      <c r="PGF47" s="58" t="s">
        <v>248</v>
      </c>
      <c r="PGG47" s="58" t="s">
        <v>249</v>
      </c>
      <c r="PGH47" s="58" t="s">
        <v>250</v>
      </c>
      <c r="PGI47" s="58" t="s">
        <v>247</v>
      </c>
      <c r="PGJ47" s="58" t="s">
        <v>248</v>
      </c>
      <c r="PGK47" s="58" t="s">
        <v>249</v>
      </c>
      <c r="PGL47" s="58" t="s">
        <v>250</v>
      </c>
      <c r="PGM47" s="58" t="s">
        <v>247</v>
      </c>
      <c r="PGN47" s="58" t="s">
        <v>248</v>
      </c>
      <c r="PGO47" s="58" t="s">
        <v>249</v>
      </c>
      <c r="PGP47" s="58" t="s">
        <v>250</v>
      </c>
      <c r="PGQ47" s="58" t="s">
        <v>247</v>
      </c>
      <c r="PGR47" s="58" t="s">
        <v>248</v>
      </c>
      <c r="PGS47" s="58" t="s">
        <v>249</v>
      </c>
      <c r="PGT47" s="58" t="s">
        <v>250</v>
      </c>
      <c r="PGU47" s="58" t="s">
        <v>247</v>
      </c>
      <c r="PGV47" s="58" t="s">
        <v>248</v>
      </c>
      <c r="PGW47" s="58" t="s">
        <v>249</v>
      </c>
      <c r="PGX47" s="58" t="s">
        <v>250</v>
      </c>
      <c r="PGY47" s="58" t="s">
        <v>247</v>
      </c>
      <c r="PGZ47" s="58" t="s">
        <v>248</v>
      </c>
      <c r="PHA47" s="58" t="s">
        <v>249</v>
      </c>
      <c r="PHB47" s="58" t="s">
        <v>250</v>
      </c>
      <c r="PHC47" s="58" t="s">
        <v>247</v>
      </c>
      <c r="PHD47" s="58" t="s">
        <v>248</v>
      </c>
      <c r="PHE47" s="58" t="s">
        <v>249</v>
      </c>
      <c r="PHF47" s="58" t="s">
        <v>250</v>
      </c>
      <c r="PHG47" s="58" t="s">
        <v>247</v>
      </c>
      <c r="PHH47" s="58" t="s">
        <v>248</v>
      </c>
      <c r="PHI47" s="58" t="s">
        <v>249</v>
      </c>
      <c r="PHJ47" s="58" t="s">
        <v>250</v>
      </c>
      <c r="PHK47" s="58" t="s">
        <v>247</v>
      </c>
      <c r="PHL47" s="58" t="s">
        <v>248</v>
      </c>
      <c r="PHM47" s="58" t="s">
        <v>249</v>
      </c>
      <c r="PHN47" s="58" t="s">
        <v>250</v>
      </c>
      <c r="PHO47" s="58" t="s">
        <v>247</v>
      </c>
      <c r="PHP47" s="58" t="s">
        <v>248</v>
      </c>
      <c r="PHQ47" s="58" t="s">
        <v>249</v>
      </c>
      <c r="PHR47" s="58" t="s">
        <v>250</v>
      </c>
      <c r="PHS47" s="58" t="s">
        <v>247</v>
      </c>
      <c r="PHT47" s="58" t="s">
        <v>248</v>
      </c>
      <c r="PHU47" s="58" t="s">
        <v>249</v>
      </c>
      <c r="PHV47" s="58" t="s">
        <v>250</v>
      </c>
      <c r="PHW47" s="58" t="s">
        <v>247</v>
      </c>
      <c r="PHX47" s="58" t="s">
        <v>248</v>
      </c>
      <c r="PHY47" s="58" t="s">
        <v>249</v>
      </c>
      <c r="PHZ47" s="58" t="s">
        <v>250</v>
      </c>
      <c r="PIA47" s="58" t="s">
        <v>247</v>
      </c>
      <c r="PIB47" s="58" t="s">
        <v>248</v>
      </c>
      <c r="PIC47" s="58" t="s">
        <v>249</v>
      </c>
      <c r="PID47" s="58" t="s">
        <v>250</v>
      </c>
      <c r="PIE47" s="58" t="s">
        <v>247</v>
      </c>
      <c r="PIF47" s="58" t="s">
        <v>248</v>
      </c>
      <c r="PIG47" s="58" t="s">
        <v>249</v>
      </c>
      <c r="PIH47" s="58" t="s">
        <v>250</v>
      </c>
      <c r="PII47" s="58" t="s">
        <v>247</v>
      </c>
      <c r="PIJ47" s="58" t="s">
        <v>248</v>
      </c>
      <c r="PIK47" s="58" t="s">
        <v>249</v>
      </c>
      <c r="PIL47" s="58" t="s">
        <v>250</v>
      </c>
      <c r="PIM47" s="58" t="s">
        <v>247</v>
      </c>
      <c r="PIN47" s="58" t="s">
        <v>248</v>
      </c>
      <c r="PIO47" s="58" t="s">
        <v>249</v>
      </c>
      <c r="PIP47" s="58" t="s">
        <v>250</v>
      </c>
      <c r="PIQ47" s="58" t="s">
        <v>247</v>
      </c>
      <c r="PIR47" s="58" t="s">
        <v>248</v>
      </c>
      <c r="PIS47" s="58" t="s">
        <v>249</v>
      </c>
      <c r="PIT47" s="58" t="s">
        <v>250</v>
      </c>
      <c r="PIU47" s="58" t="s">
        <v>247</v>
      </c>
      <c r="PIV47" s="58" t="s">
        <v>248</v>
      </c>
      <c r="PIW47" s="58" t="s">
        <v>249</v>
      </c>
      <c r="PIX47" s="58" t="s">
        <v>250</v>
      </c>
      <c r="PIY47" s="58" t="s">
        <v>247</v>
      </c>
      <c r="PIZ47" s="58" t="s">
        <v>248</v>
      </c>
      <c r="PJA47" s="58" t="s">
        <v>249</v>
      </c>
      <c r="PJB47" s="58" t="s">
        <v>250</v>
      </c>
      <c r="PJC47" s="58" t="s">
        <v>247</v>
      </c>
      <c r="PJD47" s="58" t="s">
        <v>248</v>
      </c>
      <c r="PJE47" s="58" t="s">
        <v>249</v>
      </c>
      <c r="PJF47" s="58" t="s">
        <v>250</v>
      </c>
      <c r="PJG47" s="58" t="s">
        <v>247</v>
      </c>
      <c r="PJH47" s="58" t="s">
        <v>248</v>
      </c>
      <c r="PJI47" s="58" t="s">
        <v>249</v>
      </c>
      <c r="PJJ47" s="58" t="s">
        <v>250</v>
      </c>
      <c r="PJK47" s="58" t="s">
        <v>247</v>
      </c>
      <c r="PJL47" s="58" t="s">
        <v>248</v>
      </c>
      <c r="PJM47" s="58" t="s">
        <v>249</v>
      </c>
      <c r="PJN47" s="58" t="s">
        <v>250</v>
      </c>
      <c r="PJO47" s="58" t="s">
        <v>247</v>
      </c>
      <c r="PJP47" s="58" t="s">
        <v>248</v>
      </c>
      <c r="PJQ47" s="58" t="s">
        <v>249</v>
      </c>
      <c r="PJR47" s="58" t="s">
        <v>250</v>
      </c>
      <c r="PJS47" s="58" t="s">
        <v>247</v>
      </c>
      <c r="PJT47" s="58" t="s">
        <v>248</v>
      </c>
      <c r="PJU47" s="58" t="s">
        <v>249</v>
      </c>
      <c r="PJV47" s="58" t="s">
        <v>250</v>
      </c>
      <c r="PJW47" s="58" t="s">
        <v>247</v>
      </c>
      <c r="PJX47" s="58" t="s">
        <v>248</v>
      </c>
      <c r="PJY47" s="58" t="s">
        <v>249</v>
      </c>
      <c r="PJZ47" s="58" t="s">
        <v>250</v>
      </c>
      <c r="PKA47" s="58" t="s">
        <v>247</v>
      </c>
      <c r="PKB47" s="58" t="s">
        <v>248</v>
      </c>
      <c r="PKC47" s="58" t="s">
        <v>249</v>
      </c>
      <c r="PKD47" s="58" t="s">
        <v>250</v>
      </c>
      <c r="PKE47" s="58" t="s">
        <v>247</v>
      </c>
      <c r="PKF47" s="58" t="s">
        <v>248</v>
      </c>
      <c r="PKG47" s="58" t="s">
        <v>249</v>
      </c>
      <c r="PKH47" s="58" t="s">
        <v>250</v>
      </c>
      <c r="PKI47" s="58" t="s">
        <v>247</v>
      </c>
      <c r="PKJ47" s="58" t="s">
        <v>248</v>
      </c>
      <c r="PKK47" s="58" t="s">
        <v>249</v>
      </c>
      <c r="PKL47" s="58" t="s">
        <v>250</v>
      </c>
      <c r="PKM47" s="58" t="s">
        <v>247</v>
      </c>
      <c r="PKN47" s="58" t="s">
        <v>248</v>
      </c>
      <c r="PKO47" s="58" t="s">
        <v>249</v>
      </c>
      <c r="PKP47" s="58" t="s">
        <v>250</v>
      </c>
      <c r="PKQ47" s="58" t="s">
        <v>247</v>
      </c>
      <c r="PKR47" s="58" t="s">
        <v>248</v>
      </c>
      <c r="PKS47" s="58" t="s">
        <v>249</v>
      </c>
      <c r="PKT47" s="58" t="s">
        <v>250</v>
      </c>
      <c r="PKU47" s="58" t="s">
        <v>247</v>
      </c>
      <c r="PKV47" s="58" t="s">
        <v>248</v>
      </c>
      <c r="PKW47" s="58" t="s">
        <v>249</v>
      </c>
      <c r="PKX47" s="58" t="s">
        <v>250</v>
      </c>
      <c r="PKY47" s="58" t="s">
        <v>247</v>
      </c>
      <c r="PKZ47" s="58" t="s">
        <v>248</v>
      </c>
      <c r="PLA47" s="58" t="s">
        <v>249</v>
      </c>
      <c r="PLB47" s="58" t="s">
        <v>250</v>
      </c>
      <c r="PLC47" s="58" t="s">
        <v>247</v>
      </c>
      <c r="PLD47" s="58" t="s">
        <v>248</v>
      </c>
      <c r="PLE47" s="58" t="s">
        <v>249</v>
      </c>
      <c r="PLF47" s="58" t="s">
        <v>250</v>
      </c>
      <c r="PLG47" s="58" t="s">
        <v>247</v>
      </c>
      <c r="PLH47" s="58" t="s">
        <v>248</v>
      </c>
      <c r="PLI47" s="58" t="s">
        <v>249</v>
      </c>
      <c r="PLJ47" s="58" t="s">
        <v>250</v>
      </c>
      <c r="PLK47" s="58" t="s">
        <v>247</v>
      </c>
      <c r="PLL47" s="58" t="s">
        <v>248</v>
      </c>
      <c r="PLM47" s="58" t="s">
        <v>249</v>
      </c>
      <c r="PLN47" s="58" t="s">
        <v>250</v>
      </c>
      <c r="PLO47" s="58" t="s">
        <v>247</v>
      </c>
      <c r="PLP47" s="58" t="s">
        <v>248</v>
      </c>
      <c r="PLQ47" s="58" t="s">
        <v>249</v>
      </c>
      <c r="PLR47" s="58" t="s">
        <v>250</v>
      </c>
      <c r="PLS47" s="58" t="s">
        <v>247</v>
      </c>
      <c r="PLT47" s="58" t="s">
        <v>248</v>
      </c>
      <c r="PLU47" s="58" t="s">
        <v>249</v>
      </c>
      <c r="PLV47" s="58" t="s">
        <v>250</v>
      </c>
      <c r="PLW47" s="58" t="s">
        <v>247</v>
      </c>
      <c r="PLX47" s="58" t="s">
        <v>248</v>
      </c>
      <c r="PLY47" s="58" t="s">
        <v>249</v>
      </c>
      <c r="PLZ47" s="58" t="s">
        <v>250</v>
      </c>
      <c r="PMA47" s="58" t="s">
        <v>247</v>
      </c>
      <c r="PMB47" s="58" t="s">
        <v>248</v>
      </c>
      <c r="PMC47" s="58" t="s">
        <v>249</v>
      </c>
      <c r="PMD47" s="58" t="s">
        <v>250</v>
      </c>
      <c r="PME47" s="58" t="s">
        <v>247</v>
      </c>
      <c r="PMF47" s="58" t="s">
        <v>248</v>
      </c>
      <c r="PMG47" s="58" t="s">
        <v>249</v>
      </c>
      <c r="PMH47" s="58" t="s">
        <v>250</v>
      </c>
      <c r="PMI47" s="58" t="s">
        <v>247</v>
      </c>
      <c r="PMJ47" s="58" t="s">
        <v>248</v>
      </c>
      <c r="PMK47" s="58" t="s">
        <v>249</v>
      </c>
      <c r="PML47" s="58" t="s">
        <v>250</v>
      </c>
      <c r="PMM47" s="58" t="s">
        <v>247</v>
      </c>
      <c r="PMN47" s="58" t="s">
        <v>248</v>
      </c>
      <c r="PMO47" s="58" t="s">
        <v>249</v>
      </c>
      <c r="PMP47" s="58" t="s">
        <v>250</v>
      </c>
      <c r="PMQ47" s="58" t="s">
        <v>247</v>
      </c>
      <c r="PMR47" s="58" t="s">
        <v>248</v>
      </c>
      <c r="PMS47" s="58" t="s">
        <v>249</v>
      </c>
      <c r="PMT47" s="58" t="s">
        <v>250</v>
      </c>
      <c r="PMU47" s="58" t="s">
        <v>247</v>
      </c>
      <c r="PMV47" s="58" t="s">
        <v>248</v>
      </c>
      <c r="PMW47" s="58" t="s">
        <v>249</v>
      </c>
      <c r="PMX47" s="58" t="s">
        <v>250</v>
      </c>
      <c r="PMY47" s="58" t="s">
        <v>247</v>
      </c>
      <c r="PMZ47" s="58" t="s">
        <v>248</v>
      </c>
      <c r="PNA47" s="58" t="s">
        <v>249</v>
      </c>
      <c r="PNB47" s="58" t="s">
        <v>250</v>
      </c>
      <c r="PNC47" s="58" t="s">
        <v>247</v>
      </c>
      <c r="PND47" s="58" t="s">
        <v>248</v>
      </c>
      <c r="PNE47" s="58" t="s">
        <v>249</v>
      </c>
      <c r="PNF47" s="58" t="s">
        <v>250</v>
      </c>
      <c r="PNG47" s="58" t="s">
        <v>247</v>
      </c>
      <c r="PNH47" s="58" t="s">
        <v>248</v>
      </c>
      <c r="PNI47" s="58" t="s">
        <v>249</v>
      </c>
      <c r="PNJ47" s="58" t="s">
        <v>250</v>
      </c>
      <c r="PNK47" s="58" t="s">
        <v>247</v>
      </c>
      <c r="PNL47" s="58" t="s">
        <v>248</v>
      </c>
      <c r="PNM47" s="58" t="s">
        <v>249</v>
      </c>
      <c r="PNN47" s="58" t="s">
        <v>250</v>
      </c>
      <c r="PNO47" s="58" t="s">
        <v>247</v>
      </c>
      <c r="PNP47" s="58" t="s">
        <v>248</v>
      </c>
      <c r="PNQ47" s="58" t="s">
        <v>249</v>
      </c>
      <c r="PNR47" s="58" t="s">
        <v>250</v>
      </c>
      <c r="PNS47" s="58" t="s">
        <v>247</v>
      </c>
      <c r="PNT47" s="58" t="s">
        <v>248</v>
      </c>
      <c r="PNU47" s="58" t="s">
        <v>249</v>
      </c>
      <c r="PNV47" s="58" t="s">
        <v>250</v>
      </c>
      <c r="PNW47" s="58" t="s">
        <v>247</v>
      </c>
      <c r="PNX47" s="58" t="s">
        <v>248</v>
      </c>
      <c r="PNY47" s="58" t="s">
        <v>249</v>
      </c>
      <c r="PNZ47" s="58" t="s">
        <v>250</v>
      </c>
      <c r="POA47" s="58" t="s">
        <v>247</v>
      </c>
      <c r="POB47" s="58" t="s">
        <v>248</v>
      </c>
      <c r="POC47" s="58" t="s">
        <v>249</v>
      </c>
      <c r="POD47" s="58" t="s">
        <v>250</v>
      </c>
      <c r="POE47" s="58" t="s">
        <v>247</v>
      </c>
      <c r="POF47" s="58" t="s">
        <v>248</v>
      </c>
      <c r="POG47" s="58" t="s">
        <v>249</v>
      </c>
      <c r="POH47" s="58" t="s">
        <v>250</v>
      </c>
      <c r="POI47" s="58" t="s">
        <v>247</v>
      </c>
      <c r="POJ47" s="58" t="s">
        <v>248</v>
      </c>
      <c r="POK47" s="58" t="s">
        <v>249</v>
      </c>
      <c r="POL47" s="58" t="s">
        <v>250</v>
      </c>
      <c r="POM47" s="58" t="s">
        <v>247</v>
      </c>
      <c r="PON47" s="58" t="s">
        <v>248</v>
      </c>
      <c r="POO47" s="58" t="s">
        <v>249</v>
      </c>
      <c r="POP47" s="58" t="s">
        <v>250</v>
      </c>
      <c r="POQ47" s="58" t="s">
        <v>247</v>
      </c>
      <c r="POR47" s="58" t="s">
        <v>248</v>
      </c>
      <c r="POS47" s="58" t="s">
        <v>249</v>
      </c>
      <c r="POT47" s="58" t="s">
        <v>250</v>
      </c>
      <c r="POU47" s="58" t="s">
        <v>247</v>
      </c>
      <c r="POV47" s="58" t="s">
        <v>248</v>
      </c>
      <c r="POW47" s="58" t="s">
        <v>249</v>
      </c>
      <c r="POX47" s="58" t="s">
        <v>250</v>
      </c>
      <c r="POY47" s="58" t="s">
        <v>247</v>
      </c>
      <c r="POZ47" s="58" t="s">
        <v>248</v>
      </c>
      <c r="PPA47" s="58" t="s">
        <v>249</v>
      </c>
      <c r="PPB47" s="58" t="s">
        <v>250</v>
      </c>
      <c r="PPC47" s="58" t="s">
        <v>247</v>
      </c>
      <c r="PPD47" s="58" t="s">
        <v>248</v>
      </c>
      <c r="PPE47" s="58" t="s">
        <v>249</v>
      </c>
      <c r="PPF47" s="58" t="s">
        <v>250</v>
      </c>
      <c r="PPG47" s="58" t="s">
        <v>247</v>
      </c>
      <c r="PPH47" s="58" t="s">
        <v>248</v>
      </c>
      <c r="PPI47" s="58" t="s">
        <v>249</v>
      </c>
      <c r="PPJ47" s="58" t="s">
        <v>250</v>
      </c>
      <c r="PPK47" s="58" t="s">
        <v>247</v>
      </c>
      <c r="PPL47" s="58" t="s">
        <v>248</v>
      </c>
      <c r="PPM47" s="58" t="s">
        <v>249</v>
      </c>
      <c r="PPN47" s="58" t="s">
        <v>250</v>
      </c>
      <c r="PPO47" s="58" t="s">
        <v>247</v>
      </c>
      <c r="PPP47" s="58" t="s">
        <v>248</v>
      </c>
      <c r="PPQ47" s="58" t="s">
        <v>249</v>
      </c>
      <c r="PPR47" s="58" t="s">
        <v>250</v>
      </c>
      <c r="PPS47" s="58" t="s">
        <v>247</v>
      </c>
      <c r="PPT47" s="58" t="s">
        <v>248</v>
      </c>
      <c r="PPU47" s="58" t="s">
        <v>249</v>
      </c>
      <c r="PPV47" s="58" t="s">
        <v>250</v>
      </c>
      <c r="PPW47" s="58" t="s">
        <v>247</v>
      </c>
      <c r="PPX47" s="58" t="s">
        <v>248</v>
      </c>
      <c r="PPY47" s="58" t="s">
        <v>249</v>
      </c>
      <c r="PPZ47" s="58" t="s">
        <v>250</v>
      </c>
      <c r="PQA47" s="58" t="s">
        <v>247</v>
      </c>
      <c r="PQB47" s="58" t="s">
        <v>248</v>
      </c>
      <c r="PQC47" s="58" t="s">
        <v>249</v>
      </c>
      <c r="PQD47" s="58" t="s">
        <v>250</v>
      </c>
      <c r="PQE47" s="58" t="s">
        <v>247</v>
      </c>
      <c r="PQF47" s="58" t="s">
        <v>248</v>
      </c>
      <c r="PQG47" s="58" t="s">
        <v>249</v>
      </c>
      <c r="PQH47" s="58" t="s">
        <v>250</v>
      </c>
      <c r="PQI47" s="58" t="s">
        <v>247</v>
      </c>
      <c r="PQJ47" s="58" t="s">
        <v>248</v>
      </c>
      <c r="PQK47" s="58" t="s">
        <v>249</v>
      </c>
      <c r="PQL47" s="58" t="s">
        <v>250</v>
      </c>
      <c r="PQM47" s="58" t="s">
        <v>247</v>
      </c>
      <c r="PQN47" s="58" t="s">
        <v>248</v>
      </c>
      <c r="PQO47" s="58" t="s">
        <v>249</v>
      </c>
      <c r="PQP47" s="58" t="s">
        <v>250</v>
      </c>
      <c r="PQQ47" s="58" t="s">
        <v>247</v>
      </c>
      <c r="PQR47" s="58" t="s">
        <v>248</v>
      </c>
      <c r="PQS47" s="58" t="s">
        <v>249</v>
      </c>
      <c r="PQT47" s="58" t="s">
        <v>250</v>
      </c>
      <c r="PQU47" s="58" t="s">
        <v>247</v>
      </c>
      <c r="PQV47" s="58" t="s">
        <v>248</v>
      </c>
      <c r="PQW47" s="58" t="s">
        <v>249</v>
      </c>
      <c r="PQX47" s="58" t="s">
        <v>250</v>
      </c>
      <c r="PQY47" s="58" t="s">
        <v>247</v>
      </c>
      <c r="PQZ47" s="58" t="s">
        <v>248</v>
      </c>
      <c r="PRA47" s="58" t="s">
        <v>249</v>
      </c>
      <c r="PRB47" s="58" t="s">
        <v>250</v>
      </c>
      <c r="PRC47" s="58" t="s">
        <v>247</v>
      </c>
      <c r="PRD47" s="58" t="s">
        <v>248</v>
      </c>
      <c r="PRE47" s="58" t="s">
        <v>249</v>
      </c>
      <c r="PRF47" s="58" t="s">
        <v>250</v>
      </c>
      <c r="PRG47" s="58" t="s">
        <v>247</v>
      </c>
      <c r="PRH47" s="58" t="s">
        <v>248</v>
      </c>
      <c r="PRI47" s="58" t="s">
        <v>249</v>
      </c>
      <c r="PRJ47" s="58" t="s">
        <v>250</v>
      </c>
      <c r="PRK47" s="58" t="s">
        <v>247</v>
      </c>
      <c r="PRL47" s="58" t="s">
        <v>248</v>
      </c>
      <c r="PRM47" s="58" t="s">
        <v>249</v>
      </c>
      <c r="PRN47" s="58" t="s">
        <v>250</v>
      </c>
      <c r="PRO47" s="58" t="s">
        <v>247</v>
      </c>
      <c r="PRP47" s="58" t="s">
        <v>248</v>
      </c>
      <c r="PRQ47" s="58" t="s">
        <v>249</v>
      </c>
      <c r="PRR47" s="58" t="s">
        <v>250</v>
      </c>
      <c r="PRS47" s="58" t="s">
        <v>247</v>
      </c>
      <c r="PRT47" s="58" t="s">
        <v>248</v>
      </c>
      <c r="PRU47" s="58" t="s">
        <v>249</v>
      </c>
      <c r="PRV47" s="58" t="s">
        <v>250</v>
      </c>
      <c r="PRW47" s="58" t="s">
        <v>247</v>
      </c>
      <c r="PRX47" s="58" t="s">
        <v>248</v>
      </c>
      <c r="PRY47" s="58" t="s">
        <v>249</v>
      </c>
      <c r="PRZ47" s="58" t="s">
        <v>250</v>
      </c>
      <c r="PSA47" s="58" t="s">
        <v>247</v>
      </c>
      <c r="PSB47" s="58" t="s">
        <v>248</v>
      </c>
      <c r="PSC47" s="58" t="s">
        <v>249</v>
      </c>
      <c r="PSD47" s="58" t="s">
        <v>250</v>
      </c>
      <c r="PSE47" s="58" t="s">
        <v>247</v>
      </c>
      <c r="PSF47" s="58" t="s">
        <v>248</v>
      </c>
      <c r="PSG47" s="58" t="s">
        <v>249</v>
      </c>
      <c r="PSH47" s="58" t="s">
        <v>250</v>
      </c>
      <c r="PSI47" s="58" t="s">
        <v>247</v>
      </c>
      <c r="PSJ47" s="58" t="s">
        <v>248</v>
      </c>
      <c r="PSK47" s="58" t="s">
        <v>249</v>
      </c>
      <c r="PSL47" s="58" t="s">
        <v>250</v>
      </c>
      <c r="PSM47" s="58" t="s">
        <v>247</v>
      </c>
      <c r="PSN47" s="58" t="s">
        <v>248</v>
      </c>
      <c r="PSO47" s="58" t="s">
        <v>249</v>
      </c>
      <c r="PSP47" s="58" t="s">
        <v>250</v>
      </c>
      <c r="PSQ47" s="58" t="s">
        <v>247</v>
      </c>
      <c r="PSR47" s="58" t="s">
        <v>248</v>
      </c>
      <c r="PSS47" s="58" t="s">
        <v>249</v>
      </c>
      <c r="PST47" s="58" t="s">
        <v>250</v>
      </c>
      <c r="PSU47" s="58" t="s">
        <v>247</v>
      </c>
      <c r="PSV47" s="58" t="s">
        <v>248</v>
      </c>
      <c r="PSW47" s="58" t="s">
        <v>249</v>
      </c>
      <c r="PSX47" s="58" t="s">
        <v>250</v>
      </c>
      <c r="PSY47" s="58" t="s">
        <v>247</v>
      </c>
      <c r="PSZ47" s="58" t="s">
        <v>248</v>
      </c>
      <c r="PTA47" s="58" t="s">
        <v>249</v>
      </c>
      <c r="PTB47" s="58" t="s">
        <v>250</v>
      </c>
      <c r="PTC47" s="58" t="s">
        <v>247</v>
      </c>
      <c r="PTD47" s="58" t="s">
        <v>248</v>
      </c>
      <c r="PTE47" s="58" t="s">
        <v>249</v>
      </c>
      <c r="PTF47" s="58" t="s">
        <v>250</v>
      </c>
      <c r="PTG47" s="58" t="s">
        <v>247</v>
      </c>
      <c r="PTH47" s="58" t="s">
        <v>248</v>
      </c>
      <c r="PTI47" s="58" t="s">
        <v>249</v>
      </c>
      <c r="PTJ47" s="58" t="s">
        <v>250</v>
      </c>
      <c r="PTK47" s="58" t="s">
        <v>247</v>
      </c>
      <c r="PTL47" s="58" t="s">
        <v>248</v>
      </c>
      <c r="PTM47" s="58" t="s">
        <v>249</v>
      </c>
      <c r="PTN47" s="58" t="s">
        <v>250</v>
      </c>
      <c r="PTO47" s="58" t="s">
        <v>247</v>
      </c>
      <c r="PTP47" s="58" t="s">
        <v>248</v>
      </c>
      <c r="PTQ47" s="58" t="s">
        <v>249</v>
      </c>
      <c r="PTR47" s="58" t="s">
        <v>250</v>
      </c>
      <c r="PTS47" s="58" t="s">
        <v>247</v>
      </c>
      <c r="PTT47" s="58" t="s">
        <v>248</v>
      </c>
      <c r="PTU47" s="58" t="s">
        <v>249</v>
      </c>
      <c r="PTV47" s="58" t="s">
        <v>250</v>
      </c>
      <c r="PTW47" s="58" t="s">
        <v>247</v>
      </c>
      <c r="PTX47" s="58" t="s">
        <v>248</v>
      </c>
      <c r="PTY47" s="58" t="s">
        <v>249</v>
      </c>
      <c r="PTZ47" s="58" t="s">
        <v>250</v>
      </c>
      <c r="PUA47" s="58" t="s">
        <v>247</v>
      </c>
      <c r="PUB47" s="58" t="s">
        <v>248</v>
      </c>
      <c r="PUC47" s="58" t="s">
        <v>249</v>
      </c>
      <c r="PUD47" s="58" t="s">
        <v>250</v>
      </c>
      <c r="PUE47" s="58" t="s">
        <v>247</v>
      </c>
      <c r="PUF47" s="58" t="s">
        <v>248</v>
      </c>
      <c r="PUG47" s="58" t="s">
        <v>249</v>
      </c>
      <c r="PUH47" s="58" t="s">
        <v>250</v>
      </c>
      <c r="PUI47" s="58" t="s">
        <v>247</v>
      </c>
      <c r="PUJ47" s="58" t="s">
        <v>248</v>
      </c>
      <c r="PUK47" s="58" t="s">
        <v>249</v>
      </c>
      <c r="PUL47" s="58" t="s">
        <v>250</v>
      </c>
      <c r="PUM47" s="58" t="s">
        <v>247</v>
      </c>
      <c r="PUN47" s="58" t="s">
        <v>248</v>
      </c>
      <c r="PUO47" s="58" t="s">
        <v>249</v>
      </c>
      <c r="PUP47" s="58" t="s">
        <v>250</v>
      </c>
      <c r="PUQ47" s="58" t="s">
        <v>247</v>
      </c>
      <c r="PUR47" s="58" t="s">
        <v>248</v>
      </c>
      <c r="PUS47" s="58" t="s">
        <v>249</v>
      </c>
      <c r="PUT47" s="58" t="s">
        <v>250</v>
      </c>
      <c r="PUU47" s="58" t="s">
        <v>247</v>
      </c>
      <c r="PUV47" s="58" t="s">
        <v>248</v>
      </c>
      <c r="PUW47" s="58" t="s">
        <v>249</v>
      </c>
      <c r="PUX47" s="58" t="s">
        <v>250</v>
      </c>
      <c r="PUY47" s="58" t="s">
        <v>247</v>
      </c>
      <c r="PUZ47" s="58" t="s">
        <v>248</v>
      </c>
      <c r="PVA47" s="58" t="s">
        <v>249</v>
      </c>
      <c r="PVB47" s="58" t="s">
        <v>250</v>
      </c>
      <c r="PVC47" s="58" t="s">
        <v>247</v>
      </c>
      <c r="PVD47" s="58" t="s">
        <v>248</v>
      </c>
      <c r="PVE47" s="58" t="s">
        <v>249</v>
      </c>
      <c r="PVF47" s="58" t="s">
        <v>250</v>
      </c>
      <c r="PVG47" s="58" t="s">
        <v>247</v>
      </c>
      <c r="PVH47" s="58" t="s">
        <v>248</v>
      </c>
      <c r="PVI47" s="58" t="s">
        <v>249</v>
      </c>
      <c r="PVJ47" s="58" t="s">
        <v>250</v>
      </c>
      <c r="PVK47" s="58" t="s">
        <v>247</v>
      </c>
      <c r="PVL47" s="58" t="s">
        <v>248</v>
      </c>
      <c r="PVM47" s="58" t="s">
        <v>249</v>
      </c>
      <c r="PVN47" s="58" t="s">
        <v>250</v>
      </c>
      <c r="PVO47" s="58" t="s">
        <v>247</v>
      </c>
      <c r="PVP47" s="58" t="s">
        <v>248</v>
      </c>
      <c r="PVQ47" s="58" t="s">
        <v>249</v>
      </c>
      <c r="PVR47" s="58" t="s">
        <v>250</v>
      </c>
      <c r="PVS47" s="58" t="s">
        <v>247</v>
      </c>
      <c r="PVT47" s="58" t="s">
        <v>248</v>
      </c>
      <c r="PVU47" s="58" t="s">
        <v>249</v>
      </c>
      <c r="PVV47" s="58" t="s">
        <v>250</v>
      </c>
      <c r="PVW47" s="58" t="s">
        <v>247</v>
      </c>
      <c r="PVX47" s="58" t="s">
        <v>248</v>
      </c>
      <c r="PVY47" s="58" t="s">
        <v>249</v>
      </c>
      <c r="PVZ47" s="58" t="s">
        <v>250</v>
      </c>
      <c r="PWA47" s="58" t="s">
        <v>247</v>
      </c>
      <c r="PWB47" s="58" t="s">
        <v>248</v>
      </c>
      <c r="PWC47" s="58" t="s">
        <v>249</v>
      </c>
      <c r="PWD47" s="58" t="s">
        <v>250</v>
      </c>
      <c r="PWE47" s="58" t="s">
        <v>247</v>
      </c>
      <c r="PWF47" s="58" t="s">
        <v>248</v>
      </c>
      <c r="PWG47" s="58" t="s">
        <v>249</v>
      </c>
      <c r="PWH47" s="58" t="s">
        <v>250</v>
      </c>
      <c r="PWI47" s="58" t="s">
        <v>247</v>
      </c>
      <c r="PWJ47" s="58" t="s">
        <v>248</v>
      </c>
      <c r="PWK47" s="58" t="s">
        <v>249</v>
      </c>
      <c r="PWL47" s="58" t="s">
        <v>250</v>
      </c>
      <c r="PWM47" s="58" t="s">
        <v>247</v>
      </c>
      <c r="PWN47" s="58" t="s">
        <v>248</v>
      </c>
      <c r="PWO47" s="58" t="s">
        <v>249</v>
      </c>
      <c r="PWP47" s="58" t="s">
        <v>250</v>
      </c>
      <c r="PWQ47" s="58" t="s">
        <v>247</v>
      </c>
      <c r="PWR47" s="58" t="s">
        <v>248</v>
      </c>
      <c r="PWS47" s="58" t="s">
        <v>249</v>
      </c>
      <c r="PWT47" s="58" t="s">
        <v>250</v>
      </c>
      <c r="PWU47" s="58" t="s">
        <v>247</v>
      </c>
      <c r="PWV47" s="58" t="s">
        <v>248</v>
      </c>
      <c r="PWW47" s="58" t="s">
        <v>249</v>
      </c>
      <c r="PWX47" s="58" t="s">
        <v>250</v>
      </c>
      <c r="PWY47" s="58" t="s">
        <v>247</v>
      </c>
      <c r="PWZ47" s="58" t="s">
        <v>248</v>
      </c>
      <c r="PXA47" s="58" t="s">
        <v>249</v>
      </c>
      <c r="PXB47" s="58" t="s">
        <v>250</v>
      </c>
      <c r="PXC47" s="58" t="s">
        <v>247</v>
      </c>
      <c r="PXD47" s="58" t="s">
        <v>248</v>
      </c>
      <c r="PXE47" s="58" t="s">
        <v>249</v>
      </c>
      <c r="PXF47" s="58" t="s">
        <v>250</v>
      </c>
      <c r="PXG47" s="58" t="s">
        <v>247</v>
      </c>
      <c r="PXH47" s="58" t="s">
        <v>248</v>
      </c>
      <c r="PXI47" s="58" t="s">
        <v>249</v>
      </c>
      <c r="PXJ47" s="58" t="s">
        <v>250</v>
      </c>
      <c r="PXK47" s="58" t="s">
        <v>247</v>
      </c>
      <c r="PXL47" s="58" t="s">
        <v>248</v>
      </c>
      <c r="PXM47" s="58" t="s">
        <v>249</v>
      </c>
      <c r="PXN47" s="58" t="s">
        <v>250</v>
      </c>
      <c r="PXO47" s="58" t="s">
        <v>247</v>
      </c>
      <c r="PXP47" s="58" t="s">
        <v>248</v>
      </c>
      <c r="PXQ47" s="58" t="s">
        <v>249</v>
      </c>
      <c r="PXR47" s="58" t="s">
        <v>250</v>
      </c>
      <c r="PXS47" s="58" t="s">
        <v>247</v>
      </c>
      <c r="PXT47" s="58" t="s">
        <v>248</v>
      </c>
      <c r="PXU47" s="58" t="s">
        <v>249</v>
      </c>
      <c r="PXV47" s="58" t="s">
        <v>250</v>
      </c>
      <c r="PXW47" s="58" t="s">
        <v>247</v>
      </c>
      <c r="PXX47" s="58" t="s">
        <v>248</v>
      </c>
      <c r="PXY47" s="58" t="s">
        <v>249</v>
      </c>
      <c r="PXZ47" s="58" t="s">
        <v>250</v>
      </c>
      <c r="PYA47" s="58" t="s">
        <v>247</v>
      </c>
      <c r="PYB47" s="58" t="s">
        <v>248</v>
      </c>
      <c r="PYC47" s="58" t="s">
        <v>249</v>
      </c>
      <c r="PYD47" s="58" t="s">
        <v>250</v>
      </c>
      <c r="PYE47" s="58" t="s">
        <v>247</v>
      </c>
      <c r="PYF47" s="58" t="s">
        <v>248</v>
      </c>
      <c r="PYG47" s="58" t="s">
        <v>249</v>
      </c>
      <c r="PYH47" s="58" t="s">
        <v>250</v>
      </c>
      <c r="PYI47" s="58" t="s">
        <v>247</v>
      </c>
      <c r="PYJ47" s="58" t="s">
        <v>248</v>
      </c>
      <c r="PYK47" s="58" t="s">
        <v>249</v>
      </c>
      <c r="PYL47" s="58" t="s">
        <v>250</v>
      </c>
      <c r="PYM47" s="58" t="s">
        <v>247</v>
      </c>
      <c r="PYN47" s="58" t="s">
        <v>248</v>
      </c>
      <c r="PYO47" s="58" t="s">
        <v>249</v>
      </c>
      <c r="PYP47" s="58" t="s">
        <v>250</v>
      </c>
      <c r="PYQ47" s="58" t="s">
        <v>247</v>
      </c>
      <c r="PYR47" s="58" t="s">
        <v>248</v>
      </c>
      <c r="PYS47" s="58" t="s">
        <v>249</v>
      </c>
      <c r="PYT47" s="58" t="s">
        <v>250</v>
      </c>
      <c r="PYU47" s="58" t="s">
        <v>247</v>
      </c>
      <c r="PYV47" s="58" t="s">
        <v>248</v>
      </c>
      <c r="PYW47" s="58" t="s">
        <v>249</v>
      </c>
      <c r="PYX47" s="58" t="s">
        <v>250</v>
      </c>
      <c r="PYY47" s="58" t="s">
        <v>247</v>
      </c>
      <c r="PYZ47" s="58" t="s">
        <v>248</v>
      </c>
      <c r="PZA47" s="58" t="s">
        <v>249</v>
      </c>
      <c r="PZB47" s="58" t="s">
        <v>250</v>
      </c>
      <c r="PZC47" s="58" t="s">
        <v>247</v>
      </c>
      <c r="PZD47" s="58" t="s">
        <v>248</v>
      </c>
      <c r="PZE47" s="58" t="s">
        <v>249</v>
      </c>
      <c r="PZF47" s="58" t="s">
        <v>250</v>
      </c>
      <c r="PZG47" s="58" t="s">
        <v>247</v>
      </c>
      <c r="PZH47" s="58" t="s">
        <v>248</v>
      </c>
      <c r="PZI47" s="58" t="s">
        <v>249</v>
      </c>
      <c r="PZJ47" s="58" t="s">
        <v>250</v>
      </c>
      <c r="PZK47" s="58" t="s">
        <v>247</v>
      </c>
      <c r="PZL47" s="58" t="s">
        <v>248</v>
      </c>
      <c r="PZM47" s="58" t="s">
        <v>249</v>
      </c>
      <c r="PZN47" s="58" t="s">
        <v>250</v>
      </c>
      <c r="PZO47" s="58" t="s">
        <v>247</v>
      </c>
      <c r="PZP47" s="58" t="s">
        <v>248</v>
      </c>
      <c r="PZQ47" s="58" t="s">
        <v>249</v>
      </c>
      <c r="PZR47" s="58" t="s">
        <v>250</v>
      </c>
      <c r="PZS47" s="58" t="s">
        <v>247</v>
      </c>
      <c r="PZT47" s="58" t="s">
        <v>248</v>
      </c>
      <c r="PZU47" s="58" t="s">
        <v>249</v>
      </c>
      <c r="PZV47" s="58" t="s">
        <v>250</v>
      </c>
      <c r="PZW47" s="58" t="s">
        <v>247</v>
      </c>
      <c r="PZX47" s="58" t="s">
        <v>248</v>
      </c>
      <c r="PZY47" s="58" t="s">
        <v>249</v>
      </c>
      <c r="PZZ47" s="58" t="s">
        <v>250</v>
      </c>
      <c r="QAA47" s="58" t="s">
        <v>247</v>
      </c>
      <c r="QAB47" s="58" t="s">
        <v>248</v>
      </c>
      <c r="QAC47" s="58" t="s">
        <v>249</v>
      </c>
      <c r="QAD47" s="58" t="s">
        <v>250</v>
      </c>
      <c r="QAE47" s="58" t="s">
        <v>247</v>
      </c>
      <c r="QAF47" s="58" t="s">
        <v>248</v>
      </c>
      <c r="QAG47" s="58" t="s">
        <v>249</v>
      </c>
      <c r="QAH47" s="58" t="s">
        <v>250</v>
      </c>
      <c r="QAI47" s="58" t="s">
        <v>247</v>
      </c>
      <c r="QAJ47" s="58" t="s">
        <v>248</v>
      </c>
      <c r="QAK47" s="58" t="s">
        <v>249</v>
      </c>
      <c r="QAL47" s="58" t="s">
        <v>250</v>
      </c>
      <c r="QAM47" s="58" t="s">
        <v>247</v>
      </c>
      <c r="QAN47" s="58" t="s">
        <v>248</v>
      </c>
      <c r="QAO47" s="58" t="s">
        <v>249</v>
      </c>
      <c r="QAP47" s="58" t="s">
        <v>250</v>
      </c>
      <c r="QAQ47" s="58" t="s">
        <v>247</v>
      </c>
      <c r="QAR47" s="58" t="s">
        <v>248</v>
      </c>
      <c r="QAS47" s="58" t="s">
        <v>249</v>
      </c>
      <c r="QAT47" s="58" t="s">
        <v>250</v>
      </c>
      <c r="QAU47" s="58" t="s">
        <v>247</v>
      </c>
      <c r="QAV47" s="58" t="s">
        <v>248</v>
      </c>
      <c r="QAW47" s="58" t="s">
        <v>249</v>
      </c>
      <c r="QAX47" s="58" t="s">
        <v>250</v>
      </c>
      <c r="QAY47" s="58" t="s">
        <v>247</v>
      </c>
      <c r="QAZ47" s="58" t="s">
        <v>248</v>
      </c>
      <c r="QBA47" s="58" t="s">
        <v>249</v>
      </c>
      <c r="QBB47" s="58" t="s">
        <v>250</v>
      </c>
      <c r="QBC47" s="58" t="s">
        <v>247</v>
      </c>
      <c r="QBD47" s="58" t="s">
        <v>248</v>
      </c>
      <c r="QBE47" s="58" t="s">
        <v>249</v>
      </c>
      <c r="QBF47" s="58" t="s">
        <v>250</v>
      </c>
      <c r="QBG47" s="58" t="s">
        <v>247</v>
      </c>
      <c r="QBH47" s="58" t="s">
        <v>248</v>
      </c>
      <c r="QBI47" s="58" t="s">
        <v>249</v>
      </c>
      <c r="QBJ47" s="58" t="s">
        <v>250</v>
      </c>
      <c r="QBK47" s="58" t="s">
        <v>247</v>
      </c>
      <c r="QBL47" s="58" t="s">
        <v>248</v>
      </c>
      <c r="QBM47" s="58" t="s">
        <v>249</v>
      </c>
      <c r="QBN47" s="58" t="s">
        <v>250</v>
      </c>
      <c r="QBO47" s="58" t="s">
        <v>247</v>
      </c>
      <c r="QBP47" s="58" t="s">
        <v>248</v>
      </c>
      <c r="QBQ47" s="58" t="s">
        <v>249</v>
      </c>
      <c r="QBR47" s="58" t="s">
        <v>250</v>
      </c>
      <c r="QBS47" s="58" t="s">
        <v>247</v>
      </c>
      <c r="QBT47" s="58" t="s">
        <v>248</v>
      </c>
      <c r="QBU47" s="58" t="s">
        <v>249</v>
      </c>
      <c r="QBV47" s="58" t="s">
        <v>250</v>
      </c>
      <c r="QBW47" s="58" t="s">
        <v>247</v>
      </c>
      <c r="QBX47" s="58" t="s">
        <v>248</v>
      </c>
      <c r="QBY47" s="58" t="s">
        <v>249</v>
      </c>
      <c r="QBZ47" s="58" t="s">
        <v>250</v>
      </c>
      <c r="QCA47" s="58" t="s">
        <v>247</v>
      </c>
      <c r="QCB47" s="58" t="s">
        <v>248</v>
      </c>
      <c r="QCC47" s="58" t="s">
        <v>249</v>
      </c>
      <c r="QCD47" s="58" t="s">
        <v>250</v>
      </c>
      <c r="QCE47" s="58" t="s">
        <v>247</v>
      </c>
      <c r="QCF47" s="58" t="s">
        <v>248</v>
      </c>
      <c r="QCG47" s="58" t="s">
        <v>249</v>
      </c>
      <c r="QCH47" s="58" t="s">
        <v>250</v>
      </c>
      <c r="QCI47" s="58" t="s">
        <v>247</v>
      </c>
      <c r="QCJ47" s="58" t="s">
        <v>248</v>
      </c>
      <c r="QCK47" s="58" t="s">
        <v>249</v>
      </c>
      <c r="QCL47" s="58" t="s">
        <v>250</v>
      </c>
      <c r="QCM47" s="58" t="s">
        <v>247</v>
      </c>
      <c r="QCN47" s="58" t="s">
        <v>248</v>
      </c>
      <c r="QCO47" s="58" t="s">
        <v>249</v>
      </c>
      <c r="QCP47" s="58" t="s">
        <v>250</v>
      </c>
      <c r="QCQ47" s="58" t="s">
        <v>247</v>
      </c>
      <c r="QCR47" s="58" t="s">
        <v>248</v>
      </c>
      <c r="QCS47" s="58" t="s">
        <v>249</v>
      </c>
      <c r="QCT47" s="58" t="s">
        <v>250</v>
      </c>
      <c r="QCU47" s="58" t="s">
        <v>247</v>
      </c>
      <c r="QCV47" s="58" t="s">
        <v>248</v>
      </c>
      <c r="QCW47" s="58" t="s">
        <v>249</v>
      </c>
      <c r="QCX47" s="58" t="s">
        <v>250</v>
      </c>
      <c r="QCY47" s="58" t="s">
        <v>247</v>
      </c>
      <c r="QCZ47" s="58" t="s">
        <v>248</v>
      </c>
      <c r="QDA47" s="58" t="s">
        <v>249</v>
      </c>
      <c r="QDB47" s="58" t="s">
        <v>250</v>
      </c>
      <c r="QDC47" s="58" t="s">
        <v>247</v>
      </c>
      <c r="QDD47" s="58" t="s">
        <v>248</v>
      </c>
      <c r="QDE47" s="58" t="s">
        <v>249</v>
      </c>
      <c r="QDF47" s="58" t="s">
        <v>250</v>
      </c>
      <c r="QDG47" s="58" t="s">
        <v>247</v>
      </c>
      <c r="QDH47" s="58" t="s">
        <v>248</v>
      </c>
      <c r="QDI47" s="58" t="s">
        <v>249</v>
      </c>
      <c r="QDJ47" s="58" t="s">
        <v>250</v>
      </c>
      <c r="QDK47" s="58" t="s">
        <v>247</v>
      </c>
      <c r="QDL47" s="58" t="s">
        <v>248</v>
      </c>
      <c r="QDM47" s="58" t="s">
        <v>249</v>
      </c>
      <c r="QDN47" s="58" t="s">
        <v>250</v>
      </c>
      <c r="QDO47" s="58" t="s">
        <v>247</v>
      </c>
      <c r="QDP47" s="58" t="s">
        <v>248</v>
      </c>
      <c r="QDQ47" s="58" t="s">
        <v>249</v>
      </c>
      <c r="QDR47" s="58" t="s">
        <v>250</v>
      </c>
      <c r="QDS47" s="58" t="s">
        <v>247</v>
      </c>
      <c r="QDT47" s="58" t="s">
        <v>248</v>
      </c>
      <c r="QDU47" s="58" t="s">
        <v>249</v>
      </c>
      <c r="QDV47" s="58" t="s">
        <v>250</v>
      </c>
      <c r="QDW47" s="58" t="s">
        <v>247</v>
      </c>
      <c r="QDX47" s="58" t="s">
        <v>248</v>
      </c>
      <c r="QDY47" s="58" t="s">
        <v>249</v>
      </c>
      <c r="QDZ47" s="58" t="s">
        <v>250</v>
      </c>
      <c r="QEA47" s="58" t="s">
        <v>247</v>
      </c>
      <c r="QEB47" s="58" t="s">
        <v>248</v>
      </c>
      <c r="QEC47" s="58" t="s">
        <v>249</v>
      </c>
      <c r="QED47" s="58" t="s">
        <v>250</v>
      </c>
      <c r="QEE47" s="58" t="s">
        <v>247</v>
      </c>
      <c r="QEF47" s="58" t="s">
        <v>248</v>
      </c>
      <c r="QEG47" s="58" t="s">
        <v>249</v>
      </c>
      <c r="QEH47" s="58" t="s">
        <v>250</v>
      </c>
      <c r="QEI47" s="58" t="s">
        <v>247</v>
      </c>
      <c r="QEJ47" s="58" t="s">
        <v>248</v>
      </c>
      <c r="QEK47" s="58" t="s">
        <v>249</v>
      </c>
      <c r="QEL47" s="58" t="s">
        <v>250</v>
      </c>
      <c r="QEM47" s="58" t="s">
        <v>247</v>
      </c>
      <c r="QEN47" s="58" t="s">
        <v>248</v>
      </c>
      <c r="QEO47" s="58" t="s">
        <v>249</v>
      </c>
      <c r="QEP47" s="58" t="s">
        <v>250</v>
      </c>
      <c r="QEQ47" s="58" t="s">
        <v>247</v>
      </c>
      <c r="QER47" s="58" t="s">
        <v>248</v>
      </c>
      <c r="QES47" s="58" t="s">
        <v>249</v>
      </c>
      <c r="QET47" s="58" t="s">
        <v>250</v>
      </c>
      <c r="QEU47" s="58" t="s">
        <v>247</v>
      </c>
      <c r="QEV47" s="58" t="s">
        <v>248</v>
      </c>
      <c r="QEW47" s="58" t="s">
        <v>249</v>
      </c>
      <c r="QEX47" s="58" t="s">
        <v>250</v>
      </c>
      <c r="QEY47" s="58" t="s">
        <v>247</v>
      </c>
      <c r="QEZ47" s="58" t="s">
        <v>248</v>
      </c>
      <c r="QFA47" s="58" t="s">
        <v>249</v>
      </c>
      <c r="QFB47" s="58" t="s">
        <v>250</v>
      </c>
      <c r="QFC47" s="58" t="s">
        <v>247</v>
      </c>
      <c r="QFD47" s="58" t="s">
        <v>248</v>
      </c>
      <c r="QFE47" s="58" t="s">
        <v>249</v>
      </c>
      <c r="QFF47" s="58" t="s">
        <v>250</v>
      </c>
      <c r="QFG47" s="58" t="s">
        <v>247</v>
      </c>
      <c r="QFH47" s="58" t="s">
        <v>248</v>
      </c>
      <c r="QFI47" s="58" t="s">
        <v>249</v>
      </c>
      <c r="QFJ47" s="58" t="s">
        <v>250</v>
      </c>
      <c r="QFK47" s="58" t="s">
        <v>247</v>
      </c>
      <c r="QFL47" s="58" t="s">
        <v>248</v>
      </c>
      <c r="QFM47" s="58" t="s">
        <v>249</v>
      </c>
      <c r="QFN47" s="58" t="s">
        <v>250</v>
      </c>
      <c r="QFO47" s="58" t="s">
        <v>247</v>
      </c>
      <c r="QFP47" s="58" t="s">
        <v>248</v>
      </c>
      <c r="QFQ47" s="58" t="s">
        <v>249</v>
      </c>
      <c r="QFR47" s="58" t="s">
        <v>250</v>
      </c>
      <c r="QFS47" s="58" t="s">
        <v>247</v>
      </c>
      <c r="QFT47" s="58" t="s">
        <v>248</v>
      </c>
      <c r="QFU47" s="58" t="s">
        <v>249</v>
      </c>
      <c r="QFV47" s="58" t="s">
        <v>250</v>
      </c>
      <c r="QFW47" s="58" t="s">
        <v>247</v>
      </c>
      <c r="QFX47" s="58" t="s">
        <v>248</v>
      </c>
      <c r="QFY47" s="58" t="s">
        <v>249</v>
      </c>
      <c r="QFZ47" s="58" t="s">
        <v>250</v>
      </c>
      <c r="QGA47" s="58" t="s">
        <v>247</v>
      </c>
      <c r="QGB47" s="58" t="s">
        <v>248</v>
      </c>
      <c r="QGC47" s="58" t="s">
        <v>249</v>
      </c>
      <c r="QGD47" s="58" t="s">
        <v>250</v>
      </c>
      <c r="QGE47" s="58" t="s">
        <v>247</v>
      </c>
      <c r="QGF47" s="58" t="s">
        <v>248</v>
      </c>
      <c r="QGG47" s="58" t="s">
        <v>249</v>
      </c>
      <c r="QGH47" s="58" t="s">
        <v>250</v>
      </c>
      <c r="QGI47" s="58" t="s">
        <v>247</v>
      </c>
      <c r="QGJ47" s="58" t="s">
        <v>248</v>
      </c>
      <c r="QGK47" s="58" t="s">
        <v>249</v>
      </c>
      <c r="QGL47" s="58" t="s">
        <v>250</v>
      </c>
      <c r="QGM47" s="58" t="s">
        <v>247</v>
      </c>
      <c r="QGN47" s="58" t="s">
        <v>248</v>
      </c>
      <c r="QGO47" s="58" t="s">
        <v>249</v>
      </c>
      <c r="QGP47" s="58" t="s">
        <v>250</v>
      </c>
      <c r="QGQ47" s="58" t="s">
        <v>247</v>
      </c>
      <c r="QGR47" s="58" t="s">
        <v>248</v>
      </c>
      <c r="QGS47" s="58" t="s">
        <v>249</v>
      </c>
      <c r="QGT47" s="58" t="s">
        <v>250</v>
      </c>
      <c r="QGU47" s="58" t="s">
        <v>247</v>
      </c>
      <c r="QGV47" s="58" t="s">
        <v>248</v>
      </c>
      <c r="QGW47" s="58" t="s">
        <v>249</v>
      </c>
      <c r="QGX47" s="58" t="s">
        <v>250</v>
      </c>
      <c r="QGY47" s="58" t="s">
        <v>247</v>
      </c>
      <c r="QGZ47" s="58" t="s">
        <v>248</v>
      </c>
      <c r="QHA47" s="58" t="s">
        <v>249</v>
      </c>
      <c r="QHB47" s="58" t="s">
        <v>250</v>
      </c>
      <c r="QHC47" s="58" t="s">
        <v>247</v>
      </c>
      <c r="QHD47" s="58" t="s">
        <v>248</v>
      </c>
      <c r="QHE47" s="58" t="s">
        <v>249</v>
      </c>
      <c r="QHF47" s="58" t="s">
        <v>250</v>
      </c>
      <c r="QHG47" s="58" t="s">
        <v>247</v>
      </c>
      <c r="QHH47" s="58" t="s">
        <v>248</v>
      </c>
      <c r="QHI47" s="58" t="s">
        <v>249</v>
      </c>
      <c r="QHJ47" s="58" t="s">
        <v>250</v>
      </c>
      <c r="QHK47" s="58" t="s">
        <v>247</v>
      </c>
      <c r="QHL47" s="58" t="s">
        <v>248</v>
      </c>
      <c r="QHM47" s="58" t="s">
        <v>249</v>
      </c>
      <c r="QHN47" s="58" t="s">
        <v>250</v>
      </c>
      <c r="QHO47" s="58" t="s">
        <v>247</v>
      </c>
      <c r="QHP47" s="58" t="s">
        <v>248</v>
      </c>
      <c r="QHQ47" s="58" t="s">
        <v>249</v>
      </c>
      <c r="QHR47" s="58" t="s">
        <v>250</v>
      </c>
      <c r="QHS47" s="58" t="s">
        <v>247</v>
      </c>
      <c r="QHT47" s="58" t="s">
        <v>248</v>
      </c>
      <c r="QHU47" s="58" t="s">
        <v>249</v>
      </c>
      <c r="QHV47" s="58" t="s">
        <v>250</v>
      </c>
      <c r="QHW47" s="58" t="s">
        <v>247</v>
      </c>
      <c r="QHX47" s="58" t="s">
        <v>248</v>
      </c>
      <c r="QHY47" s="58" t="s">
        <v>249</v>
      </c>
      <c r="QHZ47" s="58" t="s">
        <v>250</v>
      </c>
      <c r="QIA47" s="58" t="s">
        <v>247</v>
      </c>
      <c r="QIB47" s="58" t="s">
        <v>248</v>
      </c>
      <c r="QIC47" s="58" t="s">
        <v>249</v>
      </c>
      <c r="QID47" s="58" t="s">
        <v>250</v>
      </c>
      <c r="QIE47" s="58" t="s">
        <v>247</v>
      </c>
      <c r="QIF47" s="58" t="s">
        <v>248</v>
      </c>
      <c r="QIG47" s="58" t="s">
        <v>249</v>
      </c>
      <c r="QIH47" s="58" t="s">
        <v>250</v>
      </c>
      <c r="QII47" s="58" t="s">
        <v>247</v>
      </c>
      <c r="QIJ47" s="58" t="s">
        <v>248</v>
      </c>
      <c r="QIK47" s="58" t="s">
        <v>249</v>
      </c>
      <c r="QIL47" s="58" t="s">
        <v>250</v>
      </c>
      <c r="QIM47" s="58" t="s">
        <v>247</v>
      </c>
      <c r="QIN47" s="58" t="s">
        <v>248</v>
      </c>
      <c r="QIO47" s="58" t="s">
        <v>249</v>
      </c>
      <c r="QIP47" s="58" t="s">
        <v>250</v>
      </c>
      <c r="QIQ47" s="58" t="s">
        <v>247</v>
      </c>
      <c r="QIR47" s="58" t="s">
        <v>248</v>
      </c>
      <c r="QIS47" s="58" t="s">
        <v>249</v>
      </c>
      <c r="QIT47" s="58" t="s">
        <v>250</v>
      </c>
      <c r="QIU47" s="58" t="s">
        <v>247</v>
      </c>
      <c r="QIV47" s="58" t="s">
        <v>248</v>
      </c>
      <c r="QIW47" s="58" t="s">
        <v>249</v>
      </c>
      <c r="QIX47" s="58" t="s">
        <v>250</v>
      </c>
      <c r="QIY47" s="58" t="s">
        <v>247</v>
      </c>
      <c r="QIZ47" s="58" t="s">
        <v>248</v>
      </c>
      <c r="QJA47" s="58" t="s">
        <v>249</v>
      </c>
      <c r="QJB47" s="58" t="s">
        <v>250</v>
      </c>
      <c r="QJC47" s="58" t="s">
        <v>247</v>
      </c>
      <c r="QJD47" s="58" t="s">
        <v>248</v>
      </c>
      <c r="QJE47" s="58" t="s">
        <v>249</v>
      </c>
      <c r="QJF47" s="58" t="s">
        <v>250</v>
      </c>
      <c r="QJG47" s="58" t="s">
        <v>247</v>
      </c>
      <c r="QJH47" s="58" t="s">
        <v>248</v>
      </c>
      <c r="QJI47" s="58" t="s">
        <v>249</v>
      </c>
      <c r="QJJ47" s="58" t="s">
        <v>250</v>
      </c>
      <c r="QJK47" s="58" t="s">
        <v>247</v>
      </c>
      <c r="QJL47" s="58" t="s">
        <v>248</v>
      </c>
      <c r="QJM47" s="58" t="s">
        <v>249</v>
      </c>
      <c r="QJN47" s="58" t="s">
        <v>250</v>
      </c>
      <c r="QJO47" s="58" t="s">
        <v>247</v>
      </c>
      <c r="QJP47" s="58" t="s">
        <v>248</v>
      </c>
      <c r="QJQ47" s="58" t="s">
        <v>249</v>
      </c>
      <c r="QJR47" s="58" t="s">
        <v>250</v>
      </c>
      <c r="QJS47" s="58" t="s">
        <v>247</v>
      </c>
      <c r="QJT47" s="58" t="s">
        <v>248</v>
      </c>
      <c r="QJU47" s="58" t="s">
        <v>249</v>
      </c>
      <c r="QJV47" s="58" t="s">
        <v>250</v>
      </c>
      <c r="QJW47" s="58" t="s">
        <v>247</v>
      </c>
      <c r="QJX47" s="58" t="s">
        <v>248</v>
      </c>
      <c r="QJY47" s="58" t="s">
        <v>249</v>
      </c>
      <c r="QJZ47" s="58" t="s">
        <v>250</v>
      </c>
      <c r="QKA47" s="58" t="s">
        <v>247</v>
      </c>
      <c r="QKB47" s="58" t="s">
        <v>248</v>
      </c>
      <c r="QKC47" s="58" t="s">
        <v>249</v>
      </c>
      <c r="QKD47" s="58" t="s">
        <v>250</v>
      </c>
      <c r="QKE47" s="58" t="s">
        <v>247</v>
      </c>
      <c r="QKF47" s="58" t="s">
        <v>248</v>
      </c>
      <c r="QKG47" s="58" t="s">
        <v>249</v>
      </c>
      <c r="QKH47" s="58" t="s">
        <v>250</v>
      </c>
      <c r="QKI47" s="58" t="s">
        <v>247</v>
      </c>
      <c r="QKJ47" s="58" t="s">
        <v>248</v>
      </c>
      <c r="QKK47" s="58" t="s">
        <v>249</v>
      </c>
      <c r="QKL47" s="58" t="s">
        <v>250</v>
      </c>
      <c r="QKM47" s="58" t="s">
        <v>247</v>
      </c>
      <c r="QKN47" s="58" t="s">
        <v>248</v>
      </c>
      <c r="QKO47" s="58" t="s">
        <v>249</v>
      </c>
      <c r="QKP47" s="58" t="s">
        <v>250</v>
      </c>
      <c r="QKQ47" s="58" t="s">
        <v>247</v>
      </c>
      <c r="QKR47" s="58" t="s">
        <v>248</v>
      </c>
      <c r="QKS47" s="58" t="s">
        <v>249</v>
      </c>
      <c r="QKT47" s="58" t="s">
        <v>250</v>
      </c>
      <c r="QKU47" s="58" t="s">
        <v>247</v>
      </c>
      <c r="QKV47" s="58" t="s">
        <v>248</v>
      </c>
      <c r="QKW47" s="58" t="s">
        <v>249</v>
      </c>
      <c r="QKX47" s="58" t="s">
        <v>250</v>
      </c>
      <c r="QKY47" s="58" t="s">
        <v>247</v>
      </c>
      <c r="QKZ47" s="58" t="s">
        <v>248</v>
      </c>
      <c r="QLA47" s="58" t="s">
        <v>249</v>
      </c>
      <c r="QLB47" s="58" t="s">
        <v>250</v>
      </c>
      <c r="QLC47" s="58" t="s">
        <v>247</v>
      </c>
      <c r="QLD47" s="58" t="s">
        <v>248</v>
      </c>
      <c r="QLE47" s="58" t="s">
        <v>249</v>
      </c>
      <c r="QLF47" s="58" t="s">
        <v>250</v>
      </c>
      <c r="QLG47" s="58" t="s">
        <v>247</v>
      </c>
      <c r="QLH47" s="58" t="s">
        <v>248</v>
      </c>
      <c r="QLI47" s="58" t="s">
        <v>249</v>
      </c>
      <c r="QLJ47" s="58" t="s">
        <v>250</v>
      </c>
      <c r="QLK47" s="58" t="s">
        <v>247</v>
      </c>
      <c r="QLL47" s="58" t="s">
        <v>248</v>
      </c>
      <c r="QLM47" s="58" t="s">
        <v>249</v>
      </c>
      <c r="QLN47" s="58" t="s">
        <v>250</v>
      </c>
      <c r="QLO47" s="58" t="s">
        <v>247</v>
      </c>
      <c r="QLP47" s="58" t="s">
        <v>248</v>
      </c>
      <c r="QLQ47" s="58" t="s">
        <v>249</v>
      </c>
      <c r="QLR47" s="58" t="s">
        <v>250</v>
      </c>
      <c r="QLS47" s="58" t="s">
        <v>247</v>
      </c>
      <c r="QLT47" s="58" t="s">
        <v>248</v>
      </c>
      <c r="QLU47" s="58" t="s">
        <v>249</v>
      </c>
      <c r="QLV47" s="58" t="s">
        <v>250</v>
      </c>
      <c r="QLW47" s="58" t="s">
        <v>247</v>
      </c>
      <c r="QLX47" s="58" t="s">
        <v>248</v>
      </c>
      <c r="QLY47" s="58" t="s">
        <v>249</v>
      </c>
      <c r="QLZ47" s="58" t="s">
        <v>250</v>
      </c>
      <c r="QMA47" s="58" t="s">
        <v>247</v>
      </c>
      <c r="QMB47" s="58" t="s">
        <v>248</v>
      </c>
      <c r="QMC47" s="58" t="s">
        <v>249</v>
      </c>
      <c r="QMD47" s="58" t="s">
        <v>250</v>
      </c>
      <c r="QME47" s="58" t="s">
        <v>247</v>
      </c>
      <c r="QMF47" s="58" t="s">
        <v>248</v>
      </c>
      <c r="QMG47" s="58" t="s">
        <v>249</v>
      </c>
      <c r="QMH47" s="58" t="s">
        <v>250</v>
      </c>
      <c r="QMI47" s="58" t="s">
        <v>247</v>
      </c>
      <c r="QMJ47" s="58" t="s">
        <v>248</v>
      </c>
      <c r="QMK47" s="58" t="s">
        <v>249</v>
      </c>
      <c r="QML47" s="58" t="s">
        <v>250</v>
      </c>
      <c r="QMM47" s="58" t="s">
        <v>247</v>
      </c>
      <c r="QMN47" s="58" t="s">
        <v>248</v>
      </c>
      <c r="QMO47" s="58" t="s">
        <v>249</v>
      </c>
      <c r="QMP47" s="58" t="s">
        <v>250</v>
      </c>
      <c r="QMQ47" s="58" t="s">
        <v>247</v>
      </c>
      <c r="QMR47" s="58" t="s">
        <v>248</v>
      </c>
      <c r="QMS47" s="58" t="s">
        <v>249</v>
      </c>
      <c r="QMT47" s="58" t="s">
        <v>250</v>
      </c>
      <c r="QMU47" s="58" t="s">
        <v>247</v>
      </c>
      <c r="QMV47" s="58" t="s">
        <v>248</v>
      </c>
      <c r="QMW47" s="58" t="s">
        <v>249</v>
      </c>
      <c r="QMX47" s="58" t="s">
        <v>250</v>
      </c>
      <c r="QMY47" s="58" t="s">
        <v>247</v>
      </c>
      <c r="QMZ47" s="58" t="s">
        <v>248</v>
      </c>
      <c r="QNA47" s="58" t="s">
        <v>249</v>
      </c>
      <c r="QNB47" s="58" t="s">
        <v>250</v>
      </c>
      <c r="QNC47" s="58" t="s">
        <v>247</v>
      </c>
      <c r="QND47" s="58" t="s">
        <v>248</v>
      </c>
      <c r="QNE47" s="58" t="s">
        <v>249</v>
      </c>
      <c r="QNF47" s="58" t="s">
        <v>250</v>
      </c>
      <c r="QNG47" s="58" t="s">
        <v>247</v>
      </c>
      <c r="QNH47" s="58" t="s">
        <v>248</v>
      </c>
      <c r="QNI47" s="58" t="s">
        <v>249</v>
      </c>
      <c r="QNJ47" s="58" t="s">
        <v>250</v>
      </c>
      <c r="QNK47" s="58" t="s">
        <v>247</v>
      </c>
      <c r="QNL47" s="58" t="s">
        <v>248</v>
      </c>
      <c r="QNM47" s="58" t="s">
        <v>249</v>
      </c>
      <c r="QNN47" s="58" t="s">
        <v>250</v>
      </c>
      <c r="QNO47" s="58" t="s">
        <v>247</v>
      </c>
      <c r="QNP47" s="58" t="s">
        <v>248</v>
      </c>
      <c r="QNQ47" s="58" t="s">
        <v>249</v>
      </c>
      <c r="QNR47" s="58" t="s">
        <v>250</v>
      </c>
      <c r="QNS47" s="58" t="s">
        <v>247</v>
      </c>
      <c r="QNT47" s="58" t="s">
        <v>248</v>
      </c>
      <c r="QNU47" s="58" t="s">
        <v>249</v>
      </c>
      <c r="QNV47" s="58" t="s">
        <v>250</v>
      </c>
      <c r="QNW47" s="58" t="s">
        <v>247</v>
      </c>
      <c r="QNX47" s="58" t="s">
        <v>248</v>
      </c>
      <c r="QNY47" s="58" t="s">
        <v>249</v>
      </c>
      <c r="QNZ47" s="58" t="s">
        <v>250</v>
      </c>
      <c r="QOA47" s="58" t="s">
        <v>247</v>
      </c>
      <c r="QOB47" s="58" t="s">
        <v>248</v>
      </c>
      <c r="QOC47" s="58" t="s">
        <v>249</v>
      </c>
      <c r="QOD47" s="58" t="s">
        <v>250</v>
      </c>
      <c r="QOE47" s="58" t="s">
        <v>247</v>
      </c>
      <c r="QOF47" s="58" t="s">
        <v>248</v>
      </c>
      <c r="QOG47" s="58" t="s">
        <v>249</v>
      </c>
      <c r="QOH47" s="58" t="s">
        <v>250</v>
      </c>
      <c r="QOI47" s="58" t="s">
        <v>247</v>
      </c>
      <c r="QOJ47" s="58" t="s">
        <v>248</v>
      </c>
      <c r="QOK47" s="58" t="s">
        <v>249</v>
      </c>
      <c r="QOL47" s="58" t="s">
        <v>250</v>
      </c>
      <c r="QOM47" s="58" t="s">
        <v>247</v>
      </c>
      <c r="QON47" s="58" t="s">
        <v>248</v>
      </c>
      <c r="QOO47" s="58" t="s">
        <v>249</v>
      </c>
      <c r="QOP47" s="58" t="s">
        <v>250</v>
      </c>
      <c r="QOQ47" s="58" t="s">
        <v>247</v>
      </c>
      <c r="QOR47" s="58" t="s">
        <v>248</v>
      </c>
      <c r="QOS47" s="58" t="s">
        <v>249</v>
      </c>
      <c r="QOT47" s="58" t="s">
        <v>250</v>
      </c>
      <c r="QOU47" s="58" t="s">
        <v>247</v>
      </c>
      <c r="QOV47" s="58" t="s">
        <v>248</v>
      </c>
      <c r="QOW47" s="58" t="s">
        <v>249</v>
      </c>
      <c r="QOX47" s="58" t="s">
        <v>250</v>
      </c>
      <c r="QOY47" s="58" t="s">
        <v>247</v>
      </c>
      <c r="QOZ47" s="58" t="s">
        <v>248</v>
      </c>
      <c r="QPA47" s="58" t="s">
        <v>249</v>
      </c>
      <c r="QPB47" s="58" t="s">
        <v>250</v>
      </c>
      <c r="QPC47" s="58" t="s">
        <v>247</v>
      </c>
      <c r="QPD47" s="58" t="s">
        <v>248</v>
      </c>
      <c r="QPE47" s="58" t="s">
        <v>249</v>
      </c>
      <c r="QPF47" s="58" t="s">
        <v>250</v>
      </c>
      <c r="QPG47" s="58" t="s">
        <v>247</v>
      </c>
      <c r="QPH47" s="58" t="s">
        <v>248</v>
      </c>
      <c r="QPI47" s="58" t="s">
        <v>249</v>
      </c>
      <c r="QPJ47" s="58" t="s">
        <v>250</v>
      </c>
      <c r="QPK47" s="58" t="s">
        <v>247</v>
      </c>
      <c r="QPL47" s="58" t="s">
        <v>248</v>
      </c>
      <c r="QPM47" s="58" t="s">
        <v>249</v>
      </c>
      <c r="QPN47" s="58" t="s">
        <v>250</v>
      </c>
      <c r="QPO47" s="58" t="s">
        <v>247</v>
      </c>
      <c r="QPP47" s="58" t="s">
        <v>248</v>
      </c>
      <c r="QPQ47" s="58" t="s">
        <v>249</v>
      </c>
      <c r="QPR47" s="58" t="s">
        <v>250</v>
      </c>
      <c r="QPS47" s="58" t="s">
        <v>247</v>
      </c>
      <c r="QPT47" s="58" t="s">
        <v>248</v>
      </c>
      <c r="QPU47" s="58" t="s">
        <v>249</v>
      </c>
      <c r="QPV47" s="58" t="s">
        <v>250</v>
      </c>
      <c r="QPW47" s="58" t="s">
        <v>247</v>
      </c>
      <c r="QPX47" s="58" t="s">
        <v>248</v>
      </c>
      <c r="QPY47" s="58" t="s">
        <v>249</v>
      </c>
      <c r="QPZ47" s="58" t="s">
        <v>250</v>
      </c>
      <c r="QQA47" s="58" t="s">
        <v>247</v>
      </c>
      <c r="QQB47" s="58" t="s">
        <v>248</v>
      </c>
      <c r="QQC47" s="58" t="s">
        <v>249</v>
      </c>
      <c r="QQD47" s="58" t="s">
        <v>250</v>
      </c>
      <c r="QQE47" s="58" t="s">
        <v>247</v>
      </c>
      <c r="QQF47" s="58" t="s">
        <v>248</v>
      </c>
      <c r="QQG47" s="58" t="s">
        <v>249</v>
      </c>
      <c r="QQH47" s="58" t="s">
        <v>250</v>
      </c>
      <c r="QQI47" s="58" t="s">
        <v>247</v>
      </c>
      <c r="QQJ47" s="58" t="s">
        <v>248</v>
      </c>
      <c r="QQK47" s="58" t="s">
        <v>249</v>
      </c>
      <c r="QQL47" s="58" t="s">
        <v>250</v>
      </c>
      <c r="QQM47" s="58" t="s">
        <v>247</v>
      </c>
      <c r="QQN47" s="58" t="s">
        <v>248</v>
      </c>
      <c r="QQO47" s="58" t="s">
        <v>249</v>
      </c>
      <c r="QQP47" s="58" t="s">
        <v>250</v>
      </c>
      <c r="QQQ47" s="58" t="s">
        <v>247</v>
      </c>
      <c r="QQR47" s="58" t="s">
        <v>248</v>
      </c>
      <c r="QQS47" s="58" t="s">
        <v>249</v>
      </c>
      <c r="QQT47" s="58" t="s">
        <v>250</v>
      </c>
      <c r="QQU47" s="58" t="s">
        <v>247</v>
      </c>
      <c r="QQV47" s="58" t="s">
        <v>248</v>
      </c>
      <c r="QQW47" s="58" t="s">
        <v>249</v>
      </c>
      <c r="QQX47" s="58" t="s">
        <v>250</v>
      </c>
      <c r="QQY47" s="58" t="s">
        <v>247</v>
      </c>
      <c r="QQZ47" s="58" t="s">
        <v>248</v>
      </c>
      <c r="QRA47" s="58" t="s">
        <v>249</v>
      </c>
      <c r="QRB47" s="58" t="s">
        <v>250</v>
      </c>
      <c r="QRC47" s="58" t="s">
        <v>247</v>
      </c>
      <c r="QRD47" s="58" t="s">
        <v>248</v>
      </c>
      <c r="QRE47" s="58" t="s">
        <v>249</v>
      </c>
      <c r="QRF47" s="58" t="s">
        <v>250</v>
      </c>
      <c r="QRG47" s="58" t="s">
        <v>247</v>
      </c>
      <c r="QRH47" s="58" t="s">
        <v>248</v>
      </c>
      <c r="QRI47" s="58" t="s">
        <v>249</v>
      </c>
      <c r="QRJ47" s="58" t="s">
        <v>250</v>
      </c>
      <c r="QRK47" s="58" t="s">
        <v>247</v>
      </c>
      <c r="QRL47" s="58" t="s">
        <v>248</v>
      </c>
      <c r="QRM47" s="58" t="s">
        <v>249</v>
      </c>
      <c r="QRN47" s="58" t="s">
        <v>250</v>
      </c>
      <c r="QRO47" s="58" t="s">
        <v>247</v>
      </c>
      <c r="QRP47" s="58" t="s">
        <v>248</v>
      </c>
      <c r="QRQ47" s="58" t="s">
        <v>249</v>
      </c>
      <c r="QRR47" s="58" t="s">
        <v>250</v>
      </c>
      <c r="QRS47" s="58" t="s">
        <v>247</v>
      </c>
      <c r="QRT47" s="58" t="s">
        <v>248</v>
      </c>
      <c r="QRU47" s="58" t="s">
        <v>249</v>
      </c>
      <c r="QRV47" s="58" t="s">
        <v>250</v>
      </c>
      <c r="QRW47" s="58" t="s">
        <v>247</v>
      </c>
      <c r="QRX47" s="58" t="s">
        <v>248</v>
      </c>
      <c r="QRY47" s="58" t="s">
        <v>249</v>
      </c>
      <c r="QRZ47" s="58" t="s">
        <v>250</v>
      </c>
      <c r="QSA47" s="58" t="s">
        <v>247</v>
      </c>
      <c r="QSB47" s="58" t="s">
        <v>248</v>
      </c>
      <c r="QSC47" s="58" t="s">
        <v>249</v>
      </c>
      <c r="QSD47" s="58" t="s">
        <v>250</v>
      </c>
      <c r="QSE47" s="58" t="s">
        <v>247</v>
      </c>
      <c r="QSF47" s="58" t="s">
        <v>248</v>
      </c>
      <c r="QSG47" s="58" t="s">
        <v>249</v>
      </c>
      <c r="QSH47" s="58" t="s">
        <v>250</v>
      </c>
      <c r="QSI47" s="58" t="s">
        <v>247</v>
      </c>
      <c r="QSJ47" s="58" t="s">
        <v>248</v>
      </c>
      <c r="QSK47" s="58" t="s">
        <v>249</v>
      </c>
      <c r="QSL47" s="58" t="s">
        <v>250</v>
      </c>
      <c r="QSM47" s="58" t="s">
        <v>247</v>
      </c>
      <c r="QSN47" s="58" t="s">
        <v>248</v>
      </c>
      <c r="QSO47" s="58" t="s">
        <v>249</v>
      </c>
      <c r="QSP47" s="58" t="s">
        <v>250</v>
      </c>
      <c r="QSQ47" s="58" t="s">
        <v>247</v>
      </c>
      <c r="QSR47" s="58" t="s">
        <v>248</v>
      </c>
      <c r="QSS47" s="58" t="s">
        <v>249</v>
      </c>
      <c r="QST47" s="58" t="s">
        <v>250</v>
      </c>
      <c r="QSU47" s="58" t="s">
        <v>247</v>
      </c>
      <c r="QSV47" s="58" t="s">
        <v>248</v>
      </c>
      <c r="QSW47" s="58" t="s">
        <v>249</v>
      </c>
      <c r="QSX47" s="58" t="s">
        <v>250</v>
      </c>
      <c r="QSY47" s="58" t="s">
        <v>247</v>
      </c>
      <c r="QSZ47" s="58" t="s">
        <v>248</v>
      </c>
      <c r="QTA47" s="58" t="s">
        <v>249</v>
      </c>
      <c r="QTB47" s="58" t="s">
        <v>250</v>
      </c>
      <c r="QTC47" s="58" t="s">
        <v>247</v>
      </c>
      <c r="QTD47" s="58" t="s">
        <v>248</v>
      </c>
      <c r="QTE47" s="58" t="s">
        <v>249</v>
      </c>
      <c r="QTF47" s="58" t="s">
        <v>250</v>
      </c>
      <c r="QTG47" s="58" t="s">
        <v>247</v>
      </c>
      <c r="QTH47" s="58" t="s">
        <v>248</v>
      </c>
      <c r="QTI47" s="58" t="s">
        <v>249</v>
      </c>
      <c r="QTJ47" s="58" t="s">
        <v>250</v>
      </c>
      <c r="QTK47" s="58" t="s">
        <v>247</v>
      </c>
      <c r="QTL47" s="58" t="s">
        <v>248</v>
      </c>
      <c r="QTM47" s="58" t="s">
        <v>249</v>
      </c>
      <c r="QTN47" s="58" t="s">
        <v>250</v>
      </c>
      <c r="QTO47" s="58" t="s">
        <v>247</v>
      </c>
      <c r="QTP47" s="58" t="s">
        <v>248</v>
      </c>
      <c r="QTQ47" s="58" t="s">
        <v>249</v>
      </c>
      <c r="QTR47" s="58" t="s">
        <v>250</v>
      </c>
      <c r="QTS47" s="58" t="s">
        <v>247</v>
      </c>
      <c r="QTT47" s="58" t="s">
        <v>248</v>
      </c>
      <c r="QTU47" s="58" t="s">
        <v>249</v>
      </c>
      <c r="QTV47" s="58" t="s">
        <v>250</v>
      </c>
      <c r="QTW47" s="58" t="s">
        <v>247</v>
      </c>
      <c r="QTX47" s="58" t="s">
        <v>248</v>
      </c>
      <c r="QTY47" s="58" t="s">
        <v>249</v>
      </c>
      <c r="QTZ47" s="58" t="s">
        <v>250</v>
      </c>
      <c r="QUA47" s="58" t="s">
        <v>247</v>
      </c>
      <c r="QUB47" s="58" t="s">
        <v>248</v>
      </c>
      <c r="QUC47" s="58" t="s">
        <v>249</v>
      </c>
      <c r="QUD47" s="58" t="s">
        <v>250</v>
      </c>
      <c r="QUE47" s="58" t="s">
        <v>247</v>
      </c>
      <c r="QUF47" s="58" t="s">
        <v>248</v>
      </c>
      <c r="QUG47" s="58" t="s">
        <v>249</v>
      </c>
      <c r="QUH47" s="58" t="s">
        <v>250</v>
      </c>
      <c r="QUI47" s="58" t="s">
        <v>247</v>
      </c>
      <c r="QUJ47" s="58" t="s">
        <v>248</v>
      </c>
      <c r="QUK47" s="58" t="s">
        <v>249</v>
      </c>
      <c r="QUL47" s="58" t="s">
        <v>250</v>
      </c>
      <c r="QUM47" s="58" t="s">
        <v>247</v>
      </c>
      <c r="QUN47" s="58" t="s">
        <v>248</v>
      </c>
      <c r="QUO47" s="58" t="s">
        <v>249</v>
      </c>
      <c r="QUP47" s="58" t="s">
        <v>250</v>
      </c>
      <c r="QUQ47" s="58" t="s">
        <v>247</v>
      </c>
      <c r="QUR47" s="58" t="s">
        <v>248</v>
      </c>
      <c r="QUS47" s="58" t="s">
        <v>249</v>
      </c>
      <c r="QUT47" s="58" t="s">
        <v>250</v>
      </c>
      <c r="QUU47" s="58" t="s">
        <v>247</v>
      </c>
      <c r="QUV47" s="58" t="s">
        <v>248</v>
      </c>
      <c r="QUW47" s="58" t="s">
        <v>249</v>
      </c>
      <c r="QUX47" s="58" t="s">
        <v>250</v>
      </c>
      <c r="QUY47" s="58" t="s">
        <v>247</v>
      </c>
      <c r="QUZ47" s="58" t="s">
        <v>248</v>
      </c>
      <c r="QVA47" s="58" t="s">
        <v>249</v>
      </c>
      <c r="QVB47" s="58" t="s">
        <v>250</v>
      </c>
      <c r="QVC47" s="58" t="s">
        <v>247</v>
      </c>
      <c r="QVD47" s="58" t="s">
        <v>248</v>
      </c>
      <c r="QVE47" s="58" t="s">
        <v>249</v>
      </c>
      <c r="QVF47" s="58" t="s">
        <v>250</v>
      </c>
      <c r="QVG47" s="58" t="s">
        <v>247</v>
      </c>
      <c r="QVH47" s="58" t="s">
        <v>248</v>
      </c>
      <c r="QVI47" s="58" t="s">
        <v>249</v>
      </c>
      <c r="QVJ47" s="58" t="s">
        <v>250</v>
      </c>
      <c r="QVK47" s="58" t="s">
        <v>247</v>
      </c>
      <c r="QVL47" s="58" t="s">
        <v>248</v>
      </c>
      <c r="QVM47" s="58" t="s">
        <v>249</v>
      </c>
      <c r="QVN47" s="58" t="s">
        <v>250</v>
      </c>
      <c r="QVO47" s="58" t="s">
        <v>247</v>
      </c>
      <c r="QVP47" s="58" t="s">
        <v>248</v>
      </c>
      <c r="QVQ47" s="58" t="s">
        <v>249</v>
      </c>
      <c r="QVR47" s="58" t="s">
        <v>250</v>
      </c>
      <c r="QVS47" s="58" t="s">
        <v>247</v>
      </c>
      <c r="QVT47" s="58" t="s">
        <v>248</v>
      </c>
      <c r="QVU47" s="58" t="s">
        <v>249</v>
      </c>
      <c r="QVV47" s="58" t="s">
        <v>250</v>
      </c>
      <c r="QVW47" s="58" t="s">
        <v>247</v>
      </c>
      <c r="QVX47" s="58" t="s">
        <v>248</v>
      </c>
      <c r="QVY47" s="58" t="s">
        <v>249</v>
      </c>
      <c r="QVZ47" s="58" t="s">
        <v>250</v>
      </c>
      <c r="QWA47" s="58" t="s">
        <v>247</v>
      </c>
      <c r="QWB47" s="58" t="s">
        <v>248</v>
      </c>
      <c r="QWC47" s="58" t="s">
        <v>249</v>
      </c>
      <c r="QWD47" s="58" t="s">
        <v>250</v>
      </c>
      <c r="QWE47" s="58" t="s">
        <v>247</v>
      </c>
      <c r="QWF47" s="58" t="s">
        <v>248</v>
      </c>
      <c r="QWG47" s="58" t="s">
        <v>249</v>
      </c>
      <c r="QWH47" s="58" t="s">
        <v>250</v>
      </c>
      <c r="QWI47" s="58" t="s">
        <v>247</v>
      </c>
      <c r="QWJ47" s="58" t="s">
        <v>248</v>
      </c>
      <c r="QWK47" s="58" t="s">
        <v>249</v>
      </c>
      <c r="QWL47" s="58" t="s">
        <v>250</v>
      </c>
      <c r="QWM47" s="58" t="s">
        <v>247</v>
      </c>
      <c r="QWN47" s="58" t="s">
        <v>248</v>
      </c>
      <c r="QWO47" s="58" t="s">
        <v>249</v>
      </c>
      <c r="QWP47" s="58" t="s">
        <v>250</v>
      </c>
      <c r="QWQ47" s="58" t="s">
        <v>247</v>
      </c>
      <c r="QWR47" s="58" t="s">
        <v>248</v>
      </c>
      <c r="QWS47" s="58" t="s">
        <v>249</v>
      </c>
      <c r="QWT47" s="58" t="s">
        <v>250</v>
      </c>
      <c r="QWU47" s="58" t="s">
        <v>247</v>
      </c>
      <c r="QWV47" s="58" t="s">
        <v>248</v>
      </c>
      <c r="QWW47" s="58" t="s">
        <v>249</v>
      </c>
      <c r="QWX47" s="58" t="s">
        <v>250</v>
      </c>
      <c r="QWY47" s="58" t="s">
        <v>247</v>
      </c>
      <c r="QWZ47" s="58" t="s">
        <v>248</v>
      </c>
      <c r="QXA47" s="58" t="s">
        <v>249</v>
      </c>
      <c r="QXB47" s="58" t="s">
        <v>250</v>
      </c>
      <c r="QXC47" s="58" t="s">
        <v>247</v>
      </c>
      <c r="QXD47" s="58" t="s">
        <v>248</v>
      </c>
      <c r="QXE47" s="58" t="s">
        <v>249</v>
      </c>
      <c r="QXF47" s="58" t="s">
        <v>250</v>
      </c>
      <c r="QXG47" s="58" t="s">
        <v>247</v>
      </c>
      <c r="QXH47" s="58" t="s">
        <v>248</v>
      </c>
      <c r="QXI47" s="58" t="s">
        <v>249</v>
      </c>
      <c r="QXJ47" s="58" t="s">
        <v>250</v>
      </c>
      <c r="QXK47" s="58" t="s">
        <v>247</v>
      </c>
      <c r="QXL47" s="58" t="s">
        <v>248</v>
      </c>
      <c r="QXM47" s="58" t="s">
        <v>249</v>
      </c>
      <c r="QXN47" s="58" t="s">
        <v>250</v>
      </c>
      <c r="QXO47" s="58" t="s">
        <v>247</v>
      </c>
      <c r="QXP47" s="58" t="s">
        <v>248</v>
      </c>
      <c r="QXQ47" s="58" t="s">
        <v>249</v>
      </c>
      <c r="QXR47" s="58" t="s">
        <v>250</v>
      </c>
      <c r="QXS47" s="58" t="s">
        <v>247</v>
      </c>
      <c r="QXT47" s="58" t="s">
        <v>248</v>
      </c>
      <c r="QXU47" s="58" t="s">
        <v>249</v>
      </c>
      <c r="QXV47" s="58" t="s">
        <v>250</v>
      </c>
      <c r="QXW47" s="58" t="s">
        <v>247</v>
      </c>
      <c r="QXX47" s="58" t="s">
        <v>248</v>
      </c>
      <c r="QXY47" s="58" t="s">
        <v>249</v>
      </c>
      <c r="QXZ47" s="58" t="s">
        <v>250</v>
      </c>
      <c r="QYA47" s="58" t="s">
        <v>247</v>
      </c>
      <c r="QYB47" s="58" t="s">
        <v>248</v>
      </c>
      <c r="QYC47" s="58" t="s">
        <v>249</v>
      </c>
      <c r="QYD47" s="58" t="s">
        <v>250</v>
      </c>
      <c r="QYE47" s="58" t="s">
        <v>247</v>
      </c>
      <c r="QYF47" s="58" t="s">
        <v>248</v>
      </c>
      <c r="QYG47" s="58" t="s">
        <v>249</v>
      </c>
      <c r="QYH47" s="58" t="s">
        <v>250</v>
      </c>
      <c r="QYI47" s="58" t="s">
        <v>247</v>
      </c>
      <c r="QYJ47" s="58" t="s">
        <v>248</v>
      </c>
      <c r="QYK47" s="58" t="s">
        <v>249</v>
      </c>
      <c r="QYL47" s="58" t="s">
        <v>250</v>
      </c>
      <c r="QYM47" s="58" t="s">
        <v>247</v>
      </c>
      <c r="QYN47" s="58" t="s">
        <v>248</v>
      </c>
      <c r="QYO47" s="58" t="s">
        <v>249</v>
      </c>
      <c r="QYP47" s="58" t="s">
        <v>250</v>
      </c>
      <c r="QYQ47" s="58" t="s">
        <v>247</v>
      </c>
      <c r="QYR47" s="58" t="s">
        <v>248</v>
      </c>
      <c r="QYS47" s="58" t="s">
        <v>249</v>
      </c>
      <c r="QYT47" s="58" t="s">
        <v>250</v>
      </c>
      <c r="QYU47" s="58" t="s">
        <v>247</v>
      </c>
      <c r="QYV47" s="58" t="s">
        <v>248</v>
      </c>
      <c r="QYW47" s="58" t="s">
        <v>249</v>
      </c>
      <c r="QYX47" s="58" t="s">
        <v>250</v>
      </c>
      <c r="QYY47" s="58" t="s">
        <v>247</v>
      </c>
      <c r="QYZ47" s="58" t="s">
        <v>248</v>
      </c>
      <c r="QZA47" s="58" t="s">
        <v>249</v>
      </c>
      <c r="QZB47" s="58" t="s">
        <v>250</v>
      </c>
      <c r="QZC47" s="58" t="s">
        <v>247</v>
      </c>
      <c r="QZD47" s="58" t="s">
        <v>248</v>
      </c>
      <c r="QZE47" s="58" t="s">
        <v>249</v>
      </c>
      <c r="QZF47" s="58" t="s">
        <v>250</v>
      </c>
      <c r="QZG47" s="58" t="s">
        <v>247</v>
      </c>
      <c r="QZH47" s="58" t="s">
        <v>248</v>
      </c>
      <c r="QZI47" s="58" t="s">
        <v>249</v>
      </c>
      <c r="QZJ47" s="58" t="s">
        <v>250</v>
      </c>
      <c r="QZK47" s="58" t="s">
        <v>247</v>
      </c>
      <c r="QZL47" s="58" t="s">
        <v>248</v>
      </c>
      <c r="QZM47" s="58" t="s">
        <v>249</v>
      </c>
      <c r="QZN47" s="58" t="s">
        <v>250</v>
      </c>
      <c r="QZO47" s="58" t="s">
        <v>247</v>
      </c>
      <c r="QZP47" s="58" t="s">
        <v>248</v>
      </c>
      <c r="QZQ47" s="58" t="s">
        <v>249</v>
      </c>
      <c r="QZR47" s="58" t="s">
        <v>250</v>
      </c>
      <c r="QZS47" s="58" t="s">
        <v>247</v>
      </c>
      <c r="QZT47" s="58" t="s">
        <v>248</v>
      </c>
      <c r="QZU47" s="58" t="s">
        <v>249</v>
      </c>
      <c r="QZV47" s="58" t="s">
        <v>250</v>
      </c>
      <c r="QZW47" s="58" t="s">
        <v>247</v>
      </c>
      <c r="QZX47" s="58" t="s">
        <v>248</v>
      </c>
      <c r="QZY47" s="58" t="s">
        <v>249</v>
      </c>
      <c r="QZZ47" s="58" t="s">
        <v>250</v>
      </c>
      <c r="RAA47" s="58" t="s">
        <v>247</v>
      </c>
      <c r="RAB47" s="58" t="s">
        <v>248</v>
      </c>
      <c r="RAC47" s="58" t="s">
        <v>249</v>
      </c>
      <c r="RAD47" s="58" t="s">
        <v>250</v>
      </c>
      <c r="RAE47" s="58" t="s">
        <v>247</v>
      </c>
      <c r="RAF47" s="58" t="s">
        <v>248</v>
      </c>
      <c r="RAG47" s="58" t="s">
        <v>249</v>
      </c>
      <c r="RAH47" s="58" t="s">
        <v>250</v>
      </c>
      <c r="RAI47" s="58" t="s">
        <v>247</v>
      </c>
      <c r="RAJ47" s="58" t="s">
        <v>248</v>
      </c>
      <c r="RAK47" s="58" t="s">
        <v>249</v>
      </c>
      <c r="RAL47" s="58" t="s">
        <v>250</v>
      </c>
      <c r="RAM47" s="58" t="s">
        <v>247</v>
      </c>
      <c r="RAN47" s="58" t="s">
        <v>248</v>
      </c>
      <c r="RAO47" s="58" t="s">
        <v>249</v>
      </c>
      <c r="RAP47" s="58" t="s">
        <v>250</v>
      </c>
      <c r="RAQ47" s="58" t="s">
        <v>247</v>
      </c>
      <c r="RAR47" s="58" t="s">
        <v>248</v>
      </c>
      <c r="RAS47" s="58" t="s">
        <v>249</v>
      </c>
      <c r="RAT47" s="58" t="s">
        <v>250</v>
      </c>
      <c r="RAU47" s="58" t="s">
        <v>247</v>
      </c>
      <c r="RAV47" s="58" t="s">
        <v>248</v>
      </c>
      <c r="RAW47" s="58" t="s">
        <v>249</v>
      </c>
      <c r="RAX47" s="58" t="s">
        <v>250</v>
      </c>
      <c r="RAY47" s="58" t="s">
        <v>247</v>
      </c>
      <c r="RAZ47" s="58" t="s">
        <v>248</v>
      </c>
      <c r="RBA47" s="58" t="s">
        <v>249</v>
      </c>
      <c r="RBB47" s="58" t="s">
        <v>250</v>
      </c>
      <c r="RBC47" s="58" t="s">
        <v>247</v>
      </c>
      <c r="RBD47" s="58" t="s">
        <v>248</v>
      </c>
      <c r="RBE47" s="58" t="s">
        <v>249</v>
      </c>
      <c r="RBF47" s="58" t="s">
        <v>250</v>
      </c>
      <c r="RBG47" s="58" t="s">
        <v>247</v>
      </c>
      <c r="RBH47" s="58" t="s">
        <v>248</v>
      </c>
      <c r="RBI47" s="58" t="s">
        <v>249</v>
      </c>
      <c r="RBJ47" s="58" t="s">
        <v>250</v>
      </c>
      <c r="RBK47" s="58" t="s">
        <v>247</v>
      </c>
      <c r="RBL47" s="58" t="s">
        <v>248</v>
      </c>
      <c r="RBM47" s="58" t="s">
        <v>249</v>
      </c>
      <c r="RBN47" s="58" t="s">
        <v>250</v>
      </c>
      <c r="RBO47" s="58" t="s">
        <v>247</v>
      </c>
      <c r="RBP47" s="58" t="s">
        <v>248</v>
      </c>
      <c r="RBQ47" s="58" t="s">
        <v>249</v>
      </c>
      <c r="RBR47" s="58" t="s">
        <v>250</v>
      </c>
      <c r="RBS47" s="58" t="s">
        <v>247</v>
      </c>
      <c r="RBT47" s="58" t="s">
        <v>248</v>
      </c>
      <c r="RBU47" s="58" t="s">
        <v>249</v>
      </c>
      <c r="RBV47" s="58" t="s">
        <v>250</v>
      </c>
      <c r="RBW47" s="58" t="s">
        <v>247</v>
      </c>
      <c r="RBX47" s="58" t="s">
        <v>248</v>
      </c>
      <c r="RBY47" s="58" t="s">
        <v>249</v>
      </c>
      <c r="RBZ47" s="58" t="s">
        <v>250</v>
      </c>
      <c r="RCA47" s="58" t="s">
        <v>247</v>
      </c>
      <c r="RCB47" s="58" t="s">
        <v>248</v>
      </c>
      <c r="RCC47" s="58" t="s">
        <v>249</v>
      </c>
      <c r="RCD47" s="58" t="s">
        <v>250</v>
      </c>
      <c r="RCE47" s="58" t="s">
        <v>247</v>
      </c>
      <c r="RCF47" s="58" t="s">
        <v>248</v>
      </c>
      <c r="RCG47" s="58" t="s">
        <v>249</v>
      </c>
      <c r="RCH47" s="58" t="s">
        <v>250</v>
      </c>
      <c r="RCI47" s="58" t="s">
        <v>247</v>
      </c>
      <c r="RCJ47" s="58" t="s">
        <v>248</v>
      </c>
      <c r="RCK47" s="58" t="s">
        <v>249</v>
      </c>
      <c r="RCL47" s="58" t="s">
        <v>250</v>
      </c>
      <c r="RCM47" s="58" t="s">
        <v>247</v>
      </c>
      <c r="RCN47" s="58" t="s">
        <v>248</v>
      </c>
      <c r="RCO47" s="58" t="s">
        <v>249</v>
      </c>
      <c r="RCP47" s="58" t="s">
        <v>250</v>
      </c>
      <c r="RCQ47" s="58" t="s">
        <v>247</v>
      </c>
      <c r="RCR47" s="58" t="s">
        <v>248</v>
      </c>
      <c r="RCS47" s="58" t="s">
        <v>249</v>
      </c>
      <c r="RCT47" s="58" t="s">
        <v>250</v>
      </c>
      <c r="RCU47" s="58" t="s">
        <v>247</v>
      </c>
      <c r="RCV47" s="58" t="s">
        <v>248</v>
      </c>
      <c r="RCW47" s="58" t="s">
        <v>249</v>
      </c>
      <c r="RCX47" s="58" t="s">
        <v>250</v>
      </c>
      <c r="RCY47" s="58" t="s">
        <v>247</v>
      </c>
      <c r="RCZ47" s="58" t="s">
        <v>248</v>
      </c>
      <c r="RDA47" s="58" t="s">
        <v>249</v>
      </c>
      <c r="RDB47" s="58" t="s">
        <v>250</v>
      </c>
      <c r="RDC47" s="58" t="s">
        <v>247</v>
      </c>
      <c r="RDD47" s="58" t="s">
        <v>248</v>
      </c>
      <c r="RDE47" s="58" t="s">
        <v>249</v>
      </c>
      <c r="RDF47" s="58" t="s">
        <v>250</v>
      </c>
      <c r="RDG47" s="58" t="s">
        <v>247</v>
      </c>
      <c r="RDH47" s="58" t="s">
        <v>248</v>
      </c>
      <c r="RDI47" s="58" t="s">
        <v>249</v>
      </c>
      <c r="RDJ47" s="58" t="s">
        <v>250</v>
      </c>
      <c r="RDK47" s="58" t="s">
        <v>247</v>
      </c>
      <c r="RDL47" s="58" t="s">
        <v>248</v>
      </c>
      <c r="RDM47" s="58" t="s">
        <v>249</v>
      </c>
      <c r="RDN47" s="58" t="s">
        <v>250</v>
      </c>
      <c r="RDO47" s="58" t="s">
        <v>247</v>
      </c>
      <c r="RDP47" s="58" t="s">
        <v>248</v>
      </c>
      <c r="RDQ47" s="58" t="s">
        <v>249</v>
      </c>
      <c r="RDR47" s="58" t="s">
        <v>250</v>
      </c>
      <c r="RDS47" s="58" t="s">
        <v>247</v>
      </c>
      <c r="RDT47" s="58" t="s">
        <v>248</v>
      </c>
      <c r="RDU47" s="58" t="s">
        <v>249</v>
      </c>
      <c r="RDV47" s="58" t="s">
        <v>250</v>
      </c>
      <c r="RDW47" s="58" t="s">
        <v>247</v>
      </c>
      <c r="RDX47" s="58" t="s">
        <v>248</v>
      </c>
      <c r="RDY47" s="58" t="s">
        <v>249</v>
      </c>
      <c r="RDZ47" s="58" t="s">
        <v>250</v>
      </c>
      <c r="REA47" s="58" t="s">
        <v>247</v>
      </c>
      <c r="REB47" s="58" t="s">
        <v>248</v>
      </c>
      <c r="REC47" s="58" t="s">
        <v>249</v>
      </c>
      <c r="RED47" s="58" t="s">
        <v>250</v>
      </c>
      <c r="REE47" s="58" t="s">
        <v>247</v>
      </c>
      <c r="REF47" s="58" t="s">
        <v>248</v>
      </c>
      <c r="REG47" s="58" t="s">
        <v>249</v>
      </c>
      <c r="REH47" s="58" t="s">
        <v>250</v>
      </c>
      <c r="REI47" s="58" t="s">
        <v>247</v>
      </c>
      <c r="REJ47" s="58" t="s">
        <v>248</v>
      </c>
      <c r="REK47" s="58" t="s">
        <v>249</v>
      </c>
      <c r="REL47" s="58" t="s">
        <v>250</v>
      </c>
      <c r="REM47" s="58" t="s">
        <v>247</v>
      </c>
      <c r="REN47" s="58" t="s">
        <v>248</v>
      </c>
      <c r="REO47" s="58" t="s">
        <v>249</v>
      </c>
      <c r="REP47" s="58" t="s">
        <v>250</v>
      </c>
      <c r="REQ47" s="58" t="s">
        <v>247</v>
      </c>
      <c r="RER47" s="58" t="s">
        <v>248</v>
      </c>
      <c r="RES47" s="58" t="s">
        <v>249</v>
      </c>
      <c r="RET47" s="58" t="s">
        <v>250</v>
      </c>
      <c r="REU47" s="58" t="s">
        <v>247</v>
      </c>
      <c r="REV47" s="58" t="s">
        <v>248</v>
      </c>
      <c r="REW47" s="58" t="s">
        <v>249</v>
      </c>
      <c r="REX47" s="58" t="s">
        <v>250</v>
      </c>
      <c r="REY47" s="58" t="s">
        <v>247</v>
      </c>
      <c r="REZ47" s="58" t="s">
        <v>248</v>
      </c>
      <c r="RFA47" s="58" t="s">
        <v>249</v>
      </c>
      <c r="RFB47" s="58" t="s">
        <v>250</v>
      </c>
      <c r="RFC47" s="58" t="s">
        <v>247</v>
      </c>
      <c r="RFD47" s="58" t="s">
        <v>248</v>
      </c>
      <c r="RFE47" s="58" t="s">
        <v>249</v>
      </c>
      <c r="RFF47" s="58" t="s">
        <v>250</v>
      </c>
      <c r="RFG47" s="58" t="s">
        <v>247</v>
      </c>
      <c r="RFH47" s="58" t="s">
        <v>248</v>
      </c>
      <c r="RFI47" s="58" t="s">
        <v>249</v>
      </c>
      <c r="RFJ47" s="58" t="s">
        <v>250</v>
      </c>
      <c r="RFK47" s="58" t="s">
        <v>247</v>
      </c>
      <c r="RFL47" s="58" t="s">
        <v>248</v>
      </c>
      <c r="RFM47" s="58" t="s">
        <v>249</v>
      </c>
      <c r="RFN47" s="58" t="s">
        <v>250</v>
      </c>
      <c r="RFO47" s="58" t="s">
        <v>247</v>
      </c>
      <c r="RFP47" s="58" t="s">
        <v>248</v>
      </c>
      <c r="RFQ47" s="58" t="s">
        <v>249</v>
      </c>
      <c r="RFR47" s="58" t="s">
        <v>250</v>
      </c>
      <c r="RFS47" s="58" t="s">
        <v>247</v>
      </c>
      <c r="RFT47" s="58" t="s">
        <v>248</v>
      </c>
      <c r="RFU47" s="58" t="s">
        <v>249</v>
      </c>
      <c r="RFV47" s="58" t="s">
        <v>250</v>
      </c>
      <c r="RFW47" s="58" t="s">
        <v>247</v>
      </c>
      <c r="RFX47" s="58" t="s">
        <v>248</v>
      </c>
      <c r="RFY47" s="58" t="s">
        <v>249</v>
      </c>
      <c r="RFZ47" s="58" t="s">
        <v>250</v>
      </c>
      <c r="RGA47" s="58" t="s">
        <v>247</v>
      </c>
      <c r="RGB47" s="58" t="s">
        <v>248</v>
      </c>
      <c r="RGC47" s="58" t="s">
        <v>249</v>
      </c>
      <c r="RGD47" s="58" t="s">
        <v>250</v>
      </c>
      <c r="RGE47" s="58" t="s">
        <v>247</v>
      </c>
      <c r="RGF47" s="58" t="s">
        <v>248</v>
      </c>
      <c r="RGG47" s="58" t="s">
        <v>249</v>
      </c>
      <c r="RGH47" s="58" t="s">
        <v>250</v>
      </c>
      <c r="RGI47" s="58" t="s">
        <v>247</v>
      </c>
      <c r="RGJ47" s="58" t="s">
        <v>248</v>
      </c>
      <c r="RGK47" s="58" t="s">
        <v>249</v>
      </c>
      <c r="RGL47" s="58" t="s">
        <v>250</v>
      </c>
      <c r="RGM47" s="58" t="s">
        <v>247</v>
      </c>
      <c r="RGN47" s="58" t="s">
        <v>248</v>
      </c>
      <c r="RGO47" s="58" t="s">
        <v>249</v>
      </c>
      <c r="RGP47" s="58" t="s">
        <v>250</v>
      </c>
      <c r="RGQ47" s="58" t="s">
        <v>247</v>
      </c>
      <c r="RGR47" s="58" t="s">
        <v>248</v>
      </c>
      <c r="RGS47" s="58" t="s">
        <v>249</v>
      </c>
      <c r="RGT47" s="58" t="s">
        <v>250</v>
      </c>
      <c r="RGU47" s="58" t="s">
        <v>247</v>
      </c>
      <c r="RGV47" s="58" t="s">
        <v>248</v>
      </c>
      <c r="RGW47" s="58" t="s">
        <v>249</v>
      </c>
      <c r="RGX47" s="58" t="s">
        <v>250</v>
      </c>
      <c r="RGY47" s="58" t="s">
        <v>247</v>
      </c>
      <c r="RGZ47" s="58" t="s">
        <v>248</v>
      </c>
      <c r="RHA47" s="58" t="s">
        <v>249</v>
      </c>
      <c r="RHB47" s="58" t="s">
        <v>250</v>
      </c>
      <c r="RHC47" s="58" t="s">
        <v>247</v>
      </c>
      <c r="RHD47" s="58" t="s">
        <v>248</v>
      </c>
      <c r="RHE47" s="58" t="s">
        <v>249</v>
      </c>
      <c r="RHF47" s="58" t="s">
        <v>250</v>
      </c>
      <c r="RHG47" s="58" t="s">
        <v>247</v>
      </c>
      <c r="RHH47" s="58" t="s">
        <v>248</v>
      </c>
      <c r="RHI47" s="58" t="s">
        <v>249</v>
      </c>
      <c r="RHJ47" s="58" t="s">
        <v>250</v>
      </c>
      <c r="RHK47" s="58" t="s">
        <v>247</v>
      </c>
      <c r="RHL47" s="58" t="s">
        <v>248</v>
      </c>
      <c r="RHM47" s="58" t="s">
        <v>249</v>
      </c>
      <c r="RHN47" s="58" t="s">
        <v>250</v>
      </c>
      <c r="RHO47" s="58" t="s">
        <v>247</v>
      </c>
      <c r="RHP47" s="58" t="s">
        <v>248</v>
      </c>
      <c r="RHQ47" s="58" t="s">
        <v>249</v>
      </c>
      <c r="RHR47" s="58" t="s">
        <v>250</v>
      </c>
      <c r="RHS47" s="58" t="s">
        <v>247</v>
      </c>
      <c r="RHT47" s="58" t="s">
        <v>248</v>
      </c>
      <c r="RHU47" s="58" t="s">
        <v>249</v>
      </c>
      <c r="RHV47" s="58" t="s">
        <v>250</v>
      </c>
      <c r="RHW47" s="58" t="s">
        <v>247</v>
      </c>
      <c r="RHX47" s="58" t="s">
        <v>248</v>
      </c>
      <c r="RHY47" s="58" t="s">
        <v>249</v>
      </c>
      <c r="RHZ47" s="58" t="s">
        <v>250</v>
      </c>
      <c r="RIA47" s="58" t="s">
        <v>247</v>
      </c>
      <c r="RIB47" s="58" t="s">
        <v>248</v>
      </c>
      <c r="RIC47" s="58" t="s">
        <v>249</v>
      </c>
      <c r="RID47" s="58" t="s">
        <v>250</v>
      </c>
      <c r="RIE47" s="58" t="s">
        <v>247</v>
      </c>
      <c r="RIF47" s="58" t="s">
        <v>248</v>
      </c>
      <c r="RIG47" s="58" t="s">
        <v>249</v>
      </c>
      <c r="RIH47" s="58" t="s">
        <v>250</v>
      </c>
      <c r="RII47" s="58" t="s">
        <v>247</v>
      </c>
      <c r="RIJ47" s="58" t="s">
        <v>248</v>
      </c>
      <c r="RIK47" s="58" t="s">
        <v>249</v>
      </c>
      <c r="RIL47" s="58" t="s">
        <v>250</v>
      </c>
      <c r="RIM47" s="58" t="s">
        <v>247</v>
      </c>
      <c r="RIN47" s="58" t="s">
        <v>248</v>
      </c>
      <c r="RIO47" s="58" t="s">
        <v>249</v>
      </c>
      <c r="RIP47" s="58" t="s">
        <v>250</v>
      </c>
      <c r="RIQ47" s="58" t="s">
        <v>247</v>
      </c>
      <c r="RIR47" s="58" t="s">
        <v>248</v>
      </c>
      <c r="RIS47" s="58" t="s">
        <v>249</v>
      </c>
      <c r="RIT47" s="58" t="s">
        <v>250</v>
      </c>
      <c r="RIU47" s="58" t="s">
        <v>247</v>
      </c>
      <c r="RIV47" s="58" t="s">
        <v>248</v>
      </c>
      <c r="RIW47" s="58" t="s">
        <v>249</v>
      </c>
      <c r="RIX47" s="58" t="s">
        <v>250</v>
      </c>
      <c r="RIY47" s="58" t="s">
        <v>247</v>
      </c>
      <c r="RIZ47" s="58" t="s">
        <v>248</v>
      </c>
      <c r="RJA47" s="58" t="s">
        <v>249</v>
      </c>
      <c r="RJB47" s="58" t="s">
        <v>250</v>
      </c>
      <c r="RJC47" s="58" t="s">
        <v>247</v>
      </c>
      <c r="RJD47" s="58" t="s">
        <v>248</v>
      </c>
      <c r="RJE47" s="58" t="s">
        <v>249</v>
      </c>
      <c r="RJF47" s="58" t="s">
        <v>250</v>
      </c>
      <c r="RJG47" s="58" t="s">
        <v>247</v>
      </c>
      <c r="RJH47" s="58" t="s">
        <v>248</v>
      </c>
      <c r="RJI47" s="58" t="s">
        <v>249</v>
      </c>
      <c r="RJJ47" s="58" t="s">
        <v>250</v>
      </c>
      <c r="RJK47" s="58" t="s">
        <v>247</v>
      </c>
      <c r="RJL47" s="58" t="s">
        <v>248</v>
      </c>
      <c r="RJM47" s="58" t="s">
        <v>249</v>
      </c>
      <c r="RJN47" s="58" t="s">
        <v>250</v>
      </c>
      <c r="RJO47" s="58" t="s">
        <v>247</v>
      </c>
      <c r="RJP47" s="58" t="s">
        <v>248</v>
      </c>
      <c r="RJQ47" s="58" t="s">
        <v>249</v>
      </c>
      <c r="RJR47" s="58" t="s">
        <v>250</v>
      </c>
      <c r="RJS47" s="58" t="s">
        <v>247</v>
      </c>
      <c r="RJT47" s="58" t="s">
        <v>248</v>
      </c>
      <c r="RJU47" s="58" t="s">
        <v>249</v>
      </c>
      <c r="RJV47" s="58" t="s">
        <v>250</v>
      </c>
      <c r="RJW47" s="58" t="s">
        <v>247</v>
      </c>
      <c r="RJX47" s="58" t="s">
        <v>248</v>
      </c>
      <c r="RJY47" s="58" t="s">
        <v>249</v>
      </c>
      <c r="RJZ47" s="58" t="s">
        <v>250</v>
      </c>
      <c r="RKA47" s="58" t="s">
        <v>247</v>
      </c>
      <c r="RKB47" s="58" t="s">
        <v>248</v>
      </c>
      <c r="RKC47" s="58" t="s">
        <v>249</v>
      </c>
      <c r="RKD47" s="58" t="s">
        <v>250</v>
      </c>
      <c r="RKE47" s="58" t="s">
        <v>247</v>
      </c>
      <c r="RKF47" s="58" t="s">
        <v>248</v>
      </c>
      <c r="RKG47" s="58" t="s">
        <v>249</v>
      </c>
      <c r="RKH47" s="58" t="s">
        <v>250</v>
      </c>
      <c r="RKI47" s="58" t="s">
        <v>247</v>
      </c>
      <c r="RKJ47" s="58" t="s">
        <v>248</v>
      </c>
      <c r="RKK47" s="58" t="s">
        <v>249</v>
      </c>
      <c r="RKL47" s="58" t="s">
        <v>250</v>
      </c>
      <c r="RKM47" s="58" t="s">
        <v>247</v>
      </c>
      <c r="RKN47" s="58" t="s">
        <v>248</v>
      </c>
      <c r="RKO47" s="58" t="s">
        <v>249</v>
      </c>
      <c r="RKP47" s="58" t="s">
        <v>250</v>
      </c>
      <c r="RKQ47" s="58" t="s">
        <v>247</v>
      </c>
      <c r="RKR47" s="58" t="s">
        <v>248</v>
      </c>
      <c r="RKS47" s="58" t="s">
        <v>249</v>
      </c>
      <c r="RKT47" s="58" t="s">
        <v>250</v>
      </c>
      <c r="RKU47" s="58" t="s">
        <v>247</v>
      </c>
      <c r="RKV47" s="58" t="s">
        <v>248</v>
      </c>
      <c r="RKW47" s="58" t="s">
        <v>249</v>
      </c>
      <c r="RKX47" s="58" t="s">
        <v>250</v>
      </c>
      <c r="RKY47" s="58" t="s">
        <v>247</v>
      </c>
      <c r="RKZ47" s="58" t="s">
        <v>248</v>
      </c>
      <c r="RLA47" s="58" t="s">
        <v>249</v>
      </c>
      <c r="RLB47" s="58" t="s">
        <v>250</v>
      </c>
      <c r="RLC47" s="58" t="s">
        <v>247</v>
      </c>
      <c r="RLD47" s="58" t="s">
        <v>248</v>
      </c>
      <c r="RLE47" s="58" t="s">
        <v>249</v>
      </c>
      <c r="RLF47" s="58" t="s">
        <v>250</v>
      </c>
      <c r="RLG47" s="58" t="s">
        <v>247</v>
      </c>
      <c r="RLH47" s="58" t="s">
        <v>248</v>
      </c>
      <c r="RLI47" s="58" t="s">
        <v>249</v>
      </c>
      <c r="RLJ47" s="58" t="s">
        <v>250</v>
      </c>
      <c r="RLK47" s="58" t="s">
        <v>247</v>
      </c>
      <c r="RLL47" s="58" t="s">
        <v>248</v>
      </c>
      <c r="RLM47" s="58" t="s">
        <v>249</v>
      </c>
      <c r="RLN47" s="58" t="s">
        <v>250</v>
      </c>
      <c r="RLO47" s="58" t="s">
        <v>247</v>
      </c>
      <c r="RLP47" s="58" t="s">
        <v>248</v>
      </c>
      <c r="RLQ47" s="58" t="s">
        <v>249</v>
      </c>
      <c r="RLR47" s="58" t="s">
        <v>250</v>
      </c>
      <c r="RLS47" s="58" t="s">
        <v>247</v>
      </c>
      <c r="RLT47" s="58" t="s">
        <v>248</v>
      </c>
      <c r="RLU47" s="58" t="s">
        <v>249</v>
      </c>
      <c r="RLV47" s="58" t="s">
        <v>250</v>
      </c>
      <c r="RLW47" s="58" t="s">
        <v>247</v>
      </c>
      <c r="RLX47" s="58" t="s">
        <v>248</v>
      </c>
      <c r="RLY47" s="58" t="s">
        <v>249</v>
      </c>
      <c r="RLZ47" s="58" t="s">
        <v>250</v>
      </c>
      <c r="RMA47" s="58" t="s">
        <v>247</v>
      </c>
      <c r="RMB47" s="58" t="s">
        <v>248</v>
      </c>
      <c r="RMC47" s="58" t="s">
        <v>249</v>
      </c>
      <c r="RMD47" s="58" t="s">
        <v>250</v>
      </c>
      <c r="RME47" s="58" t="s">
        <v>247</v>
      </c>
      <c r="RMF47" s="58" t="s">
        <v>248</v>
      </c>
      <c r="RMG47" s="58" t="s">
        <v>249</v>
      </c>
      <c r="RMH47" s="58" t="s">
        <v>250</v>
      </c>
      <c r="RMI47" s="58" t="s">
        <v>247</v>
      </c>
      <c r="RMJ47" s="58" t="s">
        <v>248</v>
      </c>
      <c r="RMK47" s="58" t="s">
        <v>249</v>
      </c>
      <c r="RML47" s="58" t="s">
        <v>250</v>
      </c>
      <c r="RMM47" s="58" t="s">
        <v>247</v>
      </c>
      <c r="RMN47" s="58" t="s">
        <v>248</v>
      </c>
      <c r="RMO47" s="58" t="s">
        <v>249</v>
      </c>
      <c r="RMP47" s="58" t="s">
        <v>250</v>
      </c>
      <c r="RMQ47" s="58" t="s">
        <v>247</v>
      </c>
      <c r="RMR47" s="58" t="s">
        <v>248</v>
      </c>
      <c r="RMS47" s="58" t="s">
        <v>249</v>
      </c>
      <c r="RMT47" s="58" t="s">
        <v>250</v>
      </c>
      <c r="RMU47" s="58" t="s">
        <v>247</v>
      </c>
      <c r="RMV47" s="58" t="s">
        <v>248</v>
      </c>
      <c r="RMW47" s="58" t="s">
        <v>249</v>
      </c>
      <c r="RMX47" s="58" t="s">
        <v>250</v>
      </c>
      <c r="RMY47" s="58" t="s">
        <v>247</v>
      </c>
      <c r="RMZ47" s="58" t="s">
        <v>248</v>
      </c>
      <c r="RNA47" s="58" t="s">
        <v>249</v>
      </c>
      <c r="RNB47" s="58" t="s">
        <v>250</v>
      </c>
      <c r="RNC47" s="58" t="s">
        <v>247</v>
      </c>
      <c r="RND47" s="58" t="s">
        <v>248</v>
      </c>
      <c r="RNE47" s="58" t="s">
        <v>249</v>
      </c>
      <c r="RNF47" s="58" t="s">
        <v>250</v>
      </c>
      <c r="RNG47" s="58" t="s">
        <v>247</v>
      </c>
      <c r="RNH47" s="58" t="s">
        <v>248</v>
      </c>
      <c r="RNI47" s="58" t="s">
        <v>249</v>
      </c>
      <c r="RNJ47" s="58" t="s">
        <v>250</v>
      </c>
      <c r="RNK47" s="58" t="s">
        <v>247</v>
      </c>
      <c r="RNL47" s="58" t="s">
        <v>248</v>
      </c>
      <c r="RNM47" s="58" t="s">
        <v>249</v>
      </c>
      <c r="RNN47" s="58" t="s">
        <v>250</v>
      </c>
      <c r="RNO47" s="58" t="s">
        <v>247</v>
      </c>
      <c r="RNP47" s="58" t="s">
        <v>248</v>
      </c>
      <c r="RNQ47" s="58" t="s">
        <v>249</v>
      </c>
      <c r="RNR47" s="58" t="s">
        <v>250</v>
      </c>
      <c r="RNS47" s="58" t="s">
        <v>247</v>
      </c>
      <c r="RNT47" s="58" t="s">
        <v>248</v>
      </c>
      <c r="RNU47" s="58" t="s">
        <v>249</v>
      </c>
      <c r="RNV47" s="58" t="s">
        <v>250</v>
      </c>
      <c r="RNW47" s="58" t="s">
        <v>247</v>
      </c>
      <c r="RNX47" s="58" t="s">
        <v>248</v>
      </c>
      <c r="RNY47" s="58" t="s">
        <v>249</v>
      </c>
      <c r="RNZ47" s="58" t="s">
        <v>250</v>
      </c>
      <c r="ROA47" s="58" t="s">
        <v>247</v>
      </c>
      <c r="ROB47" s="58" t="s">
        <v>248</v>
      </c>
      <c r="ROC47" s="58" t="s">
        <v>249</v>
      </c>
      <c r="ROD47" s="58" t="s">
        <v>250</v>
      </c>
      <c r="ROE47" s="58" t="s">
        <v>247</v>
      </c>
      <c r="ROF47" s="58" t="s">
        <v>248</v>
      </c>
      <c r="ROG47" s="58" t="s">
        <v>249</v>
      </c>
      <c r="ROH47" s="58" t="s">
        <v>250</v>
      </c>
      <c r="ROI47" s="58" t="s">
        <v>247</v>
      </c>
      <c r="ROJ47" s="58" t="s">
        <v>248</v>
      </c>
      <c r="ROK47" s="58" t="s">
        <v>249</v>
      </c>
      <c r="ROL47" s="58" t="s">
        <v>250</v>
      </c>
      <c r="ROM47" s="58" t="s">
        <v>247</v>
      </c>
      <c r="RON47" s="58" t="s">
        <v>248</v>
      </c>
      <c r="ROO47" s="58" t="s">
        <v>249</v>
      </c>
      <c r="ROP47" s="58" t="s">
        <v>250</v>
      </c>
      <c r="ROQ47" s="58" t="s">
        <v>247</v>
      </c>
      <c r="ROR47" s="58" t="s">
        <v>248</v>
      </c>
      <c r="ROS47" s="58" t="s">
        <v>249</v>
      </c>
      <c r="ROT47" s="58" t="s">
        <v>250</v>
      </c>
      <c r="ROU47" s="58" t="s">
        <v>247</v>
      </c>
      <c r="ROV47" s="58" t="s">
        <v>248</v>
      </c>
      <c r="ROW47" s="58" t="s">
        <v>249</v>
      </c>
      <c r="ROX47" s="58" t="s">
        <v>250</v>
      </c>
      <c r="ROY47" s="58" t="s">
        <v>247</v>
      </c>
      <c r="ROZ47" s="58" t="s">
        <v>248</v>
      </c>
      <c r="RPA47" s="58" t="s">
        <v>249</v>
      </c>
      <c r="RPB47" s="58" t="s">
        <v>250</v>
      </c>
      <c r="RPC47" s="58" t="s">
        <v>247</v>
      </c>
      <c r="RPD47" s="58" t="s">
        <v>248</v>
      </c>
      <c r="RPE47" s="58" t="s">
        <v>249</v>
      </c>
      <c r="RPF47" s="58" t="s">
        <v>250</v>
      </c>
      <c r="RPG47" s="58" t="s">
        <v>247</v>
      </c>
      <c r="RPH47" s="58" t="s">
        <v>248</v>
      </c>
      <c r="RPI47" s="58" t="s">
        <v>249</v>
      </c>
      <c r="RPJ47" s="58" t="s">
        <v>250</v>
      </c>
      <c r="RPK47" s="58" t="s">
        <v>247</v>
      </c>
      <c r="RPL47" s="58" t="s">
        <v>248</v>
      </c>
      <c r="RPM47" s="58" t="s">
        <v>249</v>
      </c>
      <c r="RPN47" s="58" t="s">
        <v>250</v>
      </c>
      <c r="RPO47" s="58" t="s">
        <v>247</v>
      </c>
      <c r="RPP47" s="58" t="s">
        <v>248</v>
      </c>
      <c r="RPQ47" s="58" t="s">
        <v>249</v>
      </c>
      <c r="RPR47" s="58" t="s">
        <v>250</v>
      </c>
      <c r="RPS47" s="58" t="s">
        <v>247</v>
      </c>
      <c r="RPT47" s="58" t="s">
        <v>248</v>
      </c>
      <c r="RPU47" s="58" t="s">
        <v>249</v>
      </c>
      <c r="RPV47" s="58" t="s">
        <v>250</v>
      </c>
      <c r="RPW47" s="58" t="s">
        <v>247</v>
      </c>
      <c r="RPX47" s="58" t="s">
        <v>248</v>
      </c>
      <c r="RPY47" s="58" t="s">
        <v>249</v>
      </c>
      <c r="RPZ47" s="58" t="s">
        <v>250</v>
      </c>
      <c r="RQA47" s="58" t="s">
        <v>247</v>
      </c>
      <c r="RQB47" s="58" t="s">
        <v>248</v>
      </c>
      <c r="RQC47" s="58" t="s">
        <v>249</v>
      </c>
      <c r="RQD47" s="58" t="s">
        <v>250</v>
      </c>
      <c r="RQE47" s="58" t="s">
        <v>247</v>
      </c>
      <c r="RQF47" s="58" t="s">
        <v>248</v>
      </c>
      <c r="RQG47" s="58" t="s">
        <v>249</v>
      </c>
      <c r="RQH47" s="58" t="s">
        <v>250</v>
      </c>
      <c r="RQI47" s="58" t="s">
        <v>247</v>
      </c>
      <c r="RQJ47" s="58" t="s">
        <v>248</v>
      </c>
      <c r="RQK47" s="58" t="s">
        <v>249</v>
      </c>
      <c r="RQL47" s="58" t="s">
        <v>250</v>
      </c>
      <c r="RQM47" s="58" t="s">
        <v>247</v>
      </c>
      <c r="RQN47" s="58" t="s">
        <v>248</v>
      </c>
      <c r="RQO47" s="58" t="s">
        <v>249</v>
      </c>
      <c r="RQP47" s="58" t="s">
        <v>250</v>
      </c>
      <c r="RQQ47" s="58" t="s">
        <v>247</v>
      </c>
      <c r="RQR47" s="58" t="s">
        <v>248</v>
      </c>
      <c r="RQS47" s="58" t="s">
        <v>249</v>
      </c>
      <c r="RQT47" s="58" t="s">
        <v>250</v>
      </c>
      <c r="RQU47" s="58" t="s">
        <v>247</v>
      </c>
      <c r="RQV47" s="58" t="s">
        <v>248</v>
      </c>
      <c r="RQW47" s="58" t="s">
        <v>249</v>
      </c>
      <c r="RQX47" s="58" t="s">
        <v>250</v>
      </c>
      <c r="RQY47" s="58" t="s">
        <v>247</v>
      </c>
      <c r="RQZ47" s="58" t="s">
        <v>248</v>
      </c>
      <c r="RRA47" s="58" t="s">
        <v>249</v>
      </c>
      <c r="RRB47" s="58" t="s">
        <v>250</v>
      </c>
      <c r="RRC47" s="58" t="s">
        <v>247</v>
      </c>
      <c r="RRD47" s="58" t="s">
        <v>248</v>
      </c>
      <c r="RRE47" s="58" t="s">
        <v>249</v>
      </c>
      <c r="RRF47" s="58" t="s">
        <v>250</v>
      </c>
      <c r="RRG47" s="58" t="s">
        <v>247</v>
      </c>
      <c r="RRH47" s="58" t="s">
        <v>248</v>
      </c>
      <c r="RRI47" s="58" t="s">
        <v>249</v>
      </c>
      <c r="RRJ47" s="58" t="s">
        <v>250</v>
      </c>
      <c r="RRK47" s="58" t="s">
        <v>247</v>
      </c>
      <c r="RRL47" s="58" t="s">
        <v>248</v>
      </c>
      <c r="RRM47" s="58" t="s">
        <v>249</v>
      </c>
      <c r="RRN47" s="58" t="s">
        <v>250</v>
      </c>
      <c r="RRO47" s="58" t="s">
        <v>247</v>
      </c>
      <c r="RRP47" s="58" t="s">
        <v>248</v>
      </c>
      <c r="RRQ47" s="58" t="s">
        <v>249</v>
      </c>
      <c r="RRR47" s="58" t="s">
        <v>250</v>
      </c>
      <c r="RRS47" s="58" t="s">
        <v>247</v>
      </c>
      <c r="RRT47" s="58" t="s">
        <v>248</v>
      </c>
      <c r="RRU47" s="58" t="s">
        <v>249</v>
      </c>
      <c r="RRV47" s="58" t="s">
        <v>250</v>
      </c>
      <c r="RRW47" s="58" t="s">
        <v>247</v>
      </c>
      <c r="RRX47" s="58" t="s">
        <v>248</v>
      </c>
      <c r="RRY47" s="58" t="s">
        <v>249</v>
      </c>
      <c r="RRZ47" s="58" t="s">
        <v>250</v>
      </c>
      <c r="RSA47" s="58" t="s">
        <v>247</v>
      </c>
      <c r="RSB47" s="58" t="s">
        <v>248</v>
      </c>
      <c r="RSC47" s="58" t="s">
        <v>249</v>
      </c>
      <c r="RSD47" s="58" t="s">
        <v>250</v>
      </c>
      <c r="RSE47" s="58" t="s">
        <v>247</v>
      </c>
      <c r="RSF47" s="58" t="s">
        <v>248</v>
      </c>
      <c r="RSG47" s="58" t="s">
        <v>249</v>
      </c>
      <c r="RSH47" s="58" t="s">
        <v>250</v>
      </c>
      <c r="RSI47" s="58" t="s">
        <v>247</v>
      </c>
      <c r="RSJ47" s="58" t="s">
        <v>248</v>
      </c>
      <c r="RSK47" s="58" t="s">
        <v>249</v>
      </c>
      <c r="RSL47" s="58" t="s">
        <v>250</v>
      </c>
      <c r="RSM47" s="58" t="s">
        <v>247</v>
      </c>
      <c r="RSN47" s="58" t="s">
        <v>248</v>
      </c>
      <c r="RSO47" s="58" t="s">
        <v>249</v>
      </c>
      <c r="RSP47" s="58" t="s">
        <v>250</v>
      </c>
      <c r="RSQ47" s="58" t="s">
        <v>247</v>
      </c>
      <c r="RSR47" s="58" t="s">
        <v>248</v>
      </c>
      <c r="RSS47" s="58" t="s">
        <v>249</v>
      </c>
      <c r="RST47" s="58" t="s">
        <v>250</v>
      </c>
      <c r="RSU47" s="58" t="s">
        <v>247</v>
      </c>
      <c r="RSV47" s="58" t="s">
        <v>248</v>
      </c>
      <c r="RSW47" s="58" t="s">
        <v>249</v>
      </c>
      <c r="RSX47" s="58" t="s">
        <v>250</v>
      </c>
      <c r="RSY47" s="58" t="s">
        <v>247</v>
      </c>
      <c r="RSZ47" s="58" t="s">
        <v>248</v>
      </c>
      <c r="RTA47" s="58" t="s">
        <v>249</v>
      </c>
      <c r="RTB47" s="58" t="s">
        <v>250</v>
      </c>
      <c r="RTC47" s="58" t="s">
        <v>247</v>
      </c>
      <c r="RTD47" s="58" t="s">
        <v>248</v>
      </c>
      <c r="RTE47" s="58" t="s">
        <v>249</v>
      </c>
      <c r="RTF47" s="58" t="s">
        <v>250</v>
      </c>
      <c r="RTG47" s="58" t="s">
        <v>247</v>
      </c>
      <c r="RTH47" s="58" t="s">
        <v>248</v>
      </c>
      <c r="RTI47" s="58" t="s">
        <v>249</v>
      </c>
      <c r="RTJ47" s="58" t="s">
        <v>250</v>
      </c>
      <c r="RTK47" s="58" t="s">
        <v>247</v>
      </c>
      <c r="RTL47" s="58" t="s">
        <v>248</v>
      </c>
      <c r="RTM47" s="58" t="s">
        <v>249</v>
      </c>
      <c r="RTN47" s="58" t="s">
        <v>250</v>
      </c>
      <c r="RTO47" s="58" t="s">
        <v>247</v>
      </c>
      <c r="RTP47" s="58" t="s">
        <v>248</v>
      </c>
      <c r="RTQ47" s="58" t="s">
        <v>249</v>
      </c>
      <c r="RTR47" s="58" t="s">
        <v>250</v>
      </c>
      <c r="RTS47" s="58" t="s">
        <v>247</v>
      </c>
      <c r="RTT47" s="58" t="s">
        <v>248</v>
      </c>
      <c r="RTU47" s="58" t="s">
        <v>249</v>
      </c>
      <c r="RTV47" s="58" t="s">
        <v>250</v>
      </c>
      <c r="RTW47" s="58" t="s">
        <v>247</v>
      </c>
      <c r="RTX47" s="58" t="s">
        <v>248</v>
      </c>
      <c r="RTY47" s="58" t="s">
        <v>249</v>
      </c>
      <c r="RTZ47" s="58" t="s">
        <v>250</v>
      </c>
      <c r="RUA47" s="58" t="s">
        <v>247</v>
      </c>
      <c r="RUB47" s="58" t="s">
        <v>248</v>
      </c>
      <c r="RUC47" s="58" t="s">
        <v>249</v>
      </c>
      <c r="RUD47" s="58" t="s">
        <v>250</v>
      </c>
      <c r="RUE47" s="58" t="s">
        <v>247</v>
      </c>
      <c r="RUF47" s="58" t="s">
        <v>248</v>
      </c>
      <c r="RUG47" s="58" t="s">
        <v>249</v>
      </c>
      <c r="RUH47" s="58" t="s">
        <v>250</v>
      </c>
      <c r="RUI47" s="58" t="s">
        <v>247</v>
      </c>
      <c r="RUJ47" s="58" t="s">
        <v>248</v>
      </c>
      <c r="RUK47" s="58" t="s">
        <v>249</v>
      </c>
      <c r="RUL47" s="58" t="s">
        <v>250</v>
      </c>
      <c r="RUM47" s="58" t="s">
        <v>247</v>
      </c>
      <c r="RUN47" s="58" t="s">
        <v>248</v>
      </c>
      <c r="RUO47" s="58" t="s">
        <v>249</v>
      </c>
      <c r="RUP47" s="58" t="s">
        <v>250</v>
      </c>
      <c r="RUQ47" s="58" t="s">
        <v>247</v>
      </c>
      <c r="RUR47" s="58" t="s">
        <v>248</v>
      </c>
      <c r="RUS47" s="58" t="s">
        <v>249</v>
      </c>
      <c r="RUT47" s="58" t="s">
        <v>250</v>
      </c>
      <c r="RUU47" s="58" t="s">
        <v>247</v>
      </c>
      <c r="RUV47" s="58" t="s">
        <v>248</v>
      </c>
      <c r="RUW47" s="58" t="s">
        <v>249</v>
      </c>
      <c r="RUX47" s="58" t="s">
        <v>250</v>
      </c>
      <c r="RUY47" s="58" t="s">
        <v>247</v>
      </c>
      <c r="RUZ47" s="58" t="s">
        <v>248</v>
      </c>
      <c r="RVA47" s="58" t="s">
        <v>249</v>
      </c>
      <c r="RVB47" s="58" t="s">
        <v>250</v>
      </c>
      <c r="RVC47" s="58" t="s">
        <v>247</v>
      </c>
      <c r="RVD47" s="58" t="s">
        <v>248</v>
      </c>
      <c r="RVE47" s="58" t="s">
        <v>249</v>
      </c>
      <c r="RVF47" s="58" t="s">
        <v>250</v>
      </c>
      <c r="RVG47" s="58" t="s">
        <v>247</v>
      </c>
      <c r="RVH47" s="58" t="s">
        <v>248</v>
      </c>
      <c r="RVI47" s="58" t="s">
        <v>249</v>
      </c>
      <c r="RVJ47" s="58" t="s">
        <v>250</v>
      </c>
      <c r="RVK47" s="58" t="s">
        <v>247</v>
      </c>
      <c r="RVL47" s="58" t="s">
        <v>248</v>
      </c>
      <c r="RVM47" s="58" t="s">
        <v>249</v>
      </c>
      <c r="RVN47" s="58" t="s">
        <v>250</v>
      </c>
      <c r="RVO47" s="58" t="s">
        <v>247</v>
      </c>
      <c r="RVP47" s="58" t="s">
        <v>248</v>
      </c>
      <c r="RVQ47" s="58" t="s">
        <v>249</v>
      </c>
      <c r="RVR47" s="58" t="s">
        <v>250</v>
      </c>
      <c r="RVS47" s="58" t="s">
        <v>247</v>
      </c>
      <c r="RVT47" s="58" t="s">
        <v>248</v>
      </c>
      <c r="RVU47" s="58" t="s">
        <v>249</v>
      </c>
      <c r="RVV47" s="58" t="s">
        <v>250</v>
      </c>
      <c r="RVW47" s="58" t="s">
        <v>247</v>
      </c>
      <c r="RVX47" s="58" t="s">
        <v>248</v>
      </c>
      <c r="RVY47" s="58" t="s">
        <v>249</v>
      </c>
      <c r="RVZ47" s="58" t="s">
        <v>250</v>
      </c>
      <c r="RWA47" s="58" t="s">
        <v>247</v>
      </c>
      <c r="RWB47" s="58" t="s">
        <v>248</v>
      </c>
      <c r="RWC47" s="58" t="s">
        <v>249</v>
      </c>
      <c r="RWD47" s="58" t="s">
        <v>250</v>
      </c>
      <c r="RWE47" s="58" t="s">
        <v>247</v>
      </c>
      <c r="RWF47" s="58" t="s">
        <v>248</v>
      </c>
      <c r="RWG47" s="58" t="s">
        <v>249</v>
      </c>
      <c r="RWH47" s="58" t="s">
        <v>250</v>
      </c>
      <c r="RWI47" s="58" t="s">
        <v>247</v>
      </c>
      <c r="RWJ47" s="58" t="s">
        <v>248</v>
      </c>
      <c r="RWK47" s="58" t="s">
        <v>249</v>
      </c>
      <c r="RWL47" s="58" t="s">
        <v>250</v>
      </c>
      <c r="RWM47" s="58" t="s">
        <v>247</v>
      </c>
      <c r="RWN47" s="58" t="s">
        <v>248</v>
      </c>
      <c r="RWO47" s="58" t="s">
        <v>249</v>
      </c>
      <c r="RWP47" s="58" t="s">
        <v>250</v>
      </c>
      <c r="RWQ47" s="58" t="s">
        <v>247</v>
      </c>
      <c r="RWR47" s="58" t="s">
        <v>248</v>
      </c>
      <c r="RWS47" s="58" t="s">
        <v>249</v>
      </c>
      <c r="RWT47" s="58" t="s">
        <v>250</v>
      </c>
      <c r="RWU47" s="58" t="s">
        <v>247</v>
      </c>
      <c r="RWV47" s="58" t="s">
        <v>248</v>
      </c>
      <c r="RWW47" s="58" t="s">
        <v>249</v>
      </c>
      <c r="RWX47" s="58" t="s">
        <v>250</v>
      </c>
      <c r="RWY47" s="58" t="s">
        <v>247</v>
      </c>
      <c r="RWZ47" s="58" t="s">
        <v>248</v>
      </c>
      <c r="RXA47" s="58" t="s">
        <v>249</v>
      </c>
      <c r="RXB47" s="58" t="s">
        <v>250</v>
      </c>
      <c r="RXC47" s="58" t="s">
        <v>247</v>
      </c>
      <c r="RXD47" s="58" t="s">
        <v>248</v>
      </c>
      <c r="RXE47" s="58" t="s">
        <v>249</v>
      </c>
      <c r="RXF47" s="58" t="s">
        <v>250</v>
      </c>
      <c r="RXG47" s="58" t="s">
        <v>247</v>
      </c>
      <c r="RXH47" s="58" t="s">
        <v>248</v>
      </c>
      <c r="RXI47" s="58" t="s">
        <v>249</v>
      </c>
      <c r="RXJ47" s="58" t="s">
        <v>250</v>
      </c>
      <c r="RXK47" s="58" t="s">
        <v>247</v>
      </c>
      <c r="RXL47" s="58" t="s">
        <v>248</v>
      </c>
      <c r="RXM47" s="58" t="s">
        <v>249</v>
      </c>
      <c r="RXN47" s="58" t="s">
        <v>250</v>
      </c>
      <c r="RXO47" s="58" t="s">
        <v>247</v>
      </c>
      <c r="RXP47" s="58" t="s">
        <v>248</v>
      </c>
      <c r="RXQ47" s="58" t="s">
        <v>249</v>
      </c>
      <c r="RXR47" s="58" t="s">
        <v>250</v>
      </c>
      <c r="RXS47" s="58" t="s">
        <v>247</v>
      </c>
      <c r="RXT47" s="58" t="s">
        <v>248</v>
      </c>
      <c r="RXU47" s="58" t="s">
        <v>249</v>
      </c>
      <c r="RXV47" s="58" t="s">
        <v>250</v>
      </c>
      <c r="RXW47" s="58" t="s">
        <v>247</v>
      </c>
      <c r="RXX47" s="58" t="s">
        <v>248</v>
      </c>
      <c r="RXY47" s="58" t="s">
        <v>249</v>
      </c>
      <c r="RXZ47" s="58" t="s">
        <v>250</v>
      </c>
      <c r="RYA47" s="58" t="s">
        <v>247</v>
      </c>
      <c r="RYB47" s="58" t="s">
        <v>248</v>
      </c>
      <c r="RYC47" s="58" t="s">
        <v>249</v>
      </c>
      <c r="RYD47" s="58" t="s">
        <v>250</v>
      </c>
      <c r="RYE47" s="58" t="s">
        <v>247</v>
      </c>
      <c r="RYF47" s="58" t="s">
        <v>248</v>
      </c>
      <c r="RYG47" s="58" t="s">
        <v>249</v>
      </c>
      <c r="RYH47" s="58" t="s">
        <v>250</v>
      </c>
      <c r="RYI47" s="58" t="s">
        <v>247</v>
      </c>
      <c r="RYJ47" s="58" t="s">
        <v>248</v>
      </c>
      <c r="RYK47" s="58" t="s">
        <v>249</v>
      </c>
      <c r="RYL47" s="58" t="s">
        <v>250</v>
      </c>
      <c r="RYM47" s="58" t="s">
        <v>247</v>
      </c>
      <c r="RYN47" s="58" t="s">
        <v>248</v>
      </c>
      <c r="RYO47" s="58" t="s">
        <v>249</v>
      </c>
      <c r="RYP47" s="58" t="s">
        <v>250</v>
      </c>
      <c r="RYQ47" s="58" t="s">
        <v>247</v>
      </c>
      <c r="RYR47" s="58" t="s">
        <v>248</v>
      </c>
      <c r="RYS47" s="58" t="s">
        <v>249</v>
      </c>
      <c r="RYT47" s="58" t="s">
        <v>250</v>
      </c>
      <c r="RYU47" s="58" t="s">
        <v>247</v>
      </c>
      <c r="RYV47" s="58" t="s">
        <v>248</v>
      </c>
      <c r="RYW47" s="58" t="s">
        <v>249</v>
      </c>
      <c r="RYX47" s="58" t="s">
        <v>250</v>
      </c>
      <c r="RYY47" s="58" t="s">
        <v>247</v>
      </c>
      <c r="RYZ47" s="58" t="s">
        <v>248</v>
      </c>
      <c r="RZA47" s="58" t="s">
        <v>249</v>
      </c>
      <c r="RZB47" s="58" t="s">
        <v>250</v>
      </c>
      <c r="RZC47" s="58" t="s">
        <v>247</v>
      </c>
      <c r="RZD47" s="58" t="s">
        <v>248</v>
      </c>
      <c r="RZE47" s="58" t="s">
        <v>249</v>
      </c>
      <c r="RZF47" s="58" t="s">
        <v>250</v>
      </c>
      <c r="RZG47" s="58" t="s">
        <v>247</v>
      </c>
      <c r="RZH47" s="58" t="s">
        <v>248</v>
      </c>
      <c r="RZI47" s="58" t="s">
        <v>249</v>
      </c>
      <c r="RZJ47" s="58" t="s">
        <v>250</v>
      </c>
      <c r="RZK47" s="58" t="s">
        <v>247</v>
      </c>
      <c r="RZL47" s="58" t="s">
        <v>248</v>
      </c>
      <c r="RZM47" s="58" t="s">
        <v>249</v>
      </c>
      <c r="RZN47" s="58" t="s">
        <v>250</v>
      </c>
      <c r="RZO47" s="58" t="s">
        <v>247</v>
      </c>
      <c r="RZP47" s="58" t="s">
        <v>248</v>
      </c>
      <c r="RZQ47" s="58" t="s">
        <v>249</v>
      </c>
      <c r="RZR47" s="58" t="s">
        <v>250</v>
      </c>
      <c r="RZS47" s="58" t="s">
        <v>247</v>
      </c>
      <c r="RZT47" s="58" t="s">
        <v>248</v>
      </c>
      <c r="RZU47" s="58" t="s">
        <v>249</v>
      </c>
      <c r="RZV47" s="58" t="s">
        <v>250</v>
      </c>
      <c r="RZW47" s="58" t="s">
        <v>247</v>
      </c>
      <c r="RZX47" s="58" t="s">
        <v>248</v>
      </c>
      <c r="RZY47" s="58" t="s">
        <v>249</v>
      </c>
      <c r="RZZ47" s="58" t="s">
        <v>250</v>
      </c>
      <c r="SAA47" s="58" t="s">
        <v>247</v>
      </c>
      <c r="SAB47" s="58" t="s">
        <v>248</v>
      </c>
      <c r="SAC47" s="58" t="s">
        <v>249</v>
      </c>
      <c r="SAD47" s="58" t="s">
        <v>250</v>
      </c>
      <c r="SAE47" s="58" t="s">
        <v>247</v>
      </c>
      <c r="SAF47" s="58" t="s">
        <v>248</v>
      </c>
      <c r="SAG47" s="58" t="s">
        <v>249</v>
      </c>
      <c r="SAH47" s="58" t="s">
        <v>250</v>
      </c>
      <c r="SAI47" s="58" t="s">
        <v>247</v>
      </c>
      <c r="SAJ47" s="58" t="s">
        <v>248</v>
      </c>
      <c r="SAK47" s="58" t="s">
        <v>249</v>
      </c>
      <c r="SAL47" s="58" t="s">
        <v>250</v>
      </c>
      <c r="SAM47" s="58" t="s">
        <v>247</v>
      </c>
      <c r="SAN47" s="58" t="s">
        <v>248</v>
      </c>
      <c r="SAO47" s="58" t="s">
        <v>249</v>
      </c>
      <c r="SAP47" s="58" t="s">
        <v>250</v>
      </c>
      <c r="SAQ47" s="58" t="s">
        <v>247</v>
      </c>
      <c r="SAR47" s="58" t="s">
        <v>248</v>
      </c>
      <c r="SAS47" s="58" t="s">
        <v>249</v>
      </c>
      <c r="SAT47" s="58" t="s">
        <v>250</v>
      </c>
      <c r="SAU47" s="58" t="s">
        <v>247</v>
      </c>
      <c r="SAV47" s="58" t="s">
        <v>248</v>
      </c>
      <c r="SAW47" s="58" t="s">
        <v>249</v>
      </c>
      <c r="SAX47" s="58" t="s">
        <v>250</v>
      </c>
      <c r="SAY47" s="58" t="s">
        <v>247</v>
      </c>
      <c r="SAZ47" s="58" t="s">
        <v>248</v>
      </c>
      <c r="SBA47" s="58" t="s">
        <v>249</v>
      </c>
      <c r="SBB47" s="58" t="s">
        <v>250</v>
      </c>
      <c r="SBC47" s="58" t="s">
        <v>247</v>
      </c>
      <c r="SBD47" s="58" t="s">
        <v>248</v>
      </c>
      <c r="SBE47" s="58" t="s">
        <v>249</v>
      </c>
      <c r="SBF47" s="58" t="s">
        <v>250</v>
      </c>
      <c r="SBG47" s="58" t="s">
        <v>247</v>
      </c>
      <c r="SBH47" s="58" t="s">
        <v>248</v>
      </c>
      <c r="SBI47" s="58" t="s">
        <v>249</v>
      </c>
      <c r="SBJ47" s="58" t="s">
        <v>250</v>
      </c>
      <c r="SBK47" s="58" t="s">
        <v>247</v>
      </c>
      <c r="SBL47" s="58" t="s">
        <v>248</v>
      </c>
      <c r="SBM47" s="58" t="s">
        <v>249</v>
      </c>
      <c r="SBN47" s="58" t="s">
        <v>250</v>
      </c>
      <c r="SBO47" s="58" t="s">
        <v>247</v>
      </c>
      <c r="SBP47" s="58" t="s">
        <v>248</v>
      </c>
      <c r="SBQ47" s="58" t="s">
        <v>249</v>
      </c>
      <c r="SBR47" s="58" t="s">
        <v>250</v>
      </c>
      <c r="SBS47" s="58" t="s">
        <v>247</v>
      </c>
      <c r="SBT47" s="58" t="s">
        <v>248</v>
      </c>
      <c r="SBU47" s="58" t="s">
        <v>249</v>
      </c>
      <c r="SBV47" s="58" t="s">
        <v>250</v>
      </c>
      <c r="SBW47" s="58" t="s">
        <v>247</v>
      </c>
      <c r="SBX47" s="58" t="s">
        <v>248</v>
      </c>
      <c r="SBY47" s="58" t="s">
        <v>249</v>
      </c>
      <c r="SBZ47" s="58" t="s">
        <v>250</v>
      </c>
      <c r="SCA47" s="58" t="s">
        <v>247</v>
      </c>
      <c r="SCB47" s="58" t="s">
        <v>248</v>
      </c>
      <c r="SCC47" s="58" t="s">
        <v>249</v>
      </c>
      <c r="SCD47" s="58" t="s">
        <v>250</v>
      </c>
      <c r="SCE47" s="58" t="s">
        <v>247</v>
      </c>
      <c r="SCF47" s="58" t="s">
        <v>248</v>
      </c>
      <c r="SCG47" s="58" t="s">
        <v>249</v>
      </c>
      <c r="SCH47" s="58" t="s">
        <v>250</v>
      </c>
      <c r="SCI47" s="58" t="s">
        <v>247</v>
      </c>
      <c r="SCJ47" s="58" t="s">
        <v>248</v>
      </c>
      <c r="SCK47" s="58" t="s">
        <v>249</v>
      </c>
      <c r="SCL47" s="58" t="s">
        <v>250</v>
      </c>
      <c r="SCM47" s="58" t="s">
        <v>247</v>
      </c>
      <c r="SCN47" s="58" t="s">
        <v>248</v>
      </c>
      <c r="SCO47" s="58" t="s">
        <v>249</v>
      </c>
      <c r="SCP47" s="58" t="s">
        <v>250</v>
      </c>
      <c r="SCQ47" s="58" t="s">
        <v>247</v>
      </c>
      <c r="SCR47" s="58" t="s">
        <v>248</v>
      </c>
      <c r="SCS47" s="58" t="s">
        <v>249</v>
      </c>
      <c r="SCT47" s="58" t="s">
        <v>250</v>
      </c>
      <c r="SCU47" s="58" t="s">
        <v>247</v>
      </c>
      <c r="SCV47" s="58" t="s">
        <v>248</v>
      </c>
      <c r="SCW47" s="58" t="s">
        <v>249</v>
      </c>
      <c r="SCX47" s="58" t="s">
        <v>250</v>
      </c>
      <c r="SCY47" s="58" t="s">
        <v>247</v>
      </c>
      <c r="SCZ47" s="58" t="s">
        <v>248</v>
      </c>
      <c r="SDA47" s="58" t="s">
        <v>249</v>
      </c>
      <c r="SDB47" s="58" t="s">
        <v>250</v>
      </c>
      <c r="SDC47" s="58" t="s">
        <v>247</v>
      </c>
      <c r="SDD47" s="58" t="s">
        <v>248</v>
      </c>
      <c r="SDE47" s="58" t="s">
        <v>249</v>
      </c>
      <c r="SDF47" s="58" t="s">
        <v>250</v>
      </c>
      <c r="SDG47" s="58" t="s">
        <v>247</v>
      </c>
      <c r="SDH47" s="58" t="s">
        <v>248</v>
      </c>
      <c r="SDI47" s="58" t="s">
        <v>249</v>
      </c>
      <c r="SDJ47" s="58" t="s">
        <v>250</v>
      </c>
      <c r="SDK47" s="58" t="s">
        <v>247</v>
      </c>
      <c r="SDL47" s="58" t="s">
        <v>248</v>
      </c>
      <c r="SDM47" s="58" t="s">
        <v>249</v>
      </c>
      <c r="SDN47" s="58" t="s">
        <v>250</v>
      </c>
      <c r="SDO47" s="58" t="s">
        <v>247</v>
      </c>
      <c r="SDP47" s="58" t="s">
        <v>248</v>
      </c>
      <c r="SDQ47" s="58" t="s">
        <v>249</v>
      </c>
      <c r="SDR47" s="58" t="s">
        <v>250</v>
      </c>
      <c r="SDS47" s="58" t="s">
        <v>247</v>
      </c>
      <c r="SDT47" s="58" t="s">
        <v>248</v>
      </c>
      <c r="SDU47" s="58" t="s">
        <v>249</v>
      </c>
      <c r="SDV47" s="58" t="s">
        <v>250</v>
      </c>
      <c r="SDW47" s="58" t="s">
        <v>247</v>
      </c>
      <c r="SDX47" s="58" t="s">
        <v>248</v>
      </c>
      <c r="SDY47" s="58" t="s">
        <v>249</v>
      </c>
      <c r="SDZ47" s="58" t="s">
        <v>250</v>
      </c>
      <c r="SEA47" s="58" t="s">
        <v>247</v>
      </c>
      <c r="SEB47" s="58" t="s">
        <v>248</v>
      </c>
      <c r="SEC47" s="58" t="s">
        <v>249</v>
      </c>
      <c r="SED47" s="58" t="s">
        <v>250</v>
      </c>
      <c r="SEE47" s="58" t="s">
        <v>247</v>
      </c>
      <c r="SEF47" s="58" t="s">
        <v>248</v>
      </c>
      <c r="SEG47" s="58" t="s">
        <v>249</v>
      </c>
      <c r="SEH47" s="58" t="s">
        <v>250</v>
      </c>
      <c r="SEI47" s="58" t="s">
        <v>247</v>
      </c>
      <c r="SEJ47" s="58" t="s">
        <v>248</v>
      </c>
      <c r="SEK47" s="58" t="s">
        <v>249</v>
      </c>
      <c r="SEL47" s="58" t="s">
        <v>250</v>
      </c>
      <c r="SEM47" s="58" t="s">
        <v>247</v>
      </c>
      <c r="SEN47" s="58" t="s">
        <v>248</v>
      </c>
      <c r="SEO47" s="58" t="s">
        <v>249</v>
      </c>
      <c r="SEP47" s="58" t="s">
        <v>250</v>
      </c>
      <c r="SEQ47" s="58" t="s">
        <v>247</v>
      </c>
      <c r="SER47" s="58" t="s">
        <v>248</v>
      </c>
      <c r="SES47" s="58" t="s">
        <v>249</v>
      </c>
      <c r="SET47" s="58" t="s">
        <v>250</v>
      </c>
      <c r="SEU47" s="58" t="s">
        <v>247</v>
      </c>
      <c r="SEV47" s="58" t="s">
        <v>248</v>
      </c>
      <c r="SEW47" s="58" t="s">
        <v>249</v>
      </c>
      <c r="SEX47" s="58" t="s">
        <v>250</v>
      </c>
      <c r="SEY47" s="58" t="s">
        <v>247</v>
      </c>
      <c r="SEZ47" s="58" t="s">
        <v>248</v>
      </c>
      <c r="SFA47" s="58" t="s">
        <v>249</v>
      </c>
      <c r="SFB47" s="58" t="s">
        <v>250</v>
      </c>
      <c r="SFC47" s="58" t="s">
        <v>247</v>
      </c>
      <c r="SFD47" s="58" t="s">
        <v>248</v>
      </c>
      <c r="SFE47" s="58" t="s">
        <v>249</v>
      </c>
      <c r="SFF47" s="58" t="s">
        <v>250</v>
      </c>
      <c r="SFG47" s="58" t="s">
        <v>247</v>
      </c>
      <c r="SFH47" s="58" t="s">
        <v>248</v>
      </c>
      <c r="SFI47" s="58" t="s">
        <v>249</v>
      </c>
      <c r="SFJ47" s="58" t="s">
        <v>250</v>
      </c>
      <c r="SFK47" s="58" t="s">
        <v>247</v>
      </c>
      <c r="SFL47" s="58" t="s">
        <v>248</v>
      </c>
      <c r="SFM47" s="58" t="s">
        <v>249</v>
      </c>
      <c r="SFN47" s="58" t="s">
        <v>250</v>
      </c>
      <c r="SFO47" s="58" t="s">
        <v>247</v>
      </c>
      <c r="SFP47" s="58" t="s">
        <v>248</v>
      </c>
      <c r="SFQ47" s="58" t="s">
        <v>249</v>
      </c>
      <c r="SFR47" s="58" t="s">
        <v>250</v>
      </c>
      <c r="SFS47" s="58" t="s">
        <v>247</v>
      </c>
      <c r="SFT47" s="58" t="s">
        <v>248</v>
      </c>
      <c r="SFU47" s="58" t="s">
        <v>249</v>
      </c>
      <c r="SFV47" s="58" t="s">
        <v>250</v>
      </c>
      <c r="SFW47" s="58" t="s">
        <v>247</v>
      </c>
      <c r="SFX47" s="58" t="s">
        <v>248</v>
      </c>
      <c r="SFY47" s="58" t="s">
        <v>249</v>
      </c>
      <c r="SFZ47" s="58" t="s">
        <v>250</v>
      </c>
      <c r="SGA47" s="58" t="s">
        <v>247</v>
      </c>
      <c r="SGB47" s="58" t="s">
        <v>248</v>
      </c>
      <c r="SGC47" s="58" t="s">
        <v>249</v>
      </c>
      <c r="SGD47" s="58" t="s">
        <v>250</v>
      </c>
      <c r="SGE47" s="58" t="s">
        <v>247</v>
      </c>
      <c r="SGF47" s="58" t="s">
        <v>248</v>
      </c>
      <c r="SGG47" s="58" t="s">
        <v>249</v>
      </c>
      <c r="SGH47" s="58" t="s">
        <v>250</v>
      </c>
      <c r="SGI47" s="58" t="s">
        <v>247</v>
      </c>
      <c r="SGJ47" s="58" t="s">
        <v>248</v>
      </c>
      <c r="SGK47" s="58" t="s">
        <v>249</v>
      </c>
      <c r="SGL47" s="58" t="s">
        <v>250</v>
      </c>
      <c r="SGM47" s="58" t="s">
        <v>247</v>
      </c>
      <c r="SGN47" s="58" t="s">
        <v>248</v>
      </c>
      <c r="SGO47" s="58" t="s">
        <v>249</v>
      </c>
      <c r="SGP47" s="58" t="s">
        <v>250</v>
      </c>
      <c r="SGQ47" s="58" t="s">
        <v>247</v>
      </c>
      <c r="SGR47" s="58" t="s">
        <v>248</v>
      </c>
      <c r="SGS47" s="58" t="s">
        <v>249</v>
      </c>
      <c r="SGT47" s="58" t="s">
        <v>250</v>
      </c>
      <c r="SGU47" s="58" t="s">
        <v>247</v>
      </c>
      <c r="SGV47" s="58" t="s">
        <v>248</v>
      </c>
      <c r="SGW47" s="58" t="s">
        <v>249</v>
      </c>
      <c r="SGX47" s="58" t="s">
        <v>250</v>
      </c>
      <c r="SGY47" s="58" t="s">
        <v>247</v>
      </c>
      <c r="SGZ47" s="58" t="s">
        <v>248</v>
      </c>
      <c r="SHA47" s="58" t="s">
        <v>249</v>
      </c>
      <c r="SHB47" s="58" t="s">
        <v>250</v>
      </c>
      <c r="SHC47" s="58" t="s">
        <v>247</v>
      </c>
      <c r="SHD47" s="58" t="s">
        <v>248</v>
      </c>
      <c r="SHE47" s="58" t="s">
        <v>249</v>
      </c>
      <c r="SHF47" s="58" t="s">
        <v>250</v>
      </c>
      <c r="SHG47" s="58" t="s">
        <v>247</v>
      </c>
      <c r="SHH47" s="58" t="s">
        <v>248</v>
      </c>
      <c r="SHI47" s="58" t="s">
        <v>249</v>
      </c>
      <c r="SHJ47" s="58" t="s">
        <v>250</v>
      </c>
      <c r="SHK47" s="58" t="s">
        <v>247</v>
      </c>
      <c r="SHL47" s="58" t="s">
        <v>248</v>
      </c>
      <c r="SHM47" s="58" t="s">
        <v>249</v>
      </c>
      <c r="SHN47" s="58" t="s">
        <v>250</v>
      </c>
      <c r="SHO47" s="58" t="s">
        <v>247</v>
      </c>
      <c r="SHP47" s="58" t="s">
        <v>248</v>
      </c>
      <c r="SHQ47" s="58" t="s">
        <v>249</v>
      </c>
      <c r="SHR47" s="58" t="s">
        <v>250</v>
      </c>
      <c r="SHS47" s="58" t="s">
        <v>247</v>
      </c>
      <c r="SHT47" s="58" t="s">
        <v>248</v>
      </c>
      <c r="SHU47" s="58" t="s">
        <v>249</v>
      </c>
      <c r="SHV47" s="58" t="s">
        <v>250</v>
      </c>
      <c r="SHW47" s="58" t="s">
        <v>247</v>
      </c>
      <c r="SHX47" s="58" t="s">
        <v>248</v>
      </c>
      <c r="SHY47" s="58" t="s">
        <v>249</v>
      </c>
      <c r="SHZ47" s="58" t="s">
        <v>250</v>
      </c>
      <c r="SIA47" s="58" t="s">
        <v>247</v>
      </c>
      <c r="SIB47" s="58" t="s">
        <v>248</v>
      </c>
      <c r="SIC47" s="58" t="s">
        <v>249</v>
      </c>
      <c r="SID47" s="58" t="s">
        <v>250</v>
      </c>
      <c r="SIE47" s="58" t="s">
        <v>247</v>
      </c>
      <c r="SIF47" s="58" t="s">
        <v>248</v>
      </c>
      <c r="SIG47" s="58" t="s">
        <v>249</v>
      </c>
      <c r="SIH47" s="58" t="s">
        <v>250</v>
      </c>
      <c r="SII47" s="58" t="s">
        <v>247</v>
      </c>
      <c r="SIJ47" s="58" t="s">
        <v>248</v>
      </c>
      <c r="SIK47" s="58" t="s">
        <v>249</v>
      </c>
      <c r="SIL47" s="58" t="s">
        <v>250</v>
      </c>
      <c r="SIM47" s="58" t="s">
        <v>247</v>
      </c>
      <c r="SIN47" s="58" t="s">
        <v>248</v>
      </c>
      <c r="SIO47" s="58" t="s">
        <v>249</v>
      </c>
      <c r="SIP47" s="58" t="s">
        <v>250</v>
      </c>
      <c r="SIQ47" s="58" t="s">
        <v>247</v>
      </c>
      <c r="SIR47" s="58" t="s">
        <v>248</v>
      </c>
      <c r="SIS47" s="58" t="s">
        <v>249</v>
      </c>
      <c r="SIT47" s="58" t="s">
        <v>250</v>
      </c>
      <c r="SIU47" s="58" t="s">
        <v>247</v>
      </c>
      <c r="SIV47" s="58" t="s">
        <v>248</v>
      </c>
      <c r="SIW47" s="58" t="s">
        <v>249</v>
      </c>
      <c r="SIX47" s="58" t="s">
        <v>250</v>
      </c>
      <c r="SIY47" s="58" t="s">
        <v>247</v>
      </c>
      <c r="SIZ47" s="58" t="s">
        <v>248</v>
      </c>
      <c r="SJA47" s="58" t="s">
        <v>249</v>
      </c>
      <c r="SJB47" s="58" t="s">
        <v>250</v>
      </c>
      <c r="SJC47" s="58" t="s">
        <v>247</v>
      </c>
      <c r="SJD47" s="58" t="s">
        <v>248</v>
      </c>
      <c r="SJE47" s="58" t="s">
        <v>249</v>
      </c>
      <c r="SJF47" s="58" t="s">
        <v>250</v>
      </c>
      <c r="SJG47" s="58" t="s">
        <v>247</v>
      </c>
      <c r="SJH47" s="58" t="s">
        <v>248</v>
      </c>
      <c r="SJI47" s="58" t="s">
        <v>249</v>
      </c>
      <c r="SJJ47" s="58" t="s">
        <v>250</v>
      </c>
      <c r="SJK47" s="58" t="s">
        <v>247</v>
      </c>
      <c r="SJL47" s="58" t="s">
        <v>248</v>
      </c>
      <c r="SJM47" s="58" t="s">
        <v>249</v>
      </c>
      <c r="SJN47" s="58" t="s">
        <v>250</v>
      </c>
      <c r="SJO47" s="58" t="s">
        <v>247</v>
      </c>
      <c r="SJP47" s="58" t="s">
        <v>248</v>
      </c>
      <c r="SJQ47" s="58" t="s">
        <v>249</v>
      </c>
      <c r="SJR47" s="58" t="s">
        <v>250</v>
      </c>
      <c r="SJS47" s="58" t="s">
        <v>247</v>
      </c>
      <c r="SJT47" s="58" t="s">
        <v>248</v>
      </c>
      <c r="SJU47" s="58" t="s">
        <v>249</v>
      </c>
      <c r="SJV47" s="58" t="s">
        <v>250</v>
      </c>
      <c r="SJW47" s="58" t="s">
        <v>247</v>
      </c>
      <c r="SJX47" s="58" t="s">
        <v>248</v>
      </c>
      <c r="SJY47" s="58" t="s">
        <v>249</v>
      </c>
      <c r="SJZ47" s="58" t="s">
        <v>250</v>
      </c>
      <c r="SKA47" s="58" t="s">
        <v>247</v>
      </c>
      <c r="SKB47" s="58" t="s">
        <v>248</v>
      </c>
      <c r="SKC47" s="58" t="s">
        <v>249</v>
      </c>
      <c r="SKD47" s="58" t="s">
        <v>250</v>
      </c>
      <c r="SKE47" s="58" t="s">
        <v>247</v>
      </c>
      <c r="SKF47" s="58" t="s">
        <v>248</v>
      </c>
      <c r="SKG47" s="58" t="s">
        <v>249</v>
      </c>
      <c r="SKH47" s="58" t="s">
        <v>250</v>
      </c>
      <c r="SKI47" s="58" t="s">
        <v>247</v>
      </c>
      <c r="SKJ47" s="58" t="s">
        <v>248</v>
      </c>
      <c r="SKK47" s="58" t="s">
        <v>249</v>
      </c>
      <c r="SKL47" s="58" t="s">
        <v>250</v>
      </c>
      <c r="SKM47" s="58" t="s">
        <v>247</v>
      </c>
      <c r="SKN47" s="58" t="s">
        <v>248</v>
      </c>
      <c r="SKO47" s="58" t="s">
        <v>249</v>
      </c>
      <c r="SKP47" s="58" t="s">
        <v>250</v>
      </c>
      <c r="SKQ47" s="58" t="s">
        <v>247</v>
      </c>
      <c r="SKR47" s="58" t="s">
        <v>248</v>
      </c>
      <c r="SKS47" s="58" t="s">
        <v>249</v>
      </c>
      <c r="SKT47" s="58" t="s">
        <v>250</v>
      </c>
      <c r="SKU47" s="58" t="s">
        <v>247</v>
      </c>
      <c r="SKV47" s="58" t="s">
        <v>248</v>
      </c>
      <c r="SKW47" s="58" t="s">
        <v>249</v>
      </c>
      <c r="SKX47" s="58" t="s">
        <v>250</v>
      </c>
      <c r="SKY47" s="58" t="s">
        <v>247</v>
      </c>
      <c r="SKZ47" s="58" t="s">
        <v>248</v>
      </c>
      <c r="SLA47" s="58" t="s">
        <v>249</v>
      </c>
      <c r="SLB47" s="58" t="s">
        <v>250</v>
      </c>
      <c r="SLC47" s="58" t="s">
        <v>247</v>
      </c>
      <c r="SLD47" s="58" t="s">
        <v>248</v>
      </c>
      <c r="SLE47" s="58" t="s">
        <v>249</v>
      </c>
      <c r="SLF47" s="58" t="s">
        <v>250</v>
      </c>
      <c r="SLG47" s="58" t="s">
        <v>247</v>
      </c>
      <c r="SLH47" s="58" t="s">
        <v>248</v>
      </c>
      <c r="SLI47" s="58" t="s">
        <v>249</v>
      </c>
      <c r="SLJ47" s="58" t="s">
        <v>250</v>
      </c>
      <c r="SLK47" s="58" t="s">
        <v>247</v>
      </c>
      <c r="SLL47" s="58" t="s">
        <v>248</v>
      </c>
      <c r="SLM47" s="58" t="s">
        <v>249</v>
      </c>
      <c r="SLN47" s="58" t="s">
        <v>250</v>
      </c>
      <c r="SLO47" s="58" t="s">
        <v>247</v>
      </c>
      <c r="SLP47" s="58" t="s">
        <v>248</v>
      </c>
      <c r="SLQ47" s="58" t="s">
        <v>249</v>
      </c>
      <c r="SLR47" s="58" t="s">
        <v>250</v>
      </c>
      <c r="SLS47" s="58" t="s">
        <v>247</v>
      </c>
      <c r="SLT47" s="58" t="s">
        <v>248</v>
      </c>
      <c r="SLU47" s="58" t="s">
        <v>249</v>
      </c>
      <c r="SLV47" s="58" t="s">
        <v>250</v>
      </c>
      <c r="SLW47" s="58" t="s">
        <v>247</v>
      </c>
      <c r="SLX47" s="58" t="s">
        <v>248</v>
      </c>
      <c r="SLY47" s="58" t="s">
        <v>249</v>
      </c>
      <c r="SLZ47" s="58" t="s">
        <v>250</v>
      </c>
      <c r="SMA47" s="58" t="s">
        <v>247</v>
      </c>
      <c r="SMB47" s="58" t="s">
        <v>248</v>
      </c>
      <c r="SMC47" s="58" t="s">
        <v>249</v>
      </c>
      <c r="SMD47" s="58" t="s">
        <v>250</v>
      </c>
      <c r="SME47" s="58" t="s">
        <v>247</v>
      </c>
      <c r="SMF47" s="58" t="s">
        <v>248</v>
      </c>
      <c r="SMG47" s="58" t="s">
        <v>249</v>
      </c>
      <c r="SMH47" s="58" t="s">
        <v>250</v>
      </c>
      <c r="SMI47" s="58" t="s">
        <v>247</v>
      </c>
      <c r="SMJ47" s="58" t="s">
        <v>248</v>
      </c>
      <c r="SMK47" s="58" t="s">
        <v>249</v>
      </c>
      <c r="SML47" s="58" t="s">
        <v>250</v>
      </c>
      <c r="SMM47" s="58" t="s">
        <v>247</v>
      </c>
      <c r="SMN47" s="58" t="s">
        <v>248</v>
      </c>
      <c r="SMO47" s="58" t="s">
        <v>249</v>
      </c>
      <c r="SMP47" s="58" t="s">
        <v>250</v>
      </c>
      <c r="SMQ47" s="58" t="s">
        <v>247</v>
      </c>
      <c r="SMR47" s="58" t="s">
        <v>248</v>
      </c>
      <c r="SMS47" s="58" t="s">
        <v>249</v>
      </c>
      <c r="SMT47" s="58" t="s">
        <v>250</v>
      </c>
      <c r="SMU47" s="58" t="s">
        <v>247</v>
      </c>
      <c r="SMV47" s="58" t="s">
        <v>248</v>
      </c>
      <c r="SMW47" s="58" t="s">
        <v>249</v>
      </c>
      <c r="SMX47" s="58" t="s">
        <v>250</v>
      </c>
      <c r="SMY47" s="58" t="s">
        <v>247</v>
      </c>
      <c r="SMZ47" s="58" t="s">
        <v>248</v>
      </c>
      <c r="SNA47" s="58" t="s">
        <v>249</v>
      </c>
      <c r="SNB47" s="58" t="s">
        <v>250</v>
      </c>
      <c r="SNC47" s="58" t="s">
        <v>247</v>
      </c>
      <c r="SND47" s="58" t="s">
        <v>248</v>
      </c>
      <c r="SNE47" s="58" t="s">
        <v>249</v>
      </c>
      <c r="SNF47" s="58" t="s">
        <v>250</v>
      </c>
      <c r="SNG47" s="58" t="s">
        <v>247</v>
      </c>
      <c r="SNH47" s="58" t="s">
        <v>248</v>
      </c>
      <c r="SNI47" s="58" t="s">
        <v>249</v>
      </c>
      <c r="SNJ47" s="58" t="s">
        <v>250</v>
      </c>
      <c r="SNK47" s="58" t="s">
        <v>247</v>
      </c>
      <c r="SNL47" s="58" t="s">
        <v>248</v>
      </c>
      <c r="SNM47" s="58" t="s">
        <v>249</v>
      </c>
      <c r="SNN47" s="58" t="s">
        <v>250</v>
      </c>
      <c r="SNO47" s="58" t="s">
        <v>247</v>
      </c>
      <c r="SNP47" s="58" t="s">
        <v>248</v>
      </c>
      <c r="SNQ47" s="58" t="s">
        <v>249</v>
      </c>
      <c r="SNR47" s="58" t="s">
        <v>250</v>
      </c>
      <c r="SNS47" s="58" t="s">
        <v>247</v>
      </c>
      <c r="SNT47" s="58" t="s">
        <v>248</v>
      </c>
      <c r="SNU47" s="58" t="s">
        <v>249</v>
      </c>
      <c r="SNV47" s="58" t="s">
        <v>250</v>
      </c>
      <c r="SNW47" s="58" t="s">
        <v>247</v>
      </c>
      <c r="SNX47" s="58" t="s">
        <v>248</v>
      </c>
      <c r="SNY47" s="58" t="s">
        <v>249</v>
      </c>
      <c r="SNZ47" s="58" t="s">
        <v>250</v>
      </c>
      <c r="SOA47" s="58" t="s">
        <v>247</v>
      </c>
      <c r="SOB47" s="58" t="s">
        <v>248</v>
      </c>
      <c r="SOC47" s="58" t="s">
        <v>249</v>
      </c>
      <c r="SOD47" s="58" t="s">
        <v>250</v>
      </c>
      <c r="SOE47" s="58" t="s">
        <v>247</v>
      </c>
      <c r="SOF47" s="58" t="s">
        <v>248</v>
      </c>
      <c r="SOG47" s="58" t="s">
        <v>249</v>
      </c>
      <c r="SOH47" s="58" t="s">
        <v>250</v>
      </c>
      <c r="SOI47" s="58" t="s">
        <v>247</v>
      </c>
      <c r="SOJ47" s="58" t="s">
        <v>248</v>
      </c>
      <c r="SOK47" s="58" t="s">
        <v>249</v>
      </c>
      <c r="SOL47" s="58" t="s">
        <v>250</v>
      </c>
      <c r="SOM47" s="58" t="s">
        <v>247</v>
      </c>
      <c r="SON47" s="58" t="s">
        <v>248</v>
      </c>
      <c r="SOO47" s="58" t="s">
        <v>249</v>
      </c>
      <c r="SOP47" s="58" t="s">
        <v>250</v>
      </c>
      <c r="SOQ47" s="58" t="s">
        <v>247</v>
      </c>
      <c r="SOR47" s="58" t="s">
        <v>248</v>
      </c>
      <c r="SOS47" s="58" t="s">
        <v>249</v>
      </c>
      <c r="SOT47" s="58" t="s">
        <v>250</v>
      </c>
      <c r="SOU47" s="58" t="s">
        <v>247</v>
      </c>
      <c r="SOV47" s="58" t="s">
        <v>248</v>
      </c>
      <c r="SOW47" s="58" t="s">
        <v>249</v>
      </c>
      <c r="SOX47" s="58" t="s">
        <v>250</v>
      </c>
      <c r="SOY47" s="58" t="s">
        <v>247</v>
      </c>
      <c r="SOZ47" s="58" t="s">
        <v>248</v>
      </c>
      <c r="SPA47" s="58" t="s">
        <v>249</v>
      </c>
      <c r="SPB47" s="58" t="s">
        <v>250</v>
      </c>
      <c r="SPC47" s="58" t="s">
        <v>247</v>
      </c>
      <c r="SPD47" s="58" t="s">
        <v>248</v>
      </c>
      <c r="SPE47" s="58" t="s">
        <v>249</v>
      </c>
      <c r="SPF47" s="58" t="s">
        <v>250</v>
      </c>
      <c r="SPG47" s="58" t="s">
        <v>247</v>
      </c>
      <c r="SPH47" s="58" t="s">
        <v>248</v>
      </c>
      <c r="SPI47" s="58" t="s">
        <v>249</v>
      </c>
      <c r="SPJ47" s="58" t="s">
        <v>250</v>
      </c>
      <c r="SPK47" s="58" t="s">
        <v>247</v>
      </c>
      <c r="SPL47" s="58" t="s">
        <v>248</v>
      </c>
      <c r="SPM47" s="58" t="s">
        <v>249</v>
      </c>
      <c r="SPN47" s="58" t="s">
        <v>250</v>
      </c>
      <c r="SPO47" s="58" t="s">
        <v>247</v>
      </c>
      <c r="SPP47" s="58" t="s">
        <v>248</v>
      </c>
      <c r="SPQ47" s="58" t="s">
        <v>249</v>
      </c>
      <c r="SPR47" s="58" t="s">
        <v>250</v>
      </c>
      <c r="SPS47" s="58" t="s">
        <v>247</v>
      </c>
      <c r="SPT47" s="58" t="s">
        <v>248</v>
      </c>
      <c r="SPU47" s="58" t="s">
        <v>249</v>
      </c>
      <c r="SPV47" s="58" t="s">
        <v>250</v>
      </c>
      <c r="SPW47" s="58" t="s">
        <v>247</v>
      </c>
      <c r="SPX47" s="58" t="s">
        <v>248</v>
      </c>
      <c r="SPY47" s="58" t="s">
        <v>249</v>
      </c>
      <c r="SPZ47" s="58" t="s">
        <v>250</v>
      </c>
      <c r="SQA47" s="58" t="s">
        <v>247</v>
      </c>
      <c r="SQB47" s="58" t="s">
        <v>248</v>
      </c>
      <c r="SQC47" s="58" t="s">
        <v>249</v>
      </c>
      <c r="SQD47" s="58" t="s">
        <v>250</v>
      </c>
      <c r="SQE47" s="58" t="s">
        <v>247</v>
      </c>
      <c r="SQF47" s="58" t="s">
        <v>248</v>
      </c>
      <c r="SQG47" s="58" t="s">
        <v>249</v>
      </c>
      <c r="SQH47" s="58" t="s">
        <v>250</v>
      </c>
      <c r="SQI47" s="58" t="s">
        <v>247</v>
      </c>
      <c r="SQJ47" s="58" t="s">
        <v>248</v>
      </c>
      <c r="SQK47" s="58" t="s">
        <v>249</v>
      </c>
      <c r="SQL47" s="58" t="s">
        <v>250</v>
      </c>
      <c r="SQM47" s="58" t="s">
        <v>247</v>
      </c>
      <c r="SQN47" s="58" t="s">
        <v>248</v>
      </c>
      <c r="SQO47" s="58" t="s">
        <v>249</v>
      </c>
      <c r="SQP47" s="58" t="s">
        <v>250</v>
      </c>
      <c r="SQQ47" s="58" t="s">
        <v>247</v>
      </c>
      <c r="SQR47" s="58" t="s">
        <v>248</v>
      </c>
      <c r="SQS47" s="58" t="s">
        <v>249</v>
      </c>
      <c r="SQT47" s="58" t="s">
        <v>250</v>
      </c>
      <c r="SQU47" s="58" t="s">
        <v>247</v>
      </c>
      <c r="SQV47" s="58" t="s">
        <v>248</v>
      </c>
      <c r="SQW47" s="58" t="s">
        <v>249</v>
      </c>
      <c r="SQX47" s="58" t="s">
        <v>250</v>
      </c>
      <c r="SQY47" s="58" t="s">
        <v>247</v>
      </c>
      <c r="SQZ47" s="58" t="s">
        <v>248</v>
      </c>
      <c r="SRA47" s="58" t="s">
        <v>249</v>
      </c>
      <c r="SRB47" s="58" t="s">
        <v>250</v>
      </c>
      <c r="SRC47" s="58" t="s">
        <v>247</v>
      </c>
      <c r="SRD47" s="58" t="s">
        <v>248</v>
      </c>
      <c r="SRE47" s="58" t="s">
        <v>249</v>
      </c>
      <c r="SRF47" s="58" t="s">
        <v>250</v>
      </c>
      <c r="SRG47" s="58" t="s">
        <v>247</v>
      </c>
      <c r="SRH47" s="58" t="s">
        <v>248</v>
      </c>
      <c r="SRI47" s="58" t="s">
        <v>249</v>
      </c>
      <c r="SRJ47" s="58" t="s">
        <v>250</v>
      </c>
      <c r="SRK47" s="58" t="s">
        <v>247</v>
      </c>
      <c r="SRL47" s="58" t="s">
        <v>248</v>
      </c>
      <c r="SRM47" s="58" t="s">
        <v>249</v>
      </c>
      <c r="SRN47" s="58" t="s">
        <v>250</v>
      </c>
      <c r="SRO47" s="58" t="s">
        <v>247</v>
      </c>
      <c r="SRP47" s="58" t="s">
        <v>248</v>
      </c>
      <c r="SRQ47" s="58" t="s">
        <v>249</v>
      </c>
      <c r="SRR47" s="58" t="s">
        <v>250</v>
      </c>
      <c r="SRS47" s="58" t="s">
        <v>247</v>
      </c>
      <c r="SRT47" s="58" t="s">
        <v>248</v>
      </c>
      <c r="SRU47" s="58" t="s">
        <v>249</v>
      </c>
      <c r="SRV47" s="58" t="s">
        <v>250</v>
      </c>
      <c r="SRW47" s="58" t="s">
        <v>247</v>
      </c>
      <c r="SRX47" s="58" t="s">
        <v>248</v>
      </c>
      <c r="SRY47" s="58" t="s">
        <v>249</v>
      </c>
      <c r="SRZ47" s="58" t="s">
        <v>250</v>
      </c>
      <c r="SSA47" s="58" t="s">
        <v>247</v>
      </c>
      <c r="SSB47" s="58" t="s">
        <v>248</v>
      </c>
      <c r="SSC47" s="58" t="s">
        <v>249</v>
      </c>
      <c r="SSD47" s="58" t="s">
        <v>250</v>
      </c>
      <c r="SSE47" s="58" t="s">
        <v>247</v>
      </c>
      <c r="SSF47" s="58" t="s">
        <v>248</v>
      </c>
      <c r="SSG47" s="58" t="s">
        <v>249</v>
      </c>
      <c r="SSH47" s="58" t="s">
        <v>250</v>
      </c>
      <c r="SSI47" s="58" t="s">
        <v>247</v>
      </c>
      <c r="SSJ47" s="58" t="s">
        <v>248</v>
      </c>
      <c r="SSK47" s="58" t="s">
        <v>249</v>
      </c>
      <c r="SSL47" s="58" t="s">
        <v>250</v>
      </c>
      <c r="SSM47" s="58" t="s">
        <v>247</v>
      </c>
      <c r="SSN47" s="58" t="s">
        <v>248</v>
      </c>
      <c r="SSO47" s="58" t="s">
        <v>249</v>
      </c>
      <c r="SSP47" s="58" t="s">
        <v>250</v>
      </c>
      <c r="SSQ47" s="58" t="s">
        <v>247</v>
      </c>
      <c r="SSR47" s="58" t="s">
        <v>248</v>
      </c>
      <c r="SSS47" s="58" t="s">
        <v>249</v>
      </c>
      <c r="SST47" s="58" t="s">
        <v>250</v>
      </c>
      <c r="SSU47" s="58" t="s">
        <v>247</v>
      </c>
      <c r="SSV47" s="58" t="s">
        <v>248</v>
      </c>
      <c r="SSW47" s="58" t="s">
        <v>249</v>
      </c>
      <c r="SSX47" s="58" t="s">
        <v>250</v>
      </c>
      <c r="SSY47" s="58" t="s">
        <v>247</v>
      </c>
      <c r="SSZ47" s="58" t="s">
        <v>248</v>
      </c>
      <c r="STA47" s="58" t="s">
        <v>249</v>
      </c>
      <c r="STB47" s="58" t="s">
        <v>250</v>
      </c>
      <c r="STC47" s="58" t="s">
        <v>247</v>
      </c>
      <c r="STD47" s="58" t="s">
        <v>248</v>
      </c>
      <c r="STE47" s="58" t="s">
        <v>249</v>
      </c>
      <c r="STF47" s="58" t="s">
        <v>250</v>
      </c>
      <c r="STG47" s="58" t="s">
        <v>247</v>
      </c>
      <c r="STH47" s="58" t="s">
        <v>248</v>
      </c>
      <c r="STI47" s="58" t="s">
        <v>249</v>
      </c>
      <c r="STJ47" s="58" t="s">
        <v>250</v>
      </c>
      <c r="STK47" s="58" t="s">
        <v>247</v>
      </c>
      <c r="STL47" s="58" t="s">
        <v>248</v>
      </c>
      <c r="STM47" s="58" t="s">
        <v>249</v>
      </c>
      <c r="STN47" s="58" t="s">
        <v>250</v>
      </c>
      <c r="STO47" s="58" t="s">
        <v>247</v>
      </c>
      <c r="STP47" s="58" t="s">
        <v>248</v>
      </c>
      <c r="STQ47" s="58" t="s">
        <v>249</v>
      </c>
      <c r="STR47" s="58" t="s">
        <v>250</v>
      </c>
      <c r="STS47" s="58" t="s">
        <v>247</v>
      </c>
      <c r="STT47" s="58" t="s">
        <v>248</v>
      </c>
      <c r="STU47" s="58" t="s">
        <v>249</v>
      </c>
      <c r="STV47" s="58" t="s">
        <v>250</v>
      </c>
      <c r="STW47" s="58" t="s">
        <v>247</v>
      </c>
      <c r="STX47" s="58" t="s">
        <v>248</v>
      </c>
      <c r="STY47" s="58" t="s">
        <v>249</v>
      </c>
      <c r="STZ47" s="58" t="s">
        <v>250</v>
      </c>
      <c r="SUA47" s="58" t="s">
        <v>247</v>
      </c>
      <c r="SUB47" s="58" t="s">
        <v>248</v>
      </c>
      <c r="SUC47" s="58" t="s">
        <v>249</v>
      </c>
      <c r="SUD47" s="58" t="s">
        <v>250</v>
      </c>
      <c r="SUE47" s="58" t="s">
        <v>247</v>
      </c>
      <c r="SUF47" s="58" t="s">
        <v>248</v>
      </c>
      <c r="SUG47" s="58" t="s">
        <v>249</v>
      </c>
      <c r="SUH47" s="58" t="s">
        <v>250</v>
      </c>
      <c r="SUI47" s="58" t="s">
        <v>247</v>
      </c>
      <c r="SUJ47" s="58" t="s">
        <v>248</v>
      </c>
      <c r="SUK47" s="58" t="s">
        <v>249</v>
      </c>
      <c r="SUL47" s="58" t="s">
        <v>250</v>
      </c>
      <c r="SUM47" s="58" t="s">
        <v>247</v>
      </c>
      <c r="SUN47" s="58" t="s">
        <v>248</v>
      </c>
      <c r="SUO47" s="58" t="s">
        <v>249</v>
      </c>
      <c r="SUP47" s="58" t="s">
        <v>250</v>
      </c>
      <c r="SUQ47" s="58" t="s">
        <v>247</v>
      </c>
      <c r="SUR47" s="58" t="s">
        <v>248</v>
      </c>
      <c r="SUS47" s="58" t="s">
        <v>249</v>
      </c>
      <c r="SUT47" s="58" t="s">
        <v>250</v>
      </c>
      <c r="SUU47" s="58" t="s">
        <v>247</v>
      </c>
      <c r="SUV47" s="58" t="s">
        <v>248</v>
      </c>
      <c r="SUW47" s="58" t="s">
        <v>249</v>
      </c>
      <c r="SUX47" s="58" t="s">
        <v>250</v>
      </c>
      <c r="SUY47" s="58" t="s">
        <v>247</v>
      </c>
      <c r="SUZ47" s="58" t="s">
        <v>248</v>
      </c>
      <c r="SVA47" s="58" t="s">
        <v>249</v>
      </c>
      <c r="SVB47" s="58" t="s">
        <v>250</v>
      </c>
      <c r="SVC47" s="58" t="s">
        <v>247</v>
      </c>
      <c r="SVD47" s="58" t="s">
        <v>248</v>
      </c>
      <c r="SVE47" s="58" t="s">
        <v>249</v>
      </c>
      <c r="SVF47" s="58" t="s">
        <v>250</v>
      </c>
      <c r="SVG47" s="58" t="s">
        <v>247</v>
      </c>
      <c r="SVH47" s="58" t="s">
        <v>248</v>
      </c>
      <c r="SVI47" s="58" t="s">
        <v>249</v>
      </c>
      <c r="SVJ47" s="58" t="s">
        <v>250</v>
      </c>
      <c r="SVK47" s="58" t="s">
        <v>247</v>
      </c>
      <c r="SVL47" s="58" t="s">
        <v>248</v>
      </c>
      <c r="SVM47" s="58" t="s">
        <v>249</v>
      </c>
      <c r="SVN47" s="58" t="s">
        <v>250</v>
      </c>
      <c r="SVO47" s="58" t="s">
        <v>247</v>
      </c>
      <c r="SVP47" s="58" t="s">
        <v>248</v>
      </c>
      <c r="SVQ47" s="58" t="s">
        <v>249</v>
      </c>
      <c r="SVR47" s="58" t="s">
        <v>250</v>
      </c>
      <c r="SVS47" s="58" t="s">
        <v>247</v>
      </c>
      <c r="SVT47" s="58" t="s">
        <v>248</v>
      </c>
      <c r="SVU47" s="58" t="s">
        <v>249</v>
      </c>
      <c r="SVV47" s="58" t="s">
        <v>250</v>
      </c>
      <c r="SVW47" s="58" t="s">
        <v>247</v>
      </c>
      <c r="SVX47" s="58" t="s">
        <v>248</v>
      </c>
      <c r="SVY47" s="58" t="s">
        <v>249</v>
      </c>
      <c r="SVZ47" s="58" t="s">
        <v>250</v>
      </c>
      <c r="SWA47" s="58" t="s">
        <v>247</v>
      </c>
      <c r="SWB47" s="58" t="s">
        <v>248</v>
      </c>
      <c r="SWC47" s="58" t="s">
        <v>249</v>
      </c>
      <c r="SWD47" s="58" t="s">
        <v>250</v>
      </c>
      <c r="SWE47" s="58" t="s">
        <v>247</v>
      </c>
      <c r="SWF47" s="58" t="s">
        <v>248</v>
      </c>
      <c r="SWG47" s="58" t="s">
        <v>249</v>
      </c>
      <c r="SWH47" s="58" t="s">
        <v>250</v>
      </c>
      <c r="SWI47" s="58" t="s">
        <v>247</v>
      </c>
      <c r="SWJ47" s="58" t="s">
        <v>248</v>
      </c>
      <c r="SWK47" s="58" t="s">
        <v>249</v>
      </c>
      <c r="SWL47" s="58" t="s">
        <v>250</v>
      </c>
      <c r="SWM47" s="58" t="s">
        <v>247</v>
      </c>
      <c r="SWN47" s="58" t="s">
        <v>248</v>
      </c>
      <c r="SWO47" s="58" t="s">
        <v>249</v>
      </c>
      <c r="SWP47" s="58" t="s">
        <v>250</v>
      </c>
      <c r="SWQ47" s="58" t="s">
        <v>247</v>
      </c>
      <c r="SWR47" s="58" t="s">
        <v>248</v>
      </c>
      <c r="SWS47" s="58" t="s">
        <v>249</v>
      </c>
      <c r="SWT47" s="58" t="s">
        <v>250</v>
      </c>
      <c r="SWU47" s="58" t="s">
        <v>247</v>
      </c>
      <c r="SWV47" s="58" t="s">
        <v>248</v>
      </c>
      <c r="SWW47" s="58" t="s">
        <v>249</v>
      </c>
      <c r="SWX47" s="58" t="s">
        <v>250</v>
      </c>
      <c r="SWY47" s="58" t="s">
        <v>247</v>
      </c>
      <c r="SWZ47" s="58" t="s">
        <v>248</v>
      </c>
      <c r="SXA47" s="58" t="s">
        <v>249</v>
      </c>
      <c r="SXB47" s="58" t="s">
        <v>250</v>
      </c>
      <c r="SXC47" s="58" t="s">
        <v>247</v>
      </c>
      <c r="SXD47" s="58" t="s">
        <v>248</v>
      </c>
      <c r="SXE47" s="58" t="s">
        <v>249</v>
      </c>
      <c r="SXF47" s="58" t="s">
        <v>250</v>
      </c>
      <c r="SXG47" s="58" t="s">
        <v>247</v>
      </c>
      <c r="SXH47" s="58" t="s">
        <v>248</v>
      </c>
      <c r="SXI47" s="58" t="s">
        <v>249</v>
      </c>
      <c r="SXJ47" s="58" t="s">
        <v>250</v>
      </c>
      <c r="SXK47" s="58" t="s">
        <v>247</v>
      </c>
      <c r="SXL47" s="58" t="s">
        <v>248</v>
      </c>
      <c r="SXM47" s="58" t="s">
        <v>249</v>
      </c>
      <c r="SXN47" s="58" t="s">
        <v>250</v>
      </c>
      <c r="SXO47" s="58" t="s">
        <v>247</v>
      </c>
      <c r="SXP47" s="58" t="s">
        <v>248</v>
      </c>
      <c r="SXQ47" s="58" t="s">
        <v>249</v>
      </c>
      <c r="SXR47" s="58" t="s">
        <v>250</v>
      </c>
      <c r="SXS47" s="58" t="s">
        <v>247</v>
      </c>
      <c r="SXT47" s="58" t="s">
        <v>248</v>
      </c>
      <c r="SXU47" s="58" t="s">
        <v>249</v>
      </c>
      <c r="SXV47" s="58" t="s">
        <v>250</v>
      </c>
      <c r="SXW47" s="58" t="s">
        <v>247</v>
      </c>
      <c r="SXX47" s="58" t="s">
        <v>248</v>
      </c>
      <c r="SXY47" s="58" t="s">
        <v>249</v>
      </c>
      <c r="SXZ47" s="58" t="s">
        <v>250</v>
      </c>
      <c r="SYA47" s="58" t="s">
        <v>247</v>
      </c>
      <c r="SYB47" s="58" t="s">
        <v>248</v>
      </c>
      <c r="SYC47" s="58" t="s">
        <v>249</v>
      </c>
      <c r="SYD47" s="58" t="s">
        <v>250</v>
      </c>
      <c r="SYE47" s="58" t="s">
        <v>247</v>
      </c>
      <c r="SYF47" s="58" t="s">
        <v>248</v>
      </c>
      <c r="SYG47" s="58" t="s">
        <v>249</v>
      </c>
      <c r="SYH47" s="58" t="s">
        <v>250</v>
      </c>
      <c r="SYI47" s="58" t="s">
        <v>247</v>
      </c>
      <c r="SYJ47" s="58" t="s">
        <v>248</v>
      </c>
      <c r="SYK47" s="58" t="s">
        <v>249</v>
      </c>
      <c r="SYL47" s="58" t="s">
        <v>250</v>
      </c>
      <c r="SYM47" s="58" t="s">
        <v>247</v>
      </c>
      <c r="SYN47" s="58" t="s">
        <v>248</v>
      </c>
      <c r="SYO47" s="58" t="s">
        <v>249</v>
      </c>
      <c r="SYP47" s="58" t="s">
        <v>250</v>
      </c>
      <c r="SYQ47" s="58" t="s">
        <v>247</v>
      </c>
      <c r="SYR47" s="58" t="s">
        <v>248</v>
      </c>
      <c r="SYS47" s="58" t="s">
        <v>249</v>
      </c>
      <c r="SYT47" s="58" t="s">
        <v>250</v>
      </c>
      <c r="SYU47" s="58" t="s">
        <v>247</v>
      </c>
      <c r="SYV47" s="58" t="s">
        <v>248</v>
      </c>
      <c r="SYW47" s="58" t="s">
        <v>249</v>
      </c>
      <c r="SYX47" s="58" t="s">
        <v>250</v>
      </c>
      <c r="SYY47" s="58" t="s">
        <v>247</v>
      </c>
      <c r="SYZ47" s="58" t="s">
        <v>248</v>
      </c>
      <c r="SZA47" s="58" t="s">
        <v>249</v>
      </c>
      <c r="SZB47" s="58" t="s">
        <v>250</v>
      </c>
      <c r="SZC47" s="58" t="s">
        <v>247</v>
      </c>
      <c r="SZD47" s="58" t="s">
        <v>248</v>
      </c>
      <c r="SZE47" s="58" t="s">
        <v>249</v>
      </c>
      <c r="SZF47" s="58" t="s">
        <v>250</v>
      </c>
      <c r="SZG47" s="58" t="s">
        <v>247</v>
      </c>
      <c r="SZH47" s="58" t="s">
        <v>248</v>
      </c>
      <c r="SZI47" s="58" t="s">
        <v>249</v>
      </c>
      <c r="SZJ47" s="58" t="s">
        <v>250</v>
      </c>
      <c r="SZK47" s="58" t="s">
        <v>247</v>
      </c>
      <c r="SZL47" s="58" t="s">
        <v>248</v>
      </c>
      <c r="SZM47" s="58" t="s">
        <v>249</v>
      </c>
      <c r="SZN47" s="58" t="s">
        <v>250</v>
      </c>
      <c r="SZO47" s="58" t="s">
        <v>247</v>
      </c>
      <c r="SZP47" s="58" t="s">
        <v>248</v>
      </c>
      <c r="SZQ47" s="58" t="s">
        <v>249</v>
      </c>
      <c r="SZR47" s="58" t="s">
        <v>250</v>
      </c>
      <c r="SZS47" s="58" t="s">
        <v>247</v>
      </c>
      <c r="SZT47" s="58" t="s">
        <v>248</v>
      </c>
      <c r="SZU47" s="58" t="s">
        <v>249</v>
      </c>
      <c r="SZV47" s="58" t="s">
        <v>250</v>
      </c>
      <c r="SZW47" s="58" t="s">
        <v>247</v>
      </c>
      <c r="SZX47" s="58" t="s">
        <v>248</v>
      </c>
      <c r="SZY47" s="58" t="s">
        <v>249</v>
      </c>
      <c r="SZZ47" s="58" t="s">
        <v>250</v>
      </c>
      <c r="TAA47" s="58" t="s">
        <v>247</v>
      </c>
      <c r="TAB47" s="58" t="s">
        <v>248</v>
      </c>
      <c r="TAC47" s="58" t="s">
        <v>249</v>
      </c>
      <c r="TAD47" s="58" t="s">
        <v>250</v>
      </c>
      <c r="TAE47" s="58" t="s">
        <v>247</v>
      </c>
      <c r="TAF47" s="58" t="s">
        <v>248</v>
      </c>
      <c r="TAG47" s="58" t="s">
        <v>249</v>
      </c>
      <c r="TAH47" s="58" t="s">
        <v>250</v>
      </c>
      <c r="TAI47" s="58" t="s">
        <v>247</v>
      </c>
      <c r="TAJ47" s="58" t="s">
        <v>248</v>
      </c>
      <c r="TAK47" s="58" t="s">
        <v>249</v>
      </c>
      <c r="TAL47" s="58" t="s">
        <v>250</v>
      </c>
      <c r="TAM47" s="58" t="s">
        <v>247</v>
      </c>
      <c r="TAN47" s="58" t="s">
        <v>248</v>
      </c>
      <c r="TAO47" s="58" t="s">
        <v>249</v>
      </c>
      <c r="TAP47" s="58" t="s">
        <v>250</v>
      </c>
      <c r="TAQ47" s="58" t="s">
        <v>247</v>
      </c>
      <c r="TAR47" s="58" t="s">
        <v>248</v>
      </c>
      <c r="TAS47" s="58" t="s">
        <v>249</v>
      </c>
      <c r="TAT47" s="58" t="s">
        <v>250</v>
      </c>
      <c r="TAU47" s="58" t="s">
        <v>247</v>
      </c>
      <c r="TAV47" s="58" t="s">
        <v>248</v>
      </c>
      <c r="TAW47" s="58" t="s">
        <v>249</v>
      </c>
      <c r="TAX47" s="58" t="s">
        <v>250</v>
      </c>
      <c r="TAY47" s="58" t="s">
        <v>247</v>
      </c>
      <c r="TAZ47" s="58" t="s">
        <v>248</v>
      </c>
      <c r="TBA47" s="58" t="s">
        <v>249</v>
      </c>
      <c r="TBB47" s="58" t="s">
        <v>250</v>
      </c>
      <c r="TBC47" s="58" t="s">
        <v>247</v>
      </c>
      <c r="TBD47" s="58" t="s">
        <v>248</v>
      </c>
      <c r="TBE47" s="58" t="s">
        <v>249</v>
      </c>
      <c r="TBF47" s="58" t="s">
        <v>250</v>
      </c>
      <c r="TBG47" s="58" t="s">
        <v>247</v>
      </c>
      <c r="TBH47" s="58" t="s">
        <v>248</v>
      </c>
      <c r="TBI47" s="58" t="s">
        <v>249</v>
      </c>
      <c r="TBJ47" s="58" t="s">
        <v>250</v>
      </c>
      <c r="TBK47" s="58" t="s">
        <v>247</v>
      </c>
      <c r="TBL47" s="58" t="s">
        <v>248</v>
      </c>
      <c r="TBM47" s="58" t="s">
        <v>249</v>
      </c>
      <c r="TBN47" s="58" t="s">
        <v>250</v>
      </c>
      <c r="TBO47" s="58" t="s">
        <v>247</v>
      </c>
      <c r="TBP47" s="58" t="s">
        <v>248</v>
      </c>
      <c r="TBQ47" s="58" t="s">
        <v>249</v>
      </c>
      <c r="TBR47" s="58" t="s">
        <v>250</v>
      </c>
      <c r="TBS47" s="58" t="s">
        <v>247</v>
      </c>
      <c r="TBT47" s="58" t="s">
        <v>248</v>
      </c>
      <c r="TBU47" s="58" t="s">
        <v>249</v>
      </c>
      <c r="TBV47" s="58" t="s">
        <v>250</v>
      </c>
      <c r="TBW47" s="58" t="s">
        <v>247</v>
      </c>
      <c r="TBX47" s="58" t="s">
        <v>248</v>
      </c>
      <c r="TBY47" s="58" t="s">
        <v>249</v>
      </c>
      <c r="TBZ47" s="58" t="s">
        <v>250</v>
      </c>
      <c r="TCA47" s="58" t="s">
        <v>247</v>
      </c>
      <c r="TCB47" s="58" t="s">
        <v>248</v>
      </c>
      <c r="TCC47" s="58" t="s">
        <v>249</v>
      </c>
      <c r="TCD47" s="58" t="s">
        <v>250</v>
      </c>
      <c r="TCE47" s="58" t="s">
        <v>247</v>
      </c>
      <c r="TCF47" s="58" t="s">
        <v>248</v>
      </c>
      <c r="TCG47" s="58" t="s">
        <v>249</v>
      </c>
      <c r="TCH47" s="58" t="s">
        <v>250</v>
      </c>
      <c r="TCI47" s="58" t="s">
        <v>247</v>
      </c>
      <c r="TCJ47" s="58" t="s">
        <v>248</v>
      </c>
      <c r="TCK47" s="58" t="s">
        <v>249</v>
      </c>
      <c r="TCL47" s="58" t="s">
        <v>250</v>
      </c>
      <c r="TCM47" s="58" t="s">
        <v>247</v>
      </c>
      <c r="TCN47" s="58" t="s">
        <v>248</v>
      </c>
      <c r="TCO47" s="58" t="s">
        <v>249</v>
      </c>
      <c r="TCP47" s="58" t="s">
        <v>250</v>
      </c>
      <c r="TCQ47" s="58" t="s">
        <v>247</v>
      </c>
      <c r="TCR47" s="58" t="s">
        <v>248</v>
      </c>
      <c r="TCS47" s="58" t="s">
        <v>249</v>
      </c>
      <c r="TCT47" s="58" t="s">
        <v>250</v>
      </c>
      <c r="TCU47" s="58" t="s">
        <v>247</v>
      </c>
      <c r="TCV47" s="58" t="s">
        <v>248</v>
      </c>
      <c r="TCW47" s="58" t="s">
        <v>249</v>
      </c>
      <c r="TCX47" s="58" t="s">
        <v>250</v>
      </c>
      <c r="TCY47" s="58" t="s">
        <v>247</v>
      </c>
      <c r="TCZ47" s="58" t="s">
        <v>248</v>
      </c>
      <c r="TDA47" s="58" t="s">
        <v>249</v>
      </c>
      <c r="TDB47" s="58" t="s">
        <v>250</v>
      </c>
      <c r="TDC47" s="58" t="s">
        <v>247</v>
      </c>
      <c r="TDD47" s="58" t="s">
        <v>248</v>
      </c>
      <c r="TDE47" s="58" t="s">
        <v>249</v>
      </c>
      <c r="TDF47" s="58" t="s">
        <v>250</v>
      </c>
      <c r="TDG47" s="58" t="s">
        <v>247</v>
      </c>
      <c r="TDH47" s="58" t="s">
        <v>248</v>
      </c>
      <c r="TDI47" s="58" t="s">
        <v>249</v>
      </c>
      <c r="TDJ47" s="58" t="s">
        <v>250</v>
      </c>
      <c r="TDK47" s="58" t="s">
        <v>247</v>
      </c>
      <c r="TDL47" s="58" t="s">
        <v>248</v>
      </c>
      <c r="TDM47" s="58" t="s">
        <v>249</v>
      </c>
      <c r="TDN47" s="58" t="s">
        <v>250</v>
      </c>
      <c r="TDO47" s="58" t="s">
        <v>247</v>
      </c>
      <c r="TDP47" s="58" t="s">
        <v>248</v>
      </c>
      <c r="TDQ47" s="58" t="s">
        <v>249</v>
      </c>
      <c r="TDR47" s="58" t="s">
        <v>250</v>
      </c>
      <c r="TDS47" s="58" t="s">
        <v>247</v>
      </c>
      <c r="TDT47" s="58" t="s">
        <v>248</v>
      </c>
      <c r="TDU47" s="58" t="s">
        <v>249</v>
      </c>
      <c r="TDV47" s="58" t="s">
        <v>250</v>
      </c>
      <c r="TDW47" s="58" t="s">
        <v>247</v>
      </c>
      <c r="TDX47" s="58" t="s">
        <v>248</v>
      </c>
      <c r="TDY47" s="58" t="s">
        <v>249</v>
      </c>
      <c r="TDZ47" s="58" t="s">
        <v>250</v>
      </c>
      <c r="TEA47" s="58" t="s">
        <v>247</v>
      </c>
      <c r="TEB47" s="58" t="s">
        <v>248</v>
      </c>
      <c r="TEC47" s="58" t="s">
        <v>249</v>
      </c>
      <c r="TED47" s="58" t="s">
        <v>250</v>
      </c>
      <c r="TEE47" s="58" t="s">
        <v>247</v>
      </c>
      <c r="TEF47" s="58" t="s">
        <v>248</v>
      </c>
      <c r="TEG47" s="58" t="s">
        <v>249</v>
      </c>
      <c r="TEH47" s="58" t="s">
        <v>250</v>
      </c>
      <c r="TEI47" s="58" t="s">
        <v>247</v>
      </c>
      <c r="TEJ47" s="58" t="s">
        <v>248</v>
      </c>
      <c r="TEK47" s="58" t="s">
        <v>249</v>
      </c>
      <c r="TEL47" s="58" t="s">
        <v>250</v>
      </c>
      <c r="TEM47" s="58" t="s">
        <v>247</v>
      </c>
      <c r="TEN47" s="58" t="s">
        <v>248</v>
      </c>
      <c r="TEO47" s="58" t="s">
        <v>249</v>
      </c>
      <c r="TEP47" s="58" t="s">
        <v>250</v>
      </c>
      <c r="TEQ47" s="58" t="s">
        <v>247</v>
      </c>
      <c r="TER47" s="58" t="s">
        <v>248</v>
      </c>
      <c r="TES47" s="58" t="s">
        <v>249</v>
      </c>
      <c r="TET47" s="58" t="s">
        <v>250</v>
      </c>
      <c r="TEU47" s="58" t="s">
        <v>247</v>
      </c>
      <c r="TEV47" s="58" t="s">
        <v>248</v>
      </c>
      <c r="TEW47" s="58" t="s">
        <v>249</v>
      </c>
      <c r="TEX47" s="58" t="s">
        <v>250</v>
      </c>
      <c r="TEY47" s="58" t="s">
        <v>247</v>
      </c>
      <c r="TEZ47" s="58" t="s">
        <v>248</v>
      </c>
      <c r="TFA47" s="58" t="s">
        <v>249</v>
      </c>
      <c r="TFB47" s="58" t="s">
        <v>250</v>
      </c>
      <c r="TFC47" s="58" t="s">
        <v>247</v>
      </c>
      <c r="TFD47" s="58" t="s">
        <v>248</v>
      </c>
      <c r="TFE47" s="58" t="s">
        <v>249</v>
      </c>
      <c r="TFF47" s="58" t="s">
        <v>250</v>
      </c>
      <c r="TFG47" s="58" t="s">
        <v>247</v>
      </c>
      <c r="TFH47" s="58" t="s">
        <v>248</v>
      </c>
      <c r="TFI47" s="58" t="s">
        <v>249</v>
      </c>
      <c r="TFJ47" s="58" t="s">
        <v>250</v>
      </c>
      <c r="TFK47" s="58" t="s">
        <v>247</v>
      </c>
      <c r="TFL47" s="58" t="s">
        <v>248</v>
      </c>
      <c r="TFM47" s="58" t="s">
        <v>249</v>
      </c>
      <c r="TFN47" s="58" t="s">
        <v>250</v>
      </c>
      <c r="TFO47" s="58" t="s">
        <v>247</v>
      </c>
      <c r="TFP47" s="58" t="s">
        <v>248</v>
      </c>
      <c r="TFQ47" s="58" t="s">
        <v>249</v>
      </c>
      <c r="TFR47" s="58" t="s">
        <v>250</v>
      </c>
      <c r="TFS47" s="58" t="s">
        <v>247</v>
      </c>
      <c r="TFT47" s="58" t="s">
        <v>248</v>
      </c>
      <c r="TFU47" s="58" t="s">
        <v>249</v>
      </c>
      <c r="TFV47" s="58" t="s">
        <v>250</v>
      </c>
      <c r="TFW47" s="58" t="s">
        <v>247</v>
      </c>
      <c r="TFX47" s="58" t="s">
        <v>248</v>
      </c>
      <c r="TFY47" s="58" t="s">
        <v>249</v>
      </c>
      <c r="TFZ47" s="58" t="s">
        <v>250</v>
      </c>
      <c r="TGA47" s="58" t="s">
        <v>247</v>
      </c>
      <c r="TGB47" s="58" t="s">
        <v>248</v>
      </c>
      <c r="TGC47" s="58" t="s">
        <v>249</v>
      </c>
      <c r="TGD47" s="58" t="s">
        <v>250</v>
      </c>
      <c r="TGE47" s="58" t="s">
        <v>247</v>
      </c>
      <c r="TGF47" s="58" t="s">
        <v>248</v>
      </c>
      <c r="TGG47" s="58" t="s">
        <v>249</v>
      </c>
      <c r="TGH47" s="58" t="s">
        <v>250</v>
      </c>
      <c r="TGI47" s="58" t="s">
        <v>247</v>
      </c>
      <c r="TGJ47" s="58" t="s">
        <v>248</v>
      </c>
      <c r="TGK47" s="58" t="s">
        <v>249</v>
      </c>
      <c r="TGL47" s="58" t="s">
        <v>250</v>
      </c>
      <c r="TGM47" s="58" t="s">
        <v>247</v>
      </c>
      <c r="TGN47" s="58" t="s">
        <v>248</v>
      </c>
      <c r="TGO47" s="58" t="s">
        <v>249</v>
      </c>
      <c r="TGP47" s="58" t="s">
        <v>250</v>
      </c>
      <c r="TGQ47" s="58" t="s">
        <v>247</v>
      </c>
      <c r="TGR47" s="58" t="s">
        <v>248</v>
      </c>
      <c r="TGS47" s="58" t="s">
        <v>249</v>
      </c>
      <c r="TGT47" s="58" t="s">
        <v>250</v>
      </c>
      <c r="TGU47" s="58" t="s">
        <v>247</v>
      </c>
      <c r="TGV47" s="58" t="s">
        <v>248</v>
      </c>
      <c r="TGW47" s="58" t="s">
        <v>249</v>
      </c>
      <c r="TGX47" s="58" t="s">
        <v>250</v>
      </c>
      <c r="TGY47" s="58" t="s">
        <v>247</v>
      </c>
      <c r="TGZ47" s="58" t="s">
        <v>248</v>
      </c>
      <c r="THA47" s="58" t="s">
        <v>249</v>
      </c>
      <c r="THB47" s="58" t="s">
        <v>250</v>
      </c>
      <c r="THC47" s="58" t="s">
        <v>247</v>
      </c>
      <c r="THD47" s="58" t="s">
        <v>248</v>
      </c>
      <c r="THE47" s="58" t="s">
        <v>249</v>
      </c>
      <c r="THF47" s="58" t="s">
        <v>250</v>
      </c>
      <c r="THG47" s="58" t="s">
        <v>247</v>
      </c>
      <c r="THH47" s="58" t="s">
        <v>248</v>
      </c>
      <c r="THI47" s="58" t="s">
        <v>249</v>
      </c>
      <c r="THJ47" s="58" t="s">
        <v>250</v>
      </c>
      <c r="THK47" s="58" t="s">
        <v>247</v>
      </c>
      <c r="THL47" s="58" t="s">
        <v>248</v>
      </c>
      <c r="THM47" s="58" t="s">
        <v>249</v>
      </c>
      <c r="THN47" s="58" t="s">
        <v>250</v>
      </c>
      <c r="THO47" s="58" t="s">
        <v>247</v>
      </c>
      <c r="THP47" s="58" t="s">
        <v>248</v>
      </c>
      <c r="THQ47" s="58" t="s">
        <v>249</v>
      </c>
      <c r="THR47" s="58" t="s">
        <v>250</v>
      </c>
      <c r="THS47" s="58" t="s">
        <v>247</v>
      </c>
      <c r="THT47" s="58" t="s">
        <v>248</v>
      </c>
      <c r="THU47" s="58" t="s">
        <v>249</v>
      </c>
      <c r="THV47" s="58" t="s">
        <v>250</v>
      </c>
      <c r="THW47" s="58" t="s">
        <v>247</v>
      </c>
      <c r="THX47" s="58" t="s">
        <v>248</v>
      </c>
      <c r="THY47" s="58" t="s">
        <v>249</v>
      </c>
      <c r="THZ47" s="58" t="s">
        <v>250</v>
      </c>
      <c r="TIA47" s="58" t="s">
        <v>247</v>
      </c>
      <c r="TIB47" s="58" t="s">
        <v>248</v>
      </c>
      <c r="TIC47" s="58" t="s">
        <v>249</v>
      </c>
      <c r="TID47" s="58" t="s">
        <v>250</v>
      </c>
      <c r="TIE47" s="58" t="s">
        <v>247</v>
      </c>
      <c r="TIF47" s="58" t="s">
        <v>248</v>
      </c>
      <c r="TIG47" s="58" t="s">
        <v>249</v>
      </c>
      <c r="TIH47" s="58" t="s">
        <v>250</v>
      </c>
      <c r="TII47" s="58" t="s">
        <v>247</v>
      </c>
      <c r="TIJ47" s="58" t="s">
        <v>248</v>
      </c>
      <c r="TIK47" s="58" t="s">
        <v>249</v>
      </c>
      <c r="TIL47" s="58" t="s">
        <v>250</v>
      </c>
      <c r="TIM47" s="58" t="s">
        <v>247</v>
      </c>
      <c r="TIN47" s="58" t="s">
        <v>248</v>
      </c>
      <c r="TIO47" s="58" t="s">
        <v>249</v>
      </c>
      <c r="TIP47" s="58" t="s">
        <v>250</v>
      </c>
      <c r="TIQ47" s="58" t="s">
        <v>247</v>
      </c>
      <c r="TIR47" s="58" t="s">
        <v>248</v>
      </c>
      <c r="TIS47" s="58" t="s">
        <v>249</v>
      </c>
      <c r="TIT47" s="58" t="s">
        <v>250</v>
      </c>
      <c r="TIU47" s="58" t="s">
        <v>247</v>
      </c>
      <c r="TIV47" s="58" t="s">
        <v>248</v>
      </c>
      <c r="TIW47" s="58" t="s">
        <v>249</v>
      </c>
      <c r="TIX47" s="58" t="s">
        <v>250</v>
      </c>
      <c r="TIY47" s="58" t="s">
        <v>247</v>
      </c>
      <c r="TIZ47" s="58" t="s">
        <v>248</v>
      </c>
      <c r="TJA47" s="58" t="s">
        <v>249</v>
      </c>
      <c r="TJB47" s="58" t="s">
        <v>250</v>
      </c>
      <c r="TJC47" s="58" t="s">
        <v>247</v>
      </c>
      <c r="TJD47" s="58" t="s">
        <v>248</v>
      </c>
      <c r="TJE47" s="58" t="s">
        <v>249</v>
      </c>
      <c r="TJF47" s="58" t="s">
        <v>250</v>
      </c>
      <c r="TJG47" s="58" t="s">
        <v>247</v>
      </c>
      <c r="TJH47" s="58" t="s">
        <v>248</v>
      </c>
      <c r="TJI47" s="58" t="s">
        <v>249</v>
      </c>
      <c r="TJJ47" s="58" t="s">
        <v>250</v>
      </c>
      <c r="TJK47" s="58" t="s">
        <v>247</v>
      </c>
      <c r="TJL47" s="58" t="s">
        <v>248</v>
      </c>
      <c r="TJM47" s="58" t="s">
        <v>249</v>
      </c>
      <c r="TJN47" s="58" t="s">
        <v>250</v>
      </c>
      <c r="TJO47" s="58" t="s">
        <v>247</v>
      </c>
      <c r="TJP47" s="58" t="s">
        <v>248</v>
      </c>
      <c r="TJQ47" s="58" t="s">
        <v>249</v>
      </c>
      <c r="TJR47" s="58" t="s">
        <v>250</v>
      </c>
      <c r="TJS47" s="58" t="s">
        <v>247</v>
      </c>
      <c r="TJT47" s="58" t="s">
        <v>248</v>
      </c>
      <c r="TJU47" s="58" t="s">
        <v>249</v>
      </c>
      <c r="TJV47" s="58" t="s">
        <v>250</v>
      </c>
      <c r="TJW47" s="58" t="s">
        <v>247</v>
      </c>
      <c r="TJX47" s="58" t="s">
        <v>248</v>
      </c>
      <c r="TJY47" s="58" t="s">
        <v>249</v>
      </c>
      <c r="TJZ47" s="58" t="s">
        <v>250</v>
      </c>
      <c r="TKA47" s="58" t="s">
        <v>247</v>
      </c>
      <c r="TKB47" s="58" t="s">
        <v>248</v>
      </c>
      <c r="TKC47" s="58" t="s">
        <v>249</v>
      </c>
      <c r="TKD47" s="58" t="s">
        <v>250</v>
      </c>
      <c r="TKE47" s="58" t="s">
        <v>247</v>
      </c>
      <c r="TKF47" s="58" t="s">
        <v>248</v>
      </c>
      <c r="TKG47" s="58" t="s">
        <v>249</v>
      </c>
      <c r="TKH47" s="58" t="s">
        <v>250</v>
      </c>
      <c r="TKI47" s="58" t="s">
        <v>247</v>
      </c>
      <c r="TKJ47" s="58" t="s">
        <v>248</v>
      </c>
      <c r="TKK47" s="58" t="s">
        <v>249</v>
      </c>
      <c r="TKL47" s="58" t="s">
        <v>250</v>
      </c>
      <c r="TKM47" s="58" t="s">
        <v>247</v>
      </c>
      <c r="TKN47" s="58" t="s">
        <v>248</v>
      </c>
      <c r="TKO47" s="58" t="s">
        <v>249</v>
      </c>
      <c r="TKP47" s="58" t="s">
        <v>250</v>
      </c>
      <c r="TKQ47" s="58" t="s">
        <v>247</v>
      </c>
      <c r="TKR47" s="58" t="s">
        <v>248</v>
      </c>
      <c r="TKS47" s="58" t="s">
        <v>249</v>
      </c>
      <c r="TKT47" s="58" t="s">
        <v>250</v>
      </c>
      <c r="TKU47" s="58" t="s">
        <v>247</v>
      </c>
      <c r="TKV47" s="58" t="s">
        <v>248</v>
      </c>
      <c r="TKW47" s="58" t="s">
        <v>249</v>
      </c>
      <c r="TKX47" s="58" t="s">
        <v>250</v>
      </c>
      <c r="TKY47" s="58" t="s">
        <v>247</v>
      </c>
      <c r="TKZ47" s="58" t="s">
        <v>248</v>
      </c>
      <c r="TLA47" s="58" t="s">
        <v>249</v>
      </c>
      <c r="TLB47" s="58" t="s">
        <v>250</v>
      </c>
      <c r="TLC47" s="58" t="s">
        <v>247</v>
      </c>
      <c r="TLD47" s="58" t="s">
        <v>248</v>
      </c>
      <c r="TLE47" s="58" t="s">
        <v>249</v>
      </c>
      <c r="TLF47" s="58" t="s">
        <v>250</v>
      </c>
      <c r="TLG47" s="58" t="s">
        <v>247</v>
      </c>
      <c r="TLH47" s="58" t="s">
        <v>248</v>
      </c>
      <c r="TLI47" s="58" t="s">
        <v>249</v>
      </c>
      <c r="TLJ47" s="58" t="s">
        <v>250</v>
      </c>
      <c r="TLK47" s="58" t="s">
        <v>247</v>
      </c>
      <c r="TLL47" s="58" t="s">
        <v>248</v>
      </c>
      <c r="TLM47" s="58" t="s">
        <v>249</v>
      </c>
      <c r="TLN47" s="58" t="s">
        <v>250</v>
      </c>
      <c r="TLO47" s="58" t="s">
        <v>247</v>
      </c>
      <c r="TLP47" s="58" t="s">
        <v>248</v>
      </c>
      <c r="TLQ47" s="58" t="s">
        <v>249</v>
      </c>
      <c r="TLR47" s="58" t="s">
        <v>250</v>
      </c>
      <c r="TLS47" s="58" t="s">
        <v>247</v>
      </c>
      <c r="TLT47" s="58" t="s">
        <v>248</v>
      </c>
      <c r="TLU47" s="58" t="s">
        <v>249</v>
      </c>
      <c r="TLV47" s="58" t="s">
        <v>250</v>
      </c>
      <c r="TLW47" s="58" t="s">
        <v>247</v>
      </c>
      <c r="TLX47" s="58" t="s">
        <v>248</v>
      </c>
      <c r="TLY47" s="58" t="s">
        <v>249</v>
      </c>
      <c r="TLZ47" s="58" t="s">
        <v>250</v>
      </c>
      <c r="TMA47" s="58" t="s">
        <v>247</v>
      </c>
      <c r="TMB47" s="58" t="s">
        <v>248</v>
      </c>
      <c r="TMC47" s="58" t="s">
        <v>249</v>
      </c>
      <c r="TMD47" s="58" t="s">
        <v>250</v>
      </c>
      <c r="TME47" s="58" t="s">
        <v>247</v>
      </c>
      <c r="TMF47" s="58" t="s">
        <v>248</v>
      </c>
      <c r="TMG47" s="58" t="s">
        <v>249</v>
      </c>
      <c r="TMH47" s="58" t="s">
        <v>250</v>
      </c>
      <c r="TMI47" s="58" t="s">
        <v>247</v>
      </c>
      <c r="TMJ47" s="58" t="s">
        <v>248</v>
      </c>
      <c r="TMK47" s="58" t="s">
        <v>249</v>
      </c>
      <c r="TML47" s="58" t="s">
        <v>250</v>
      </c>
      <c r="TMM47" s="58" t="s">
        <v>247</v>
      </c>
      <c r="TMN47" s="58" t="s">
        <v>248</v>
      </c>
      <c r="TMO47" s="58" t="s">
        <v>249</v>
      </c>
      <c r="TMP47" s="58" t="s">
        <v>250</v>
      </c>
      <c r="TMQ47" s="58" t="s">
        <v>247</v>
      </c>
      <c r="TMR47" s="58" t="s">
        <v>248</v>
      </c>
      <c r="TMS47" s="58" t="s">
        <v>249</v>
      </c>
      <c r="TMT47" s="58" t="s">
        <v>250</v>
      </c>
      <c r="TMU47" s="58" t="s">
        <v>247</v>
      </c>
      <c r="TMV47" s="58" t="s">
        <v>248</v>
      </c>
      <c r="TMW47" s="58" t="s">
        <v>249</v>
      </c>
      <c r="TMX47" s="58" t="s">
        <v>250</v>
      </c>
      <c r="TMY47" s="58" t="s">
        <v>247</v>
      </c>
      <c r="TMZ47" s="58" t="s">
        <v>248</v>
      </c>
      <c r="TNA47" s="58" t="s">
        <v>249</v>
      </c>
      <c r="TNB47" s="58" t="s">
        <v>250</v>
      </c>
      <c r="TNC47" s="58" t="s">
        <v>247</v>
      </c>
      <c r="TND47" s="58" t="s">
        <v>248</v>
      </c>
      <c r="TNE47" s="58" t="s">
        <v>249</v>
      </c>
      <c r="TNF47" s="58" t="s">
        <v>250</v>
      </c>
      <c r="TNG47" s="58" t="s">
        <v>247</v>
      </c>
      <c r="TNH47" s="58" t="s">
        <v>248</v>
      </c>
      <c r="TNI47" s="58" t="s">
        <v>249</v>
      </c>
      <c r="TNJ47" s="58" t="s">
        <v>250</v>
      </c>
      <c r="TNK47" s="58" t="s">
        <v>247</v>
      </c>
      <c r="TNL47" s="58" t="s">
        <v>248</v>
      </c>
      <c r="TNM47" s="58" t="s">
        <v>249</v>
      </c>
      <c r="TNN47" s="58" t="s">
        <v>250</v>
      </c>
      <c r="TNO47" s="58" t="s">
        <v>247</v>
      </c>
      <c r="TNP47" s="58" t="s">
        <v>248</v>
      </c>
      <c r="TNQ47" s="58" t="s">
        <v>249</v>
      </c>
      <c r="TNR47" s="58" t="s">
        <v>250</v>
      </c>
      <c r="TNS47" s="58" t="s">
        <v>247</v>
      </c>
      <c r="TNT47" s="58" t="s">
        <v>248</v>
      </c>
      <c r="TNU47" s="58" t="s">
        <v>249</v>
      </c>
      <c r="TNV47" s="58" t="s">
        <v>250</v>
      </c>
      <c r="TNW47" s="58" t="s">
        <v>247</v>
      </c>
      <c r="TNX47" s="58" t="s">
        <v>248</v>
      </c>
      <c r="TNY47" s="58" t="s">
        <v>249</v>
      </c>
      <c r="TNZ47" s="58" t="s">
        <v>250</v>
      </c>
      <c r="TOA47" s="58" t="s">
        <v>247</v>
      </c>
      <c r="TOB47" s="58" t="s">
        <v>248</v>
      </c>
      <c r="TOC47" s="58" t="s">
        <v>249</v>
      </c>
      <c r="TOD47" s="58" t="s">
        <v>250</v>
      </c>
      <c r="TOE47" s="58" t="s">
        <v>247</v>
      </c>
      <c r="TOF47" s="58" t="s">
        <v>248</v>
      </c>
      <c r="TOG47" s="58" t="s">
        <v>249</v>
      </c>
      <c r="TOH47" s="58" t="s">
        <v>250</v>
      </c>
      <c r="TOI47" s="58" t="s">
        <v>247</v>
      </c>
      <c r="TOJ47" s="58" t="s">
        <v>248</v>
      </c>
      <c r="TOK47" s="58" t="s">
        <v>249</v>
      </c>
      <c r="TOL47" s="58" t="s">
        <v>250</v>
      </c>
      <c r="TOM47" s="58" t="s">
        <v>247</v>
      </c>
      <c r="TON47" s="58" t="s">
        <v>248</v>
      </c>
      <c r="TOO47" s="58" t="s">
        <v>249</v>
      </c>
      <c r="TOP47" s="58" t="s">
        <v>250</v>
      </c>
      <c r="TOQ47" s="58" t="s">
        <v>247</v>
      </c>
      <c r="TOR47" s="58" t="s">
        <v>248</v>
      </c>
      <c r="TOS47" s="58" t="s">
        <v>249</v>
      </c>
      <c r="TOT47" s="58" t="s">
        <v>250</v>
      </c>
      <c r="TOU47" s="58" t="s">
        <v>247</v>
      </c>
      <c r="TOV47" s="58" t="s">
        <v>248</v>
      </c>
      <c r="TOW47" s="58" t="s">
        <v>249</v>
      </c>
      <c r="TOX47" s="58" t="s">
        <v>250</v>
      </c>
      <c r="TOY47" s="58" t="s">
        <v>247</v>
      </c>
      <c r="TOZ47" s="58" t="s">
        <v>248</v>
      </c>
      <c r="TPA47" s="58" t="s">
        <v>249</v>
      </c>
      <c r="TPB47" s="58" t="s">
        <v>250</v>
      </c>
      <c r="TPC47" s="58" t="s">
        <v>247</v>
      </c>
      <c r="TPD47" s="58" t="s">
        <v>248</v>
      </c>
      <c r="TPE47" s="58" t="s">
        <v>249</v>
      </c>
      <c r="TPF47" s="58" t="s">
        <v>250</v>
      </c>
      <c r="TPG47" s="58" t="s">
        <v>247</v>
      </c>
      <c r="TPH47" s="58" t="s">
        <v>248</v>
      </c>
      <c r="TPI47" s="58" t="s">
        <v>249</v>
      </c>
      <c r="TPJ47" s="58" t="s">
        <v>250</v>
      </c>
      <c r="TPK47" s="58" t="s">
        <v>247</v>
      </c>
      <c r="TPL47" s="58" t="s">
        <v>248</v>
      </c>
      <c r="TPM47" s="58" t="s">
        <v>249</v>
      </c>
      <c r="TPN47" s="58" t="s">
        <v>250</v>
      </c>
      <c r="TPO47" s="58" t="s">
        <v>247</v>
      </c>
      <c r="TPP47" s="58" t="s">
        <v>248</v>
      </c>
      <c r="TPQ47" s="58" t="s">
        <v>249</v>
      </c>
      <c r="TPR47" s="58" t="s">
        <v>250</v>
      </c>
      <c r="TPS47" s="58" t="s">
        <v>247</v>
      </c>
      <c r="TPT47" s="58" t="s">
        <v>248</v>
      </c>
      <c r="TPU47" s="58" t="s">
        <v>249</v>
      </c>
      <c r="TPV47" s="58" t="s">
        <v>250</v>
      </c>
      <c r="TPW47" s="58" t="s">
        <v>247</v>
      </c>
      <c r="TPX47" s="58" t="s">
        <v>248</v>
      </c>
      <c r="TPY47" s="58" t="s">
        <v>249</v>
      </c>
      <c r="TPZ47" s="58" t="s">
        <v>250</v>
      </c>
      <c r="TQA47" s="58" t="s">
        <v>247</v>
      </c>
      <c r="TQB47" s="58" t="s">
        <v>248</v>
      </c>
      <c r="TQC47" s="58" t="s">
        <v>249</v>
      </c>
      <c r="TQD47" s="58" t="s">
        <v>250</v>
      </c>
      <c r="TQE47" s="58" t="s">
        <v>247</v>
      </c>
      <c r="TQF47" s="58" t="s">
        <v>248</v>
      </c>
      <c r="TQG47" s="58" t="s">
        <v>249</v>
      </c>
      <c r="TQH47" s="58" t="s">
        <v>250</v>
      </c>
      <c r="TQI47" s="58" t="s">
        <v>247</v>
      </c>
      <c r="TQJ47" s="58" t="s">
        <v>248</v>
      </c>
      <c r="TQK47" s="58" t="s">
        <v>249</v>
      </c>
      <c r="TQL47" s="58" t="s">
        <v>250</v>
      </c>
      <c r="TQM47" s="58" t="s">
        <v>247</v>
      </c>
      <c r="TQN47" s="58" t="s">
        <v>248</v>
      </c>
      <c r="TQO47" s="58" t="s">
        <v>249</v>
      </c>
      <c r="TQP47" s="58" t="s">
        <v>250</v>
      </c>
      <c r="TQQ47" s="58" t="s">
        <v>247</v>
      </c>
      <c r="TQR47" s="58" t="s">
        <v>248</v>
      </c>
      <c r="TQS47" s="58" t="s">
        <v>249</v>
      </c>
      <c r="TQT47" s="58" t="s">
        <v>250</v>
      </c>
      <c r="TQU47" s="58" t="s">
        <v>247</v>
      </c>
      <c r="TQV47" s="58" t="s">
        <v>248</v>
      </c>
      <c r="TQW47" s="58" t="s">
        <v>249</v>
      </c>
      <c r="TQX47" s="58" t="s">
        <v>250</v>
      </c>
      <c r="TQY47" s="58" t="s">
        <v>247</v>
      </c>
      <c r="TQZ47" s="58" t="s">
        <v>248</v>
      </c>
      <c r="TRA47" s="58" t="s">
        <v>249</v>
      </c>
      <c r="TRB47" s="58" t="s">
        <v>250</v>
      </c>
      <c r="TRC47" s="58" t="s">
        <v>247</v>
      </c>
      <c r="TRD47" s="58" t="s">
        <v>248</v>
      </c>
      <c r="TRE47" s="58" t="s">
        <v>249</v>
      </c>
      <c r="TRF47" s="58" t="s">
        <v>250</v>
      </c>
      <c r="TRG47" s="58" t="s">
        <v>247</v>
      </c>
      <c r="TRH47" s="58" t="s">
        <v>248</v>
      </c>
      <c r="TRI47" s="58" t="s">
        <v>249</v>
      </c>
      <c r="TRJ47" s="58" t="s">
        <v>250</v>
      </c>
      <c r="TRK47" s="58" t="s">
        <v>247</v>
      </c>
      <c r="TRL47" s="58" t="s">
        <v>248</v>
      </c>
      <c r="TRM47" s="58" t="s">
        <v>249</v>
      </c>
      <c r="TRN47" s="58" t="s">
        <v>250</v>
      </c>
      <c r="TRO47" s="58" t="s">
        <v>247</v>
      </c>
      <c r="TRP47" s="58" t="s">
        <v>248</v>
      </c>
      <c r="TRQ47" s="58" t="s">
        <v>249</v>
      </c>
      <c r="TRR47" s="58" t="s">
        <v>250</v>
      </c>
      <c r="TRS47" s="58" t="s">
        <v>247</v>
      </c>
      <c r="TRT47" s="58" t="s">
        <v>248</v>
      </c>
      <c r="TRU47" s="58" t="s">
        <v>249</v>
      </c>
      <c r="TRV47" s="58" t="s">
        <v>250</v>
      </c>
      <c r="TRW47" s="58" t="s">
        <v>247</v>
      </c>
      <c r="TRX47" s="58" t="s">
        <v>248</v>
      </c>
      <c r="TRY47" s="58" t="s">
        <v>249</v>
      </c>
      <c r="TRZ47" s="58" t="s">
        <v>250</v>
      </c>
      <c r="TSA47" s="58" t="s">
        <v>247</v>
      </c>
      <c r="TSB47" s="58" t="s">
        <v>248</v>
      </c>
      <c r="TSC47" s="58" t="s">
        <v>249</v>
      </c>
      <c r="TSD47" s="58" t="s">
        <v>250</v>
      </c>
      <c r="TSE47" s="58" t="s">
        <v>247</v>
      </c>
      <c r="TSF47" s="58" t="s">
        <v>248</v>
      </c>
      <c r="TSG47" s="58" t="s">
        <v>249</v>
      </c>
      <c r="TSH47" s="58" t="s">
        <v>250</v>
      </c>
      <c r="TSI47" s="58" t="s">
        <v>247</v>
      </c>
      <c r="TSJ47" s="58" t="s">
        <v>248</v>
      </c>
      <c r="TSK47" s="58" t="s">
        <v>249</v>
      </c>
      <c r="TSL47" s="58" t="s">
        <v>250</v>
      </c>
      <c r="TSM47" s="58" t="s">
        <v>247</v>
      </c>
      <c r="TSN47" s="58" t="s">
        <v>248</v>
      </c>
      <c r="TSO47" s="58" t="s">
        <v>249</v>
      </c>
      <c r="TSP47" s="58" t="s">
        <v>250</v>
      </c>
      <c r="TSQ47" s="58" t="s">
        <v>247</v>
      </c>
      <c r="TSR47" s="58" t="s">
        <v>248</v>
      </c>
      <c r="TSS47" s="58" t="s">
        <v>249</v>
      </c>
      <c r="TST47" s="58" t="s">
        <v>250</v>
      </c>
      <c r="TSU47" s="58" t="s">
        <v>247</v>
      </c>
      <c r="TSV47" s="58" t="s">
        <v>248</v>
      </c>
      <c r="TSW47" s="58" t="s">
        <v>249</v>
      </c>
      <c r="TSX47" s="58" t="s">
        <v>250</v>
      </c>
      <c r="TSY47" s="58" t="s">
        <v>247</v>
      </c>
      <c r="TSZ47" s="58" t="s">
        <v>248</v>
      </c>
      <c r="TTA47" s="58" t="s">
        <v>249</v>
      </c>
      <c r="TTB47" s="58" t="s">
        <v>250</v>
      </c>
      <c r="TTC47" s="58" t="s">
        <v>247</v>
      </c>
      <c r="TTD47" s="58" t="s">
        <v>248</v>
      </c>
      <c r="TTE47" s="58" t="s">
        <v>249</v>
      </c>
      <c r="TTF47" s="58" t="s">
        <v>250</v>
      </c>
      <c r="TTG47" s="58" t="s">
        <v>247</v>
      </c>
      <c r="TTH47" s="58" t="s">
        <v>248</v>
      </c>
      <c r="TTI47" s="58" t="s">
        <v>249</v>
      </c>
      <c r="TTJ47" s="58" t="s">
        <v>250</v>
      </c>
      <c r="TTK47" s="58" t="s">
        <v>247</v>
      </c>
      <c r="TTL47" s="58" t="s">
        <v>248</v>
      </c>
      <c r="TTM47" s="58" t="s">
        <v>249</v>
      </c>
      <c r="TTN47" s="58" t="s">
        <v>250</v>
      </c>
      <c r="TTO47" s="58" t="s">
        <v>247</v>
      </c>
      <c r="TTP47" s="58" t="s">
        <v>248</v>
      </c>
      <c r="TTQ47" s="58" t="s">
        <v>249</v>
      </c>
      <c r="TTR47" s="58" t="s">
        <v>250</v>
      </c>
      <c r="TTS47" s="58" t="s">
        <v>247</v>
      </c>
      <c r="TTT47" s="58" t="s">
        <v>248</v>
      </c>
      <c r="TTU47" s="58" t="s">
        <v>249</v>
      </c>
      <c r="TTV47" s="58" t="s">
        <v>250</v>
      </c>
      <c r="TTW47" s="58" t="s">
        <v>247</v>
      </c>
      <c r="TTX47" s="58" t="s">
        <v>248</v>
      </c>
      <c r="TTY47" s="58" t="s">
        <v>249</v>
      </c>
      <c r="TTZ47" s="58" t="s">
        <v>250</v>
      </c>
      <c r="TUA47" s="58" t="s">
        <v>247</v>
      </c>
      <c r="TUB47" s="58" t="s">
        <v>248</v>
      </c>
      <c r="TUC47" s="58" t="s">
        <v>249</v>
      </c>
      <c r="TUD47" s="58" t="s">
        <v>250</v>
      </c>
      <c r="TUE47" s="58" t="s">
        <v>247</v>
      </c>
      <c r="TUF47" s="58" t="s">
        <v>248</v>
      </c>
      <c r="TUG47" s="58" t="s">
        <v>249</v>
      </c>
      <c r="TUH47" s="58" t="s">
        <v>250</v>
      </c>
      <c r="TUI47" s="58" t="s">
        <v>247</v>
      </c>
      <c r="TUJ47" s="58" t="s">
        <v>248</v>
      </c>
      <c r="TUK47" s="58" t="s">
        <v>249</v>
      </c>
      <c r="TUL47" s="58" t="s">
        <v>250</v>
      </c>
      <c r="TUM47" s="58" t="s">
        <v>247</v>
      </c>
      <c r="TUN47" s="58" t="s">
        <v>248</v>
      </c>
      <c r="TUO47" s="58" t="s">
        <v>249</v>
      </c>
      <c r="TUP47" s="58" t="s">
        <v>250</v>
      </c>
      <c r="TUQ47" s="58" t="s">
        <v>247</v>
      </c>
      <c r="TUR47" s="58" t="s">
        <v>248</v>
      </c>
      <c r="TUS47" s="58" t="s">
        <v>249</v>
      </c>
      <c r="TUT47" s="58" t="s">
        <v>250</v>
      </c>
      <c r="TUU47" s="58" t="s">
        <v>247</v>
      </c>
      <c r="TUV47" s="58" t="s">
        <v>248</v>
      </c>
      <c r="TUW47" s="58" t="s">
        <v>249</v>
      </c>
      <c r="TUX47" s="58" t="s">
        <v>250</v>
      </c>
      <c r="TUY47" s="58" t="s">
        <v>247</v>
      </c>
      <c r="TUZ47" s="58" t="s">
        <v>248</v>
      </c>
      <c r="TVA47" s="58" t="s">
        <v>249</v>
      </c>
      <c r="TVB47" s="58" t="s">
        <v>250</v>
      </c>
      <c r="TVC47" s="58" t="s">
        <v>247</v>
      </c>
      <c r="TVD47" s="58" t="s">
        <v>248</v>
      </c>
      <c r="TVE47" s="58" t="s">
        <v>249</v>
      </c>
      <c r="TVF47" s="58" t="s">
        <v>250</v>
      </c>
      <c r="TVG47" s="58" t="s">
        <v>247</v>
      </c>
      <c r="TVH47" s="58" t="s">
        <v>248</v>
      </c>
      <c r="TVI47" s="58" t="s">
        <v>249</v>
      </c>
      <c r="TVJ47" s="58" t="s">
        <v>250</v>
      </c>
      <c r="TVK47" s="58" t="s">
        <v>247</v>
      </c>
      <c r="TVL47" s="58" t="s">
        <v>248</v>
      </c>
      <c r="TVM47" s="58" t="s">
        <v>249</v>
      </c>
      <c r="TVN47" s="58" t="s">
        <v>250</v>
      </c>
      <c r="TVO47" s="58" t="s">
        <v>247</v>
      </c>
      <c r="TVP47" s="58" t="s">
        <v>248</v>
      </c>
      <c r="TVQ47" s="58" t="s">
        <v>249</v>
      </c>
      <c r="TVR47" s="58" t="s">
        <v>250</v>
      </c>
      <c r="TVS47" s="58" t="s">
        <v>247</v>
      </c>
      <c r="TVT47" s="58" t="s">
        <v>248</v>
      </c>
      <c r="TVU47" s="58" t="s">
        <v>249</v>
      </c>
      <c r="TVV47" s="58" t="s">
        <v>250</v>
      </c>
      <c r="TVW47" s="58" t="s">
        <v>247</v>
      </c>
      <c r="TVX47" s="58" t="s">
        <v>248</v>
      </c>
      <c r="TVY47" s="58" t="s">
        <v>249</v>
      </c>
      <c r="TVZ47" s="58" t="s">
        <v>250</v>
      </c>
      <c r="TWA47" s="58" t="s">
        <v>247</v>
      </c>
      <c r="TWB47" s="58" t="s">
        <v>248</v>
      </c>
      <c r="TWC47" s="58" t="s">
        <v>249</v>
      </c>
      <c r="TWD47" s="58" t="s">
        <v>250</v>
      </c>
      <c r="TWE47" s="58" t="s">
        <v>247</v>
      </c>
      <c r="TWF47" s="58" t="s">
        <v>248</v>
      </c>
      <c r="TWG47" s="58" t="s">
        <v>249</v>
      </c>
      <c r="TWH47" s="58" t="s">
        <v>250</v>
      </c>
      <c r="TWI47" s="58" t="s">
        <v>247</v>
      </c>
      <c r="TWJ47" s="58" t="s">
        <v>248</v>
      </c>
      <c r="TWK47" s="58" t="s">
        <v>249</v>
      </c>
      <c r="TWL47" s="58" t="s">
        <v>250</v>
      </c>
      <c r="TWM47" s="58" t="s">
        <v>247</v>
      </c>
      <c r="TWN47" s="58" t="s">
        <v>248</v>
      </c>
      <c r="TWO47" s="58" t="s">
        <v>249</v>
      </c>
      <c r="TWP47" s="58" t="s">
        <v>250</v>
      </c>
      <c r="TWQ47" s="58" t="s">
        <v>247</v>
      </c>
      <c r="TWR47" s="58" t="s">
        <v>248</v>
      </c>
      <c r="TWS47" s="58" t="s">
        <v>249</v>
      </c>
      <c r="TWT47" s="58" t="s">
        <v>250</v>
      </c>
      <c r="TWU47" s="58" t="s">
        <v>247</v>
      </c>
      <c r="TWV47" s="58" t="s">
        <v>248</v>
      </c>
      <c r="TWW47" s="58" t="s">
        <v>249</v>
      </c>
      <c r="TWX47" s="58" t="s">
        <v>250</v>
      </c>
      <c r="TWY47" s="58" t="s">
        <v>247</v>
      </c>
      <c r="TWZ47" s="58" t="s">
        <v>248</v>
      </c>
      <c r="TXA47" s="58" t="s">
        <v>249</v>
      </c>
      <c r="TXB47" s="58" t="s">
        <v>250</v>
      </c>
      <c r="TXC47" s="58" t="s">
        <v>247</v>
      </c>
      <c r="TXD47" s="58" t="s">
        <v>248</v>
      </c>
      <c r="TXE47" s="58" t="s">
        <v>249</v>
      </c>
      <c r="TXF47" s="58" t="s">
        <v>250</v>
      </c>
      <c r="TXG47" s="58" t="s">
        <v>247</v>
      </c>
      <c r="TXH47" s="58" t="s">
        <v>248</v>
      </c>
      <c r="TXI47" s="58" t="s">
        <v>249</v>
      </c>
      <c r="TXJ47" s="58" t="s">
        <v>250</v>
      </c>
      <c r="TXK47" s="58" t="s">
        <v>247</v>
      </c>
      <c r="TXL47" s="58" t="s">
        <v>248</v>
      </c>
      <c r="TXM47" s="58" t="s">
        <v>249</v>
      </c>
      <c r="TXN47" s="58" t="s">
        <v>250</v>
      </c>
      <c r="TXO47" s="58" t="s">
        <v>247</v>
      </c>
      <c r="TXP47" s="58" t="s">
        <v>248</v>
      </c>
      <c r="TXQ47" s="58" t="s">
        <v>249</v>
      </c>
      <c r="TXR47" s="58" t="s">
        <v>250</v>
      </c>
      <c r="TXS47" s="58" t="s">
        <v>247</v>
      </c>
      <c r="TXT47" s="58" t="s">
        <v>248</v>
      </c>
      <c r="TXU47" s="58" t="s">
        <v>249</v>
      </c>
      <c r="TXV47" s="58" t="s">
        <v>250</v>
      </c>
      <c r="TXW47" s="58" t="s">
        <v>247</v>
      </c>
      <c r="TXX47" s="58" t="s">
        <v>248</v>
      </c>
      <c r="TXY47" s="58" t="s">
        <v>249</v>
      </c>
      <c r="TXZ47" s="58" t="s">
        <v>250</v>
      </c>
      <c r="TYA47" s="58" t="s">
        <v>247</v>
      </c>
      <c r="TYB47" s="58" t="s">
        <v>248</v>
      </c>
      <c r="TYC47" s="58" t="s">
        <v>249</v>
      </c>
      <c r="TYD47" s="58" t="s">
        <v>250</v>
      </c>
      <c r="TYE47" s="58" t="s">
        <v>247</v>
      </c>
      <c r="TYF47" s="58" t="s">
        <v>248</v>
      </c>
      <c r="TYG47" s="58" t="s">
        <v>249</v>
      </c>
      <c r="TYH47" s="58" t="s">
        <v>250</v>
      </c>
      <c r="TYI47" s="58" t="s">
        <v>247</v>
      </c>
      <c r="TYJ47" s="58" t="s">
        <v>248</v>
      </c>
      <c r="TYK47" s="58" t="s">
        <v>249</v>
      </c>
      <c r="TYL47" s="58" t="s">
        <v>250</v>
      </c>
      <c r="TYM47" s="58" t="s">
        <v>247</v>
      </c>
      <c r="TYN47" s="58" t="s">
        <v>248</v>
      </c>
      <c r="TYO47" s="58" t="s">
        <v>249</v>
      </c>
      <c r="TYP47" s="58" t="s">
        <v>250</v>
      </c>
      <c r="TYQ47" s="58" t="s">
        <v>247</v>
      </c>
      <c r="TYR47" s="58" t="s">
        <v>248</v>
      </c>
      <c r="TYS47" s="58" t="s">
        <v>249</v>
      </c>
      <c r="TYT47" s="58" t="s">
        <v>250</v>
      </c>
      <c r="TYU47" s="58" t="s">
        <v>247</v>
      </c>
      <c r="TYV47" s="58" t="s">
        <v>248</v>
      </c>
      <c r="TYW47" s="58" t="s">
        <v>249</v>
      </c>
      <c r="TYX47" s="58" t="s">
        <v>250</v>
      </c>
      <c r="TYY47" s="58" t="s">
        <v>247</v>
      </c>
      <c r="TYZ47" s="58" t="s">
        <v>248</v>
      </c>
      <c r="TZA47" s="58" t="s">
        <v>249</v>
      </c>
      <c r="TZB47" s="58" t="s">
        <v>250</v>
      </c>
      <c r="TZC47" s="58" t="s">
        <v>247</v>
      </c>
      <c r="TZD47" s="58" t="s">
        <v>248</v>
      </c>
      <c r="TZE47" s="58" t="s">
        <v>249</v>
      </c>
      <c r="TZF47" s="58" t="s">
        <v>250</v>
      </c>
      <c r="TZG47" s="58" t="s">
        <v>247</v>
      </c>
      <c r="TZH47" s="58" t="s">
        <v>248</v>
      </c>
      <c r="TZI47" s="58" t="s">
        <v>249</v>
      </c>
      <c r="TZJ47" s="58" t="s">
        <v>250</v>
      </c>
      <c r="TZK47" s="58" t="s">
        <v>247</v>
      </c>
      <c r="TZL47" s="58" t="s">
        <v>248</v>
      </c>
      <c r="TZM47" s="58" t="s">
        <v>249</v>
      </c>
      <c r="TZN47" s="58" t="s">
        <v>250</v>
      </c>
      <c r="TZO47" s="58" t="s">
        <v>247</v>
      </c>
      <c r="TZP47" s="58" t="s">
        <v>248</v>
      </c>
      <c r="TZQ47" s="58" t="s">
        <v>249</v>
      </c>
      <c r="TZR47" s="58" t="s">
        <v>250</v>
      </c>
      <c r="TZS47" s="58" t="s">
        <v>247</v>
      </c>
      <c r="TZT47" s="58" t="s">
        <v>248</v>
      </c>
      <c r="TZU47" s="58" t="s">
        <v>249</v>
      </c>
      <c r="TZV47" s="58" t="s">
        <v>250</v>
      </c>
      <c r="TZW47" s="58" t="s">
        <v>247</v>
      </c>
      <c r="TZX47" s="58" t="s">
        <v>248</v>
      </c>
      <c r="TZY47" s="58" t="s">
        <v>249</v>
      </c>
      <c r="TZZ47" s="58" t="s">
        <v>250</v>
      </c>
      <c r="UAA47" s="58" t="s">
        <v>247</v>
      </c>
      <c r="UAB47" s="58" t="s">
        <v>248</v>
      </c>
      <c r="UAC47" s="58" t="s">
        <v>249</v>
      </c>
      <c r="UAD47" s="58" t="s">
        <v>250</v>
      </c>
      <c r="UAE47" s="58" t="s">
        <v>247</v>
      </c>
      <c r="UAF47" s="58" t="s">
        <v>248</v>
      </c>
      <c r="UAG47" s="58" t="s">
        <v>249</v>
      </c>
      <c r="UAH47" s="58" t="s">
        <v>250</v>
      </c>
      <c r="UAI47" s="58" t="s">
        <v>247</v>
      </c>
      <c r="UAJ47" s="58" t="s">
        <v>248</v>
      </c>
      <c r="UAK47" s="58" t="s">
        <v>249</v>
      </c>
      <c r="UAL47" s="58" t="s">
        <v>250</v>
      </c>
      <c r="UAM47" s="58" t="s">
        <v>247</v>
      </c>
      <c r="UAN47" s="58" t="s">
        <v>248</v>
      </c>
      <c r="UAO47" s="58" t="s">
        <v>249</v>
      </c>
      <c r="UAP47" s="58" t="s">
        <v>250</v>
      </c>
      <c r="UAQ47" s="58" t="s">
        <v>247</v>
      </c>
      <c r="UAR47" s="58" t="s">
        <v>248</v>
      </c>
      <c r="UAS47" s="58" t="s">
        <v>249</v>
      </c>
      <c r="UAT47" s="58" t="s">
        <v>250</v>
      </c>
      <c r="UAU47" s="58" t="s">
        <v>247</v>
      </c>
      <c r="UAV47" s="58" t="s">
        <v>248</v>
      </c>
      <c r="UAW47" s="58" t="s">
        <v>249</v>
      </c>
      <c r="UAX47" s="58" t="s">
        <v>250</v>
      </c>
      <c r="UAY47" s="58" t="s">
        <v>247</v>
      </c>
      <c r="UAZ47" s="58" t="s">
        <v>248</v>
      </c>
      <c r="UBA47" s="58" t="s">
        <v>249</v>
      </c>
      <c r="UBB47" s="58" t="s">
        <v>250</v>
      </c>
      <c r="UBC47" s="58" t="s">
        <v>247</v>
      </c>
      <c r="UBD47" s="58" t="s">
        <v>248</v>
      </c>
      <c r="UBE47" s="58" t="s">
        <v>249</v>
      </c>
      <c r="UBF47" s="58" t="s">
        <v>250</v>
      </c>
      <c r="UBG47" s="58" t="s">
        <v>247</v>
      </c>
      <c r="UBH47" s="58" t="s">
        <v>248</v>
      </c>
      <c r="UBI47" s="58" t="s">
        <v>249</v>
      </c>
      <c r="UBJ47" s="58" t="s">
        <v>250</v>
      </c>
      <c r="UBK47" s="58" t="s">
        <v>247</v>
      </c>
      <c r="UBL47" s="58" t="s">
        <v>248</v>
      </c>
      <c r="UBM47" s="58" t="s">
        <v>249</v>
      </c>
      <c r="UBN47" s="58" t="s">
        <v>250</v>
      </c>
      <c r="UBO47" s="58" t="s">
        <v>247</v>
      </c>
      <c r="UBP47" s="58" t="s">
        <v>248</v>
      </c>
      <c r="UBQ47" s="58" t="s">
        <v>249</v>
      </c>
      <c r="UBR47" s="58" t="s">
        <v>250</v>
      </c>
      <c r="UBS47" s="58" t="s">
        <v>247</v>
      </c>
      <c r="UBT47" s="58" t="s">
        <v>248</v>
      </c>
      <c r="UBU47" s="58" t="s">
        <v>249</v>
      </c>
      <c r="UBV47" s="58" t="s">
        <v>250</v>
      </c>
      <c r="UBW47" s="58" t="s">
        <v>247</v>
      </c>
      <c r="UBX47" s="58" t="s">
        <v>248</v>
      </c>
      <c r="UBY47" s="58" t="s">
        <v>249</v>
      </c>
      <c r="UBZ47" s="58" t="s">
        <v>250</v>
      </c>
      <c r="UCA47" s="58" t="s">
        <v>247</v>
      </c>
      <c r="UCB47" s="58" t="s">
        <v>248</v>
      </c>
      <c r="UCC47" s="58" t="s">
        <v>249</v>
      </c>
      <c r="UCD47" s="58" t="s">
        <v>250</v>
      </c>
      <c r="UCE47" s="58" t="s">
        <v>247</v>
      </c>
      <c r="UCF47" s="58" t="s">
        <v>248</v>
      </c>
      <c r="UCG47" s="58" t="s">
        <v>249</v>
      </c>
      <c r="UCH47" s="58" t="s">
        <v>250</v>
      </c>
      <c r="UCI47" s="58" t="s">
        <v>247</v>
      </c>
      <c r="UCJ47" s="58" t="s">
        <v>248</v>
      </c>
      <c r="UCK47" s="58" t="s">
        <v>249</v>
      </c>
      <c r="UCL47" s="58" t="s">
        <v>250</v>
      </c>
      <c r="UCM47" s="58" t="s">
        <v>247</v>
      </c>
      <c r="UCN47" s="58" t="s">
        <v>248</v>
      </c>
      <c r="UCO47" s="58" t="s">
        <v>249</v>
      </c>
      <c r="UCP47" s="58" t="s">
        <v>250</v>
      </c>
      <c r="UCQ47" s="58" t="s">
        <v>247</v>
      </c>
      <c r="UCR47" s="58" t="s">
        <v>248</v>
      </c>
      <c r="UCS47" s="58" t="s">
        <v>249</v>
      </c>
      <c r="UCT47" s="58" t="s">
        <v>250</v>
      </c>
      <c r="UCU47" s="58" t="s">
        <v>247</v>
      </c>
      <c r="UCV47" s="58" t="s">
        <v>248</v>
      </c>
      <c r="UCW47" s="58" t="s">
        <v>249</v>
      </c>
      <c r="UCX47" s="58" t="s">
        <v>250</v>
      </c>
      <c r="UCY47" s="58" t="s">
        <v>247</v>
      </c>
      <c r="UCZ47" s="58" t="s">
        <v>248</v>
      </c>
      <c r="UDA47" s="58" t="s">
        <v>249</v>
      </c>
      <c r="UDB47" s="58" t="s">
        <v>250</v>
      </c>
      <c r="UDC47" s="58" t="s">
        <v>247</v>
      </c>
      <c r="UDD47" s="58" t="s">
        <v>248</v>
      </c>
      <c r="UDE47" s="58" t="s">
        <v>249</v>
      </c>
      <c r="UDF47" s="58" t="s">
        <v>250</v>
      </c>
      <c r="UDG47" s="58" t="s">
        <v>247</v>
      </c>
      <c r="UDH47" s="58" t="s">
        <v>248</v>
      </c>
      <c r="UDI47" s="58" t="s">
        <v>249</v>
      </c>
      <c r="UDJ47" s="58" t="s">
        <v>250</v>
      </c>
      <c r="UDK47" s="58" t="s">
        <v>247</v>
      </c>
      <c r="UDL47" s="58" t="s">
        <v>248</v>
      </c>
      <c r="UDM47" s="58" t="s">
        <v>249</v>
      </c>
      <c r="UDN47" s="58" t="s">
        <v>250</v>
      </c>
      <c r="UDO47" s="58" t="s">
        <v>247</v>
      </c>
      <c r="UDP47" s="58" t="s">
        <v>248</v>
      </c>
      <c r="UDQ47" s="58" t="s">
        <v>249</v>
      </c>
      <c r="UDR47" s="58" t="s">
        <v>250</v>
      </c>
      <c r="UDS47" s="58" t="s">
        <v>247</v>
      </c>
      <c r="UDT47" s="58" t="s">
        <v>248</v>
      </c>
      <c r="UDU47" s="58" t="s">
        <v>249</v>
      </c>
      <c r="UDV47" s="58" t="s">
        <v>250</v>
      </c>
      <c r="UDW47" s="58" t="s">
        <v>247</v>
      </c>
      <c r="UDX47" s="58" t="s">
        <v>248</v>
      </c>
      <c r="UDY47" s="58" t="s">
        <v>249</v>
      </c>
      <c r="UDZ47" s="58" t="s">
        <v>250</v>
      </c>
      <c r="UEA47" s="58" t="s">
        <v>247</v>
      </c>
      <c r="UEB47" s="58" t="s">
        <v>248</v>
      </c>
      <c r="UEC47" s="58" t="s">
        <v>249</v>
      </c>
      <c r="UED47" s="58" t="s">
        <v>250</v>
      </c>
      <c r="UEE47" s="58" t="s">
        <v>247</v>
      </c>
      <c r="UEF47" s="58" t="s">
        <v>248</v>
      </c>
      <c r="UEG47" s="58" t="s">
        <v>249</v>
      </c>
      <c r="UEH47" s="58" t="s">
        <v>250</v>
      </c>
      <c r="UEI47" s="58" t="s">
        <v>247</v>
      </c>
      <c r="UEJ47" s="58" t="s">
        <v>248</v>
      </c>
      <c r="UEK47" s="58" t="s">
        <v>249</v>
      </c>
      <c r="UEL47" s="58" t="s">
        <v>250</v>
      </c>
      <c r="UEM47" s="58" t="s">
        <v>247</v>
      </c>
      <c r="UEN47" s="58" t="s">
        <v>248</v>
      </c>
      <c r="UEO47" s="58" t="s">
        <v>249</v>
      </c>
      <c r="UEP47" s="58" t="s">
        <v>250</v>
      </c>
      <c r="UEQ47" s="58" t="s">
        <v>247</v>
      </c>
      <c r="UER47" s="58" t="s">
        <v>248</v>
      </c>
      <c r="UES47" s="58" t="s">
        <v>249</v>
      </c>
      <c r="UET47" s="58" t="s">
        <v>250</v>
      </c>
      <c r="UEU47" s="58" t="s">
        <v>247</v>
      </c>
      <c r="UEV47" s="58" t="s">
        <v>248</v>
      </c>
      <c r="UEW47" s="58" t="s">
        <v>249</v>
      </c>
      <c r="UEX47" s="58" t="s">
        <v>250</v>
      </c>
      <c r="UEY47" s="58" t="s">
        <v>247</v>
      </c>
      <c r="UEZ47" s="58" t="s">
        <v>248</v>
      </c>
      <c r="UFA47" s="58" t="s">
        <v>249</v>
      </c>
      <c r="UFB47" s="58" t="s">
        <v>250</v>
      </c>
      <c r="UFC47" s="58" t="s">
        <v>247</v>
      </c>
      <c r="UFD47" s="58" t="s">
        <v>248</v>
      </c>
      <c r="UFE47" s="58" t="s">
        <v>249</v>
      </c>
      <c r="UFF47" s="58" t="s">
        <v>250</v>
      </c>
      <c r="UFG47" s="58" t="s">
        <v>247</v>
      </c>
      <c r="UFH47" s="58" t="s">
        <v>248</v>
      </c>
      <c r="UFI47" s="58" t="s">
        <v>249</v>
      </c>
      <c r="UFJ47" s="58" t="s">
        <v>250</v>
      </c>
      <c r="UFK47" s="58" t="s">
        <v>247</v>
      </c>
      <c r="UFL47" s="58" t="s">
        <v>248</v>
      </c>
      <c r="UFM47" s="58" t="s">
        <v>249</v>
      </c>
      <c r="UFN47" s="58" t="s">
        <v>250</v>
      </c>
      <c r="UFO47" s="58" t="s">
        <v>247</v>
      </c>
      <c r="UFP47" s="58" t="s">
        <v>248</v>
      </c>
      <c r="UFQ47" s="58" t="s">
        <v>249</v>
      </c>
      <c r="UFR47" s="58" t="s">
        <v>250</v>
      </c>
      <c r="UFS47" s="58" t="s">
        <v>247</v>
      </c>
      <c r="UFT47" s="58" t="s">
        <v>248</v>
      </c>
      <c r="UFU47" s="58" t="s">
        <v>249</v>
      </c>
      <c r="UFV47" s="58" t="s">
        <v>250</v>
      </c>
      <c r="UFW47" s="58" t="s">
        <v>247</v>
      </c>
      <c r="UFX47" s="58" t="s">
        <v>248</v>
      </c>
      <c r="UFY47" s="58" t="s">
        <v>249</v>
      </c>
      <c r="UFZ47" s="58" t="s">
        <v>250</v>
      </c>
      <c r="UGA47" s="58" t="s">
        <v>247</v>
      </c>
      <c r="UGB47" s="58" t="s">
        <v>248</v>
      </c>
      <c r="UGC47" s="58" t="s">
        <v>249</v>
      </c>
      <c r="UGD47" s="58" t="s">
        <v>250</v>
      </c>
      <c r="UGE47" s="58" t="s">
        <v>247</v>
      </c>
      <c r="UGF47" s="58" t="s">
        <v>248</v>
      </c>
      <c r="UGG47" s="58" t="s">
        <v>249</v>
      </c>
      <c r="UGH47" s="58" t="s">
        <v>250</v>
      </c>
      <c r="UGI47" s="58" t="s">
        <v>247</v>
      </c>
      <c r="UGJ47" s="58" t="s">
        <v>248</v>
      </c>
      <c r="UGK47" s="58" t="s">
        <v>249</v>
      </c>
      <c r="UGL47" s="58" t="s">
        <v>250</v>
      </c>
      <c r="UGM47" s="58" t="s">
        <v>247</v>
      </c>
      <c r="UGN47" s="58" t="s">
        <v>248</v>
      </c>
      <c r="UGO47" s="58" t="s">
        <v>249</v>
      </c>
      <c r="UGP47" s="58" t="s">
        <v>250</v>
      </c>
      <c r="UGQ47" s="58" t="s">
        <v>247</v>
      </c>
      <c r="UGR47" s="58" t="s">
        <v>248</v>
      </c>
      <c r="UGS47" s="58" t="s">
        <v>249</v>
      </c>
      <c r="UGT47" s="58" t="s">
        <v>250</v>
      </c>
      <c r="UGU47" s="58" t="s">
        <v>247</v>
      </c>
      <c r="UGV47" s="58" t="s">
        <v>248</v>
      </c>
      <c r="UGW47" s="58" t="s">
        <v>249</v>
      </c>
      <c r="UGX47" s="58" t="s">
        <v>250</v>
      </c>
      <c r="UGY47" s="58" t="s">
        <v>247</v>
      </c>
      <c r="UGZ47" s="58" t="s">
        <v>248</v>
      </c>
      <c r="UHA47" s="58" t="s">
        <v>249</v>
      </c>
      <c r="UHB47" s="58" t="s">
        <v>250</v>
      </c>
      <c r="UHC47" s="58" t="s">
        <v>247</v>
      </c>
      <c r="UHD47" s="58" t="s">
        <v>248</v>
      </c>
      <c r="UHE47" s="58" t="s">
        <v>249</v>
      </c>
      <c r="UHF47" s="58" t="s">
        <v>250</v>
      </c>
      <c r="UHG47" s="58" t="s">
        <v>247</v>
      </c>
      <c r="UHH47" s="58" t="s">
        <v>248</v>
      </c>
      <c r="UHI47" s="58" t="s">
        <v>249</v>
      </c>
      <c r="UHJ47" s="58" t="s">
        <v>250</v>
      </c>
      <c r="UHK47" s="58" t="s">
        <v>247</v>
      </c>
      <c r="UHL47" s="58" t="s">
        <v>248</v>
      </c>
      <c r="UHM47" s="58" t="s">
        <v>249</v>
      </c>
      <c r="UHN47" s="58" t="s">
        <v>250</v>
      </c>
      <c r="UHO47" s="58" t="s">
        <v>247</v>
      </c>
      <c r="UHP47" s="58" t="s">
        <v>248</v>
      </c>
      <c r="UHQ47" s="58" t="s">
        <v>249</v>
      </c>
      <c r="UHR47" s="58" t="s">
        <v>250</v>
      </c>
      <c r="UHS47" s="58" t="s">
        <v>247</v>
      </c>
      <c r="UHT47" s="58" t="s">
        <v>248</v>
      </c>
      <c r="UHU47" s="58" t="s">
        <v>249</v>
      </c>
      <c r="UHV47" s="58" t="s">
        <v>250</v>
      </c>
      <c r="UHW47" s="58" t="s">
        <v>247</v>
      </c>
      <c r="UHX47" s="58" t="s">
        <v>248</v>
      </c>
      <c r="UHY47" s="58" t="s">
        <v>249</v>
      </c>
      <c r="UHZ47" s="58" t="s">
        <v>250</v>
      </c>
      <c r="UIA47" s="58" t="s">
        <v>247</v>
      </c>
      <c r="UIB47" s="58" t="s">
        <v>248</v>
      </c>
      <c r="UIC47" s="58" t="s">
        <v>249</v>
      </c>
      <c r="UID47" s="58" t="s">
        <v>250</v>
      </c>
      <c r="UIE47" s="58" t="s">
        <v>247</v>
      </c>
      <c r="UIF47" s="58" t="s">
        <v>248</v>
      </c>
      <c r="UIG47" s="58" t="s">
        <v>249</v>
      </c>
      <c r="UIH47" s="58" t="s">
        <v>250</v>
      </c>
      <c r="UII47" s="58" t="s">
        <v>247</v>
      </c>
      <c r="UIJ47" s="58" t="s">
        <v>248</v>
      </c>
      <c r="UIK47" s="58" t="s">
        <v>249</v>
      </c>
      <c r="UIL47" s="58" t="s">
        <v>250</v>
      </c>
      <c r="UIM47" s="58" t="s">
        <v>247</v>
      </c>
      <c r="UIN47" s="58" t="s">
        <v>248</v>
      </c>
      <c r="UIO47" s="58" t="s">
        <v>249</v>
      </c>
      <c r="UIP47" s="58" t="s">
        <v>250</v>
      </c>
      <c r="UIQ47" s="58" t="s">
        <v>247</v>
      </c>
      <c r="UIR47" s="58" t="s">
        <v>248</v>
      </c>
      <c r="UIS47" s="58" t="s">
        <v>249</v>
      </c>
      <c r="UIT47" s="58" t="s">
        <v>250</v>
      </c>
      <c r="UIU47" s="58" t="s">
        <v>247</v>
      </c>
      <c r="UIV47" s="58" t="s">
        <v>248</v>
      </c>
      <c r="UIW47" s="58" t="s">
        <v>249</v>
      </c>
      <c r="UIX47" s="58" t="s">
        <v>250</v>
      </c>
      <c r="UIY47" s="58" t="s">
        <v>247</v>
      </c>
      <c r="UIZ47" s="58" t="s">
        <v>248</v>
      </c>
      <c r="UJA47" s="58" t="s">
        <v>249</v>
      </c>
      <c r="UJB47" s="58" t="s">
        <v>250</v>
      </c>
      <c r="UJC47" s="58" t="s">
        <v>247</v>
      </c>
      <c r="UJD47" s="58" t="s">
        <v>248</v>
      </c>
      <c r="UJE47" s="58" t="s">
        <v>249</v>
      </c>
      <c r="UJF47" s="58" t="s">
        <v>250</v>
      </c>
      <c r="UJG47" s="58" t="s">
        <v>247</v>
      </c>
      <c r="UJH47" s="58" t="s">
        <v>248</v>
      </c>
      <c r="UJI47" s="58" t="s">
        <v>249</v>
      </c>
      <c r="UJJ47" s="58" t="s">
        <v>250</v>
      </c>
      <c r="UJK47" s="58" t="s">
        <v>247</v>
      </c>
      <c r="UJL47" s="58" t="s">
        <v>248</v>
      </c>
      <c r="UJM47" s="58" t="s">
        <v>249</v>
      </c>
      <c r="UJN47" s="58" t="s">
        <v>250</v>
      </c>
      <c r="UJO47" s="58" t="s">
        <v>247</v>
      </c>
      <c r="UJP47" s="58" t="s">
        <v>248</v>
      </c>
      <c r="UJQ47" s="58" t="s">
        <v>249</v>
      </c>
      <c r="UJR47" s="58" t="s">
        <v>250</v>
      </c>
      <c r="UJS47" s="58" t="s">
        <v>247</v>
      </c>
      <c r="UJT47" s="58" t="s">
        <v>248</v>
      </c>
      <c r="UJU47" s="58" t="s">
        <v>249</v>
      </c>
      <c r="UJV47" s="58" t="s">
        <v>250</v>
      </c>
      <c r="UJW47" s="58" t="s">
        <v>247</v>
      </c>
      <c r="UJX47" s="58" t="s">
        <v>248</v>
      </c>
      <c r="UJY47" s="58" t="s">
        <v>249</v>
      </c>
      <c r="UJZ47" s="58" t="s">
        <v>250</v>
      </c>
      <c r="UKA47" s="58" t="s">
        <v>247</v>
      </c>
      <c r="UKB47" s="58" t="s">
        <v>248</v>
      </c>
      <c r="UKC47" s="58" t="s">
        <v>249</v>
      </c>
      <c r="UKD47" s="58" t="s">
        <v>250</v>
      </c>
      <c r="UKE47" s="58" t="s">
        <v>247</v>
      </c>
      <c r="UKF47" s="58" t="s">
        <v>248</v>
      </c>
      <c r="UKG47" s="58" t="s">
        <v>249</v>
      </c>
      <c r="UKH47" s="58" t="s">
        <v>250</v>
      </c>
      <c r="UKI47" s="58" t="s">
        <v>247</v>
      </c>
      <c r="UKJ47" s="58" t="s">
        <v>248</v>
      </c>
      <c r="UKK47" s="58" t="s">
        <v>249</v>
      </c>
      <c r="UKL47" s="58" t="s">
        <v>250</v>
      </c>
      <c r="UKM47" s="58" t="s">
        <v>247</v>
      </c>
      <c r="UKN47" s="58" t="s">
        <v>248</v>
      </c>
      <c r="UKO47" s="58" t="s">
        <v>249</v>
      </c>
      <c r="UKP47" s="58" t="s">
        <v>250</v>
      </c>
      <c r="UKQ47" s="58" t="s">
        <v>247</v>
      </c>
      <c r="UKR47" s="58" t="s">
        <v>248</v>
      </c>
      <c r="UKS47" s="58" t="s">
        <v>249</v>
      </c>
      <c r="UKT47" s="58" t="s">
        <v>250</v>
      </c>
      <c r="UKU47" s="58" t="s">
        <v>247</v>
      </c>
      <c r="UKV47" s="58" t="s">
        <v>248</v>
      </c>
      <c r="UKW47" s="58" t="s">
        <v>249</v>
      </c>
      <c r="UKX47" s="58" t="s">
        <v>250</v>
      </c>
      <c r="UKY47" s="58" t="s">
        <v>247</v>
      </c>
      <c r="UKZ47" s="58" t="s">
        <v>248</v>
      </c>
      <c r="ULA47" s="58" t="s">
        <v>249</v>
      </c>
      <c r="ULB47" s="58" t="s">
        <v>250</v>
      </c>
      <c r="ULC47" s="58" t="s">
        <v>247</v>
      </c>
      <c r="ULD47" s="58" t="s">
        <v>248</v>
      </c>
      <c r="ULE47" s="58" t="s">
        <v>249</v>
      </c>
      <c r="ULF47" s="58" t="s">
        <v>250</v>
      </c>
      <c r="ULG47" s="58" t="s">
        <v>247</v>
      </c>
      <c r="ULH47" s="58" t="s">
        <v>248</v>
      </c>
      <c r="ULI47" s="58" t="s">
        <v>249</v>
      </c>
      <c r="ULJ47" s="58" t="s">
        <v>250</v>
      </c>
      <c r="ULK47" s="58" t="s">
        <v>247</v>
      </c>
      <c r="ULL47" s="58" t="s">
        <v>248</v>
      </c>
      <c r="ULM47" s="58" t="s">
        <v>249</v>
      </c>
      <c r="ULN47" s="58" t="s">
        <v>250</v>
      </c>
      <c r="ULO47" s="58" t="s">
        <v>247</v>
      </c>
      <c r="ULP47" s="58" t="s">
        <v>248</v>
      </c>
      <c r="ULQ47" s="58" t="s">
        <v>249</v>
      </c>
      <c r="ULR47" s="58" t="s">
        <v>250</v>
      </c>
      <c r="ULS47" s="58" t="s">
        <v>247</v>
      </c>
      <c r="ULT47" s="58" t="s">
        <v>248</v>
      </c>
      <c r="ULU47" s="58" t="s">
        <v>249</v>
      </c>
      <c r="ULV47" s="58" t="s">
        <v>250</v>
      </c>
      <c r="ULW47" s="58" t="s">
        <v>247</v>
      </c>
      <c r="ULX47" s="58" t="s">
        <v>248</v>
      </c>
      <c r="ULY47" s="58" t="s">
        <v>249</v>
      </c>
      <c r="ULZ47" s="58" t="s">
        <v>250</v>
      </c>
      <c r="UMA47" s="58" t="s">
        <v>247</v>
      </c>
      <c r="UMB47" s="58" t="s">
        <v>248</v>
      </c>
      <c r="UMC47" s="58" t="s">
        <v>249</v>
      </c>
      <c r="UMD47" s="58" t="s">
        <v>250</v>
      </c>
      <c r="UME47" s="58" t="s">
        <v>247</v>
      </c>
      <c r="UMF47" s="58" t="s">
        <v>248</v>
      </c>
      <c r="UMG47" s="58" t="s">
        <v>249</v>
      </c>
      <c r="UMH47" s="58" t="s">
        <v>250</v>
      </c>
      <c r="UMI47" s="58" t="s">
        <v>247</v>
      </c>
      <c r="UMJ47" s="58" t="s">
        <v>248</v>
      </c>
      <c r="UMK47" s="58" t="s">
        <v>249</v>
      </c>
      <c r="UML47" s="58" t="s">
        <v>250</v>
      </c>
      <c r="UMM47" s="58" t="s">
        <v>247</v>
      </c>
      <c r="UMN47" s="58" t="s">
        <v>248</v>
      </c>
      <c r="UMO47" s="58" t="s">
        <v>249</v>
      </c>
      <c r="UMP47" s="58" t="s">
        <v>250</v>
      </c>
      <c r="UMQ47" s="58" t="s">
        <v>247</v>
      </c>
      <c r="UMR47" s="58" t="s">
        <v>248</v>
      </c>
      <c r="UMS47" s="58" t="s">
        <v>249</v>
      </c>
      <c r="UMT47" s="58" t="s">
        <v>250</v>
      </c>
      <c r="UMU47" s="58" t="s">
        <v>247</v>
      </c>
      <c r="UMV47" s="58" t="s">
        <v>248</v>
      </c>
      <c r="UMW47" s="58" t="s">
        <v>249</v>
      </c>
      <c r="UMX47" s="58" t="s">
        <v>250</v>
      </c>
      <c r="UMY47" s="58" t="s">
        <v>247</v>
      </c>
      <c r="UMZ47" s="58" t="s">
        <v>248</v>
      </c>
      <c r="UNA47" s="58" t="s">
        <v>249</v>
      </c>
      <c r="UNB47" s="58" t="s">
        <v>250</v>
      </c>
      <c r="UNC47" s="58" t="s">
        <v>247</v>
      </c>
      <c r="UND47" s="58" t="s">
        <v>248</v>
      </c>
      <c r="UNE47" s="58" t="s">
        <v>249</v>
      </c>
      <c r="UNF47" s="58" t="s">
        <v>250</v>
      </c>
      <c r="UNG47" s="58" t="s">
        <v>247</v>
      </c>
      <c r="UNH47" s="58" t="s">
        <v>248</v>
      </c>
      <c r="UNI47" s="58" t="s">
        <v>249</v>
      </c>
      <c r="UNJ47" s="58" t="s">
        <v>250</v>
      </c>
      <c r="UNK47" s="58" t="s">
        <v>247</v>
      </c>
      <c r="UNL47" s="58" t="s">
        <v>248</v>
      </c>
      <c r="UNM47" s="58" t="s">
        <v>249</v>
      </c>
      <c r="UNN47" s="58" t="s">
        <v>250</v>
      </c>
      <c r="UNO47" s="58" t="s">
        <v>247</v>
      </c>
      <c r="UNP47" s="58" t="s">
        <v>248</v>
      </c>
      <c r="UNQ47" s="58" t="s">
        <v>249</v>
      </c>
      <c r="UNR47" s="58" t="s">
        <v>250</v>
      </c>
      <c r="UNS47" s="58" t="s">
        <v>247</v>
      </c>
      <c r="UNT47" s="58" t="s">
        <v>248</v>
      </c>
      <c r="UNU47" s="58" t="s">
        <v>249</v>
      </c>
      <c r="UNV47" s="58" t="s">
        <v>250</v>
      </c>
      <c r="UNW47" s="58" t="s">
        <v>247</v>
      </c>
      <c r="UNX47" s="58" t="s">
        <v>248</v>
      </c>
      <c r="UNY47" s="58" t="s">
        <v>249</v>
      </c>
      <c r="UNZ47" s="58" t="s">
        <v>250</v>
      </c>
      <c r="UOA47" s="58" t="s">
        <v>247</v>
      </c>
      <c r="UOB47" s="58" t="s">
        <v>248</v>
      </c>
      <c r="UOC47" s="58" t="s">
        <v>249</v>
      </c>
      <c r="UOD47" s="58" t="s">
        <v>250</v>
      </c>
      <c r="UOE47" s="58" t="s">
        <v>247</v>
      </c>
      <c r="UOF47" s="58" t="s">
        <v>248</v>
      </c>
      <c r="UOG47" s="58" t="s">
        <v>249</v>
      </c>
      <c r="UOH47" s="58" t="s">
        <v>250</v>
      </c>
      <c r="UOI47" s="58" t="s">
        <v>247</v>
      </c>
      <c r="UOJ47" s="58" t="s">
        <v>248</v>
      </c>
      <c r="UOK47" s="58" t="s">
        <v>249</v>
      </c>
      <c r="UOL47" s="58" t="s">
        <v>250</v>
      </c>
      <c r="UOM47" s="58" t="s">
        <v>247</v>
      </c>
      <c r="UON47" s="58" t="s">
        <v>248</v>
      </c>
      <c r="UOO47" s="58" t="s">
        <v>249</v>
      </c>
      <c r="UOP47" s="58" t="s">
        <v>250</v>
      </c>
      <c r="UOQ47" s="58" t="s">
        <v>247</v>
      </c>
      <c r="UOR47" s="58" t="s">
        <v>248</v>
      </c>
      <c r="UOS47" s="58" t="s">
        <v>249</v>
      </c>
      <c r="UOT47" s="58" t="s">
        <v>250</v>
      </c>
      <c r="UOU47" s="58" t="s">
        <v>247</v>
      </c>
      <c r="UOV47" s="58" t="s">
        <v>248</v>
      </c>
      <c r="UOW47" s="58" t="s">
        <v>249</v>
      </c>
      <c r="UOX47" s="58" t="s">
        <v>250</v>
      </c>
      <c r="UOY47" s="58" t="s">
        <v>247</v>
      </c>
      <c r="UOZ47" s="58" t="s">
        <v>248</v>
      </c>
      <c r="UPA47" s="58" t="s">
        <v>249</v>
      </c>
      <c r="UPB47" s="58" t="s">
        <v>250</v>
      </c>
      <c r="UPC47" s="58" t="s">
        <v>247</v>
      </c>
      <c r="UPD47" s="58" t="s">
        <v>248</v>
      </c>
      <c r="UPE47" s="58" t="s">
        <v>249</v>
      </c>
      <c r="UPF47" s="58" t="s">
        <v>250</v>
      </c>
      <c r="UPG47" s="58" t="s">
        <v>247</v>
      </c>
      <c r="UPH47" s="58" t="s">
        <v>248</v>
      </c>
      <c r="UPI47" s="58" t="s">
        <v>249</v>
      </c>
      <c r="UPJ47" s="58" t="s">
        <v>250</v>
      </c>
      <c r="UPK47" s="58" t="s">
        <v>247</v>
      </c>
      <c r="UPL47" s="58" t="s">
        <v>248</v>
      </c>
      <c r="UPM47" s="58" t="s">
        <v>249</v>
      </c>
      <c r="UPN47" s="58" t="s">
        <v>250</v>
      </c>
      <c r="UPO47" s="58" t="s">
        <v>247</v>
      </c>
      <c r="UPP47" s="58" t="s">
        <v>248</v>
      </c>
      <c r="UPQ47" s="58" t="s">
        <v>249</v>
      </c>
      <c r="UPR47" s="58" t="s">
        <v>250</v>
      </c>
      <c r="UPS47" s="58" t="s">
        <v>247</v>
      </c>
      <c r="UPT47" s="58" t="s">
        <v>248</v>
      </c>
      <c r="UPU47" s="58" t="s">
        <v>249</v>
      </c>
      <c r="UPV47" s="58" t="s">
        <v>250</v>
      </c>
      <c r="UPW47" s="58" t="s">
        <v>247</v>
      </c>
      <c r="UPX47" s="58" t="s">
        <v>248</v>
      </c>
      <c r="UPY47" s="58" t="s">
        <v>249</v>
      </c>
      <c r="UPZ47" s="58" t="s">
        <v>250</v>
      </c>
      <c r="UQA47" s="58" t="s">
        <v>247</v>
      </c>
      <c r="UQB47" s="58" t="s">
        <v>248</v>
      </c>
      <c r="UQC47" s="58" t="s">
        <v>249</v>
      </c>
      <c r="UQD47" s="58" t="s">
        <v>250</v>
      </c>
      <c r="UQE47" s="58" t="s">
        <v>247</v>
      </c>
      <c r="UQF47" s="58" t="s">
        <v>248</v>
      </c>
      <c r="UQG47" s="58" t="s">
        <v>249</v>
      </c>
      <c r="UQH47" s="58" t="s">
        <v>250</v>
      </c>
      <c r="UQI47" s="58" t="s">
        <v>247</v>
      </c>
      <c r="UQJ47" s="58" t="s">
        <v>248</v>
      </c>
      <c r="UQK47" s="58" t="s">
        <v>249</v>
      </c>
      <c r="UQL47" s="58" t="s">
        <v>250</v>
      </c>
      <c r="UQM47" s="58" t="s">
        <v>247</v>
      </c>
      <c r="UQN47" s="58" t="s">
        <v>248</v>
      </c>
      <c r="UQO47" s="58" t="s">
        <v>249</v>
      </c>
      <c r="UQP47" s="58" t="s">
        <v>250</v>
      </c>
      <c r="UQQ47" s="58" t="s">
        <v>247</v>
      </c>
      <c r="UQR47" s="58" t="s">
        <v>248</v>
      </c>
      <c r="UQS47" s="58" t="s">
        <v>249</v>
      </c>
      <c r="UQT47" s="58" t="s">
        <v>250</v>
      </c>
      <c r="UQU47" s="58" t="s">
        <v>247</v>
      </c>
      <c r="UQV47" s="58" t="s">
        <v>248</v>
      </c>
      <c r="UQW47" s="58" t="s">
        <v>249</v>
      </c>
      <c r="UQX47" s="58" t="s">
        <v>250</v>
      </c>
      <c r="UQY47" s="58" t="s">
        <v>247</v>
      </c>
      <c r="UQZ47" s="58" t="s">
        <v>248</v>
      </c>
      <c r="URA47" s="58" t="s">
        <v>249</v>
      </c>
      <c r="URB47" s="58" t="s">
        <v>250</v>
      </c>
      <c r="URC47" s="58" t="s">
        <v>247</v>
      </c>
      <c r="URD47" s="58" t="s">
        <v>248</v>
      </c>
      <c r="URE47" s="58" t="s">
        <v>249</v>
      </c>
      <c r="URF47" s="58" t="s">
        <v>250</v>
      </c>
      <c r="URG47" s="58" t="s">
        <v>247</v>
      </c>
      <c r="URH47" s="58" t="s">
        <v>248</v>
      </c>
      <c r="URI47" s="58" t="s">
        <v>249</v>
      </c>
      <c r="URJ47" s="58" t="s">
        <v>250</v>
      </c>
      <c r="URK47" s="58" t="s">
        <v>247</v>
      </c>
      <c r="URL47" s="58" t="s">
        <v>248</v>
      </c>
      <c r="URM47" s="58" t="s">
        <v>249</v>
      </c>
      <c r="URN47" s="58" t="s">
        <v>250</v>
      </c>
      <c r="URO47" s="58" t="s">
        <v>247</v>
      </c>
      <c r="URP47" s="58" t="s">
        <v>248</v>
      </c>
      <c r="URQ47" s="58" t="s">
        <v>249</v>
      </c>
      <c r="URR47" s="58" t="s">
        <v>250</v>
      </c>
      <c r="URS47" s="58" t="s">
        <v>247</v>
      </c>
      <c r="URT47" s="58" t="s">
        <v>248</v>
      </c>
      <c r="URU47" s="58" t="s">
        <v>249</v>
      </c>
      <c r="URV47" s="58" t="s">
        <v>250</v>
      </c>
      <c r="URW47" s="58" t="s">
        <v>247</v>
      </c>
      <c r="URX47" s="58" t="s">
        <v>248</v>
      </c>
      <c r="URY47" s="58" t="s">
        <v>249</v>
      </c>
      <c r="URZ47" s="58" t="s">
        <v>250</v>
      </c>
      <c r="USA47" s="58" t="s">
        <v>247</v>
      </c>
      <c r="USB47" s="58" t="s">
        <v>248</v>
      </c>
      <c r="USC47" s="58" t="s">
        <v>249</v>
      </c>
      <c r="USD47" s="58" t="s">
        <v>250</v>
      </c>
      <c r="USE47" s="58" t="s">
        <v>247</v>
      </c>
      <c r="USF47" s="58" t="s">
        <v>248</v>
      </c>
      <c r="USG47" s="58" t="s">
        <v>249</v>
      </c>
      <c r="USH47" s="58" t="s">
        <v>250</v>
      </c>
      <c r="USI47" s="58" t="s">
        <v>247</v>
      </c>
      <c r="USJ47" s="58" t="s">
        <v>248</v>
      </c>
      <c r="USK47" s="58" t="s">
        <v>249</v>
      </c>
      <c r="USL47" s="58" t="s">
        <v>250</v>
      </c>
      <c r="USM47" s="58" t="s">
        <v>247</v>
      </c>
      <c r="USN47" s="58" t="s">
        <v>248</v>
      </c>
      <c r="USO47" s="58" t="s">
        <v>249</v>
      </c>
      <c r="USP47" s="58" t="s">
        <v>250</v>
      </c>
      <c r="USQ47" s="58" t="s">
        <v>247</v>
      </c>
      <c r="USR47" s="58" t="s">
        <v>248</v>
      </c>
      <c r="USS47" s="58" t="s">
        <v>249</v>
      </c>
      <c r="UST47" s="58" t="s">
        <v>250</v>
      </c>
      <c r="USU47" s="58" t="s">
        <v>247</v>
      </c>
      <c r="USV47" s="58" t="s">
        <v>248</v>
      </c>
      <c r="USW47" s="58" t="s">
        <v>249</v>
      </c>
      <c r="USX47" s="58" t="s">
        <v>250</v>
      </c>
      <c r="USY47" s="58" t="s">
        <v>247</v>
      </c>
      <c r="USZ47" s="58" t="s">
        <v>248</v>
      </c>
      <c r="UTA47" s="58" t="s">
        <v>249</v>
      </c>
      <c r="UTB47" s="58" t="s">
        <v>250</v>
      </c>
      <c r="UTC47" s="58" t="s">
        <v>247</v>
      </c>
      <c r="UTD47" s="58" t="s">
        <v>248</v>
      </c>
      <c r="UTE47" s="58" t="s">
        <v>249</v>
      </c>
      <c r="UTF47" s="58" t="s">
        <v>250</v>
      </c>
      <c r="UTG47" s="58" t="s">
        <v>247</v>
      </c>
      <c r="UTH47" s="58" t="s">
        <v>248</v>
      </c>
      <c r="UTI47" s="58" t="s">
        <v>249</v>
      </c>
      <c r="UTJ47" s="58" t="s">
        <v>250</v>
      </c>
      <c r="UTK47" s="58" t="s">
        <v>247</v>
      </c>
      <c r="UTL47" s="58" t="s">
        <v>248</v>
      </c>
      <c r="UTM47" s="58" t="s">
        <v>249</v>
      </c>
      <c r="UTN47" s="58" t="s">
        <v>250</v>
      </c>
      <c r="UTO47" s="58" t="s">
        <v>247</v>
      </c>
      <c r="UTP47" s="58" t="s">
        <v>248</v>
      </c>
      <c r="UTQ47" s="58" t="s">
        <v>249</v>
      </c>
      <c r="UTR47" s="58" t="s">
        <v>250</v>
      </c>
      <c r="UTS47" s="58" t="s">
        <v>247</v>
      </c>
      <c r="UTT47" s="58" t="s">
        <v>248</v>
      </c>
      <c r="UTU47" s="58" t="s">
        <v>249</v>
      </c>
      <c r="UTV47" s="58" t="s">
        <v>250</v>
      </c>
      <c r="UTW47" s="58" t="s">
        <v>247</v>
      </c>
      <c r="UTX47" s="58" t="s">
        <v>248</v>
      </c>
      <c r="UTY47" s="58" t="s">
        <v>249</v>
      </c>
      <c r="UTZ47" s="58" t="s">
        <v>250</v>
      </c>
      <c r="UUA47" s="58" t="s">
        <v>247</v>
      </c>
      <c r="UUB47" s="58" t="s">
        <v>248</v>
      </c>
      <c r="UUC47" s="58" t="s">
        <v>249</v>
      </c>
      <c r="UUD47" s="58" t="s">
        <v>250</v>
      </c>
      <c r="UUE47" s="58" t="s">
        <v>247</v>
      </c>
      <c r="UUF47" s="58" t="s">
        <v>248</v>
      </c>
      <c r="UUG47" s="58" t="s">
        <v>249</v>
      </c>
      <c r="UUH47" s="58" t="s">
        <v>250</v>
      </c>
      <c r="UUI47" s="58" t="s">
        <v>247</v>
      </c>
      <c r="UUJ47" s="58" t="s">
        <v>248</v>
      </c>
      <c r="UUK47" s="58" t="s">
        <v>249</v>
      </c>
      <c r="UUL47" s="58" t="s">
        <v>250</v>
      </c>
      <c r="UUM47" s="58" t="s">
        <v>247</v>
      </c>
      <c r="UUN47" s="58" t="s">
        <v>248</v>
      </c>
      <c r="UUO47" s="58" t="s">
        <v>249</v>
      </c>
      <c r="UUP47" s="58" t="s">
        <v>250</v>
      </c>
      <c r="UUQ47" s="58" t="s">
        <v>247</v>
      </c>
      <c r="UUR47" s="58" t="s">
        <v>248</v>
      </c>
      <c r="UUS47" s="58" t="s">
        <v>249</v>
      </c>
      <c r="UUT47" s="58" t="s">
        <v>250</v>
      </c>
      <c r="UUU47" s="58" t="s">
        <v>247</v>
      </c>
      <c r="UUV47" s="58" t="s">
        <v>248</v>
      </c>
      <c r="UUW47" s="58" t="s">
        <v>249</v>
      </c>
      <c r="UUX47" s="58" t="s">
        <v>250</v>
      </c>
      <c r="UUY47" s="58" t="s">
        <v>247</v>
      </c>
      <c r="UUZ47" s="58" t="s">
        <v>248</v>
      </c>
      <c r="UVA47" s="58" t="s">
        <v>249</v>
      </c>
      <c r="UVB47" s="58" t="s">
        <v>250</v>
      </c>
      <c r="UVC47" s="58" t="s">
        <v>247</v>
      </c>
      <c r="UVD47" s="58" t="s">
        <v>248</v>
      </c>
      <c r="UVE47" s="58" t="s">
        <v>249</v>
      </c>
      <c r="UVF47" s="58" t="s">
        <v>250</v>
      </c>
      <c r="UVG47" s="58" t="s">
        <v>247</v>
      </c>
      <c r="UVH47" s="58" t="s">
        <v>248</v>
      </c>
      <c r="UVI47" s="58" t="s">
        <v>249</v>
      </c>
      <c r="UVJ47" s="58" t="s">
        <v>250</v>
      </c>
      <c r="UVK47" s="58" t="s">
        <v>247</v>
      </c>
      <c r="UVL47" s="58" t="s">
        <v>248</v>
      </c>
      <c r="UVM47" s="58" t="s">
        <v>249</v>
      </c>
      <c r="UVN47" s="58" t="s">
        <v>250</v>
      </c>
      <c r="UVO47" s="58" t="s">
        <v>247</v>
      </c>
      <c r="UVP47" s="58" t="s">
        <v>248</v>
      </c>
      <c r="UVQ47" s="58" t="s">
        <v>249</v>
      </c>
      <c r="UVR47" s="58" t="s">
        <v>250</v>
      </c>
      <c r="UVS47" s="58" t="s">
        <v>247</v>
      </c>
      <c r="UVT47" s="58" t="s">
        <v>248</v>
      </c>
      <c r="UVU47" s="58" t="s">
        <v>249</v>
      </c>
      <c r="UVV47" s="58" t="s">
        <v>250</v>
      </c>
      <c r="UVW47" s="58" t="s">
        <v>247</v>
      </c>
      <c r="UVX47" s="58" t="s">
        <v>248</v>
      </c>
      <c r="UVY47" s="58" t="s">
        <v>249</v>
      </c>
      <c r="UVZ47" s="58" t="s">
        <v>250</v>
      </c>
      <c r="UWA47" s="58" t="s">
        <v>247</v>
      </c>
      <c r="UWB47" s="58" t="s">
        <v>248</v>
      </c>
      <c r="UWC47" s="58" t="s">
        <v>249</v>
      </c>
      <c r="UWD47" s="58" t="s">
        <v>250</v>
      </c>
      <c r="UWE47" s="58" t="s">
        <v>247</v>
      </c>
      <c r="UWF47" s="58" t="s">
        <v>248</v>
      </c>
      <c r="UWG47" s="58" t="s">
        <v>249</v>
      </c>
      <c r="UWH47" s="58" t="s">
        <v>250</v>
      </c>
      <c r="UWI47" s="58" t="s">
        <v>247</v>
      </c>
      <c r="UWJ47" s="58" t="s">
        <v>248</v>
      </c>
      <c r="UWK47" s="58" t="s">
        <v>249</v>
      </c>
      <c r="UWL47" s="58" t="s">
        <v>250</v>
      </c>
      <c r="UWM47" s="58" t="s">
        <v>247</v>
      </c>
      <c r="UWN47" s="58" t="s">
        <v>248</v>
      </c>
      <c r="UWO47" s="58" t="s">
        <v>249</v>
      </c>
      <c r="UWP47" s="58" t="s">
        <v>250</v>
      </c>
      <c r="UWQ47" s="58" t="s">
        <v>247</v>
      </c>
      <c r="UWR47" s="58" t="s">
        <v>248</v>
      </c>
      <c r="UWS47" s="58" t="s">
        <v>249</v>
      </c>
      <c r="UWT47" s="58" t="s">
        <v>250</v>
      </c>
      <c r="UWU47" s="58" t="s">
        <v>247</v>
      </c>
      <c r="UWV47" s="58" t="s">
        <v>248</v>
      </c>
      <c r="UWW47" s="58" t="s">
        <v>249</v>
      </c>
      <c r="UWX47" s="58" t="s">
        <v>250</v>
      </c>
      <c r="UWY47" s="58" t="s">
        <v>247</v>
      </c>
      <c r="UWZ47" s="58" t="s">
        <v>248</v>
      </c>
      <c r="UXA47" s="58" t="s">
        <v>249</v>
      </c>
      <c r="UXB47" s="58" t="s">
        <v>250</v>
      </c>
      <c r="UXC47" s="58" t="s">
        <v>247</v>
      </c>
      <c r="UXD47" s="58" t="s">
        <v>248</v>
      </c>
      <c r="UXE47" s="58" t="s">
        <v>249</v>
      </c>
      <c r="UXF47" s="58" t="s">
        <v>250</v>
      </c>
      <c r="UXG47" s="58" t="s">
        <v>247</v>
      </c>
      <c r="UXH47" s="58" t="s">
        <v>248</v>
      </c>
      <c r="UXI47" s="58" t="s">
        <v>249</v>
      </c>
      <c r="UXJ47" s="58" t="s">
        <v>250</v>
      </c>
      <c r="UXK47" s="58" t="s">
        <v>247</v>
      </c>
      <c r="UXL47" s="58" t="s">
        <v>248</v>
      </c>
      <c r="UXM47" s="58" t="s">
        <v>249</v>
      </c>
      <c r="UXN47" s="58" t="s">
        <v>250</v>
      </c>
      <c r="UXO47" s="58" t="s">
        <v>247</v>
      </c>
      <c r="UXP47" s="58" t="s">
        <v>248</v>
      </c>
      <c r="UXQ47" s="58" t="s">
        <v>249</v>
      </c>
      <c r="UXR47" s="58" t="s">
        <v>250</v>
      </c>
      <c r="UXS47" s="58" t="s">
        <v>247</v>
      </c>
      <c r="UXT47" s="58" t="s">
        <v>248</v>
      </c>
      <c r="UXU47" s="58" t="s">
        <v>249</v>
      </c>
      <c r="UXV47" s="58" t="s">
        <v>250</v>
      </c>
      <c r="UXW47" s="58" t="s">
        <v>247</v>
      </c>
      <c r="UXX47" s="58" t="s">
        <v>248</v>
      </c>
      <c r="UXY47" s="58" t="s">
        <v>249</v>
      </c>
      <c r="UXZ47" s="58" t="s">
        <v>250</v>
      </c>
      <c r="UYA47" s="58" t="s">
        <v>247</v>
      </c>
      <c r="UYB47" s="58" t="s">
        <v>248</v>
      </c>
      <c r="UYC47" s="58" t="s">
        <v>249</v>
      </c>
      <c r="UYD47" s="58" t="s">
        <v>250</v>
      </c>
      <c r="UYE47" s="58" t="s">
        <v>247</v>
      </c>
      <c r="UYF47" s="58" t="s">
        <v>248</v>
      </c>
      <c r="UYG47" s="58" t="s">
        <v>249</v>
      </c>
      <c r="UYH47" s="58" t="s">
        <v>250</v>
      </c>
      <c r="UYI47" s="58" t="s">
        <v>247</v>
      </c>
      <c r="UYJ47" s="58" t="s">
        <v>248</v>
      </c>
      <c r="UYK47" s="58" t="s">
        <v>249</v>
      </c>
      <c r="UYL47" s="58" t="s">
        <v>250</v>
      </c>
      <c r="UYM47" s="58" t="s">
        <v>247</v>
      </c>
      <c r="UYN47" s="58" t="s">
        <v>248</v>
      </c>
      <c r="UYO47" s="58" t="s">
        <v>249</v>
      </c>
      <c r="UYP47" s="58" t="s">
        <v>250</v>
      </c>
      <c r="UYQ47" s="58" t="s">
        <v>247</v>
      </c>
      <c r="UYR47" s="58" t="s">
        <v>248</v>
      </c>
      <c r="UYS47" s="58" t="s">
        <v>249</v>
      </c>
      <c r="UYT47" s="58" t="s">
        <v>250</v>
      </c>
      <c r="UYU47" s="58" t="s">
        <v>247</v>
      </c>
      <c r="UYV47" s="58" t="s">
        <v>248</v>
      </c>
      <c r="UYW47" s="58" t="s">
        <v>249</v>
      </c>
      <c r="UYX47" s="58" t="s">
        <v>250</v>
      </c>
      <c r="UYY47" s="58" t="s">
        <v>247</v>
      </c>
      <c r="UYZ47" s="58" t="s">
        <v>248</v>
      </c>
      <c r="UZA47" s="58" t="s">
        <v>249</v>
      </c>
      <c r="UZB47" s="58" t="s">
        <v>250</v>
      </c>
      <c r="UZC47" s="58" t="s">
        <v>247</v>
      </c>
      <c r="UZD47" s="58" t="s">
        <v>248</v>
      </c>
      <c r="UZE47" s="58" t="s">
        <v>249</v>
      </c>
      <c r="UZF47" s="58" t="s">
        <v>250</v>
      </c>
      <c r="UZG47" s="58" t="s">
        <v>247</v>
      </c>
      <c r="UZH47" s="58" t="s">
        <v>248</v>
      </c>
      <c r="UZI47" s="58" t="s">
        <v>249</v>
      </c>
      <c r="UZJ47" s="58" t="s">
        <v>250</v>
      </c>
      <c r="UZK47" s="58" t="s">
        <v>247</v>
      </c>
      <c r="UZL47" s="58" t="s">
        <v>248</v>
      </c>
      <c r="UZM47" s="58" t="s">
        <v>249</v>
      </c>
      <c r="UZN47" s="58" t="s">
        <v>250</v>
      </c>
      <c r="UZO47" s="58" t="s">
        <v>247</v>
      </c>
      <c r="UZP47" s="58" t="s">
        <v>248</v>
      </c>
      <c r="UZQ47" s="58" t="s">
        <v>249</v>
      </c>
      <c r="UZR47" s="58" t="s">
        <v>250</v>
      </c>
      <c r="UZS47" s="58" t="s">
        <v>247</v>
      </c>
      <c r="UZT47" s="58" t="s">
        <v>248</v>
      </c>
      <c r="UZU47" s="58" t="s">
        <v>249</v>
      </c>
      <c r="UZV47" s="58" t="s">
        <v>250</v>
      </c>
      <c r="UZW47" s="58" t="s">
        <v>247</v>
      </c>
      <c r="UZX47" s="58" t="s">
        <v>248</v>
      </c>
      <c r="UZY47" s="58" t="s">
        <v>249</v>
      </c>
      <c r="UZZ47" s="58" t="s">
        <v>250</v>
      </c>
      <c r="VAA47" s="58" t="s">
        <v>247</v>
      </c>
      <c r="VAB47" s="58" t="s">
        <v>248</v>
      </c>
      <c r="VAC47" s="58" t="s">
        <v>249</v>
      </c>
      <c r="VAD47" s="58" t="s">
        <v>250</v>
      </c>
      <c r="VAE47" s="58" t="s">
        <v>247</v>
      </c>
      <c r="VAF47" s="58" t="s">
        <v>248</v>
      </c>
      <c r="VAG47" s="58" t="s">
        <v>249</v>
      </c>
      <c r="VAH47" s="58" t="s">
        <v>250</v>
      </c>
      <c r="VAI47" s="58" t="s">
        <v>247</v>
      </c>
      <c r="VAJ47" s="58" t="s">
        <v>248</v>
      </c>
      <c r="VAK47" s="58" t="s">
        <v>249</v>
      </c>
      <c r="VAL47" s="58" t="s">
        <v>250</v>
      </c>
      <c r="VAM47" s="58" t="s">
        <v>247</v>
      </c>
      <c r="VAN47" s="58" t="s">
        <v>248</v>
      </c>
      <c r="VAO47" s="58" t="s">
        <v>249</v>
      </c>
      <c r="VAP47" s="58" t="s">
        <v>250</v>
      </c>
      <c r="VAQ47" s="58" t="s">
        <v>247</v>
      </c>
      <c r="VAR47" s="58" t="s">
        <v>248</v>
      </c>
      <c r="VAS47" s="58" t="s">
        <v>249</v>
      </c>
      <c r="VAT47" s="58" t="s">
        <v>250</v>
      </c>
      <c r="VAU47" s="58" t="s">
        <v>247</v>
      </c>
      <c r="VAV47" s="58" t="s">
        <v>248</v>
      </c>
      <c r="VAW47" s="58" t="s">
        <v>249</v>
      </c>
      <c r="VAX47" s="58" t="s">
        <v>250</v>
      </c>
      <c r="VAY47" s="58" t="s">
        <v>247</v>
      </c>
      <c r="VAZ47" s="58" t="s">
        <v>248</v>
      </c>
      <c r="VBA47" s="58" t="s">
        <v>249</v>
      </c>
      <c r="VBB47" s="58" t="s">
        <v>250</v>
      </c>
      <c r="VBC47" s="58" t="s">
        <v>247</v>
      </c>
      <c r="VBD47" s="58" t="s">
        <v>248</v>
      </c>
      <c r="VBE47" s="58" t="s">
        <v>249</v>
      </c>
      <c r="VBF47" s="58" t="s">
        <v>250</v>
      </c>
      <c r="VBG47" s="58" t="s">
        <v>247</v>
      </c>
      <c r="VBH47" s="58" t="s">
        <v>248</v>
      </c>
      <c r="VBI47" s="58" t="s">
        <v>249</v>
      </c>
      <c r="VBJ47" s="58" t="s">
        <v>250</v>
      </c>
      <c r="VBK47" s="58" t="s">
        <v>247</v>
      </c>
      <c r="VBL47" s="58" t="s">
        <v>248</v>
      </c>
      <c r="VBM47" s="58" t="s">
        <v>249</v>
      </c>
      <c r="VBN47" s="58" t="s">
        <v>250</v>
      </c>
      <c r="VBO47" s="58" t="s">
        <v>247</v>
      </c>
      <c r="VBP47" s="58" t="s">
        <v>248</v>
      </c>
      <c r="VBQ47" s="58" t="s">
        <v>249</v>
      </c>
      <c r="VBR47" s="58" t="s">
        <v>250</v>
      </c>
      <c r="VBS47" s="58" t="s">
        <v>247</v>
      </c>
      <c r="VBT47" s="58" t="s">
        <v>248</v>
      </c>
      <c r="VBU47" s="58" t="s">
        <v>249</v>
      </c>
      <c r="VBV47" s="58" t="s">
        <v>250</v>
      </c>
      <c r="VBW47" s="58" t="s">
        <v>247</v>
      </c>
      <c r="VBX47" s="58" t="s">
        <v>248</v>
      </c>
      <c r="VBY47" s="58" t="s">
        <v>249</v>
      </c>
      <c r="VBZ47" s="58" t="s">
        <v>250</v>
      </c>
      <c r="VCA47" s="58" t="s">
        <v>247</v>
      </c>
      <c r="VCB47" s="58" t="s">
        <v>248</v>
      </c>
      <c r="VCC47" s="58" t="s">
        <v>249</v>
      </c>
      <c r="VCD47" s="58" t="s">
        <v>250</v>
      </c>
      <c r="VCE47" s="58" t="s">
        <v>247</v>
      </c>
      <c r="VCF47" s="58" t="s">
        <v>248</v>
      </c>
      <c r="VCG47" s="58" t="s">
        <v>249</v>
      </c>
      <c r="VCH47" s="58" t="s">
        <v>250</v>
      </c>
      <c r="VCI47" s="58" t="s">
        <v>247</v>
      </c>
      <c r="VCJ47" s="58" t="s">
        <v>248</v>
      </c>
      <c r="VCK47" s="58" t="s">
        <v>249</v>
      </c>
      <c r="VCL47" s="58" t="s">
        <v>250</v>
      </c>
      <c r="VCM47" s="58" t="s">
        <v>247</v>
      </c>
      <c r="VCN47" s="58" t="s">
        <v>248</v>
      </c>
      <c r="VCO47" s="58" t="s">
        <v>249</v>
      </c>
      <c r="VCP47" s="58" t="s">
        <v>250</v>
      </c>
      <c r="VCQ47" s="58" t="s">
        <v>247</v>
      </c>
      <c r="VCR47" s="58" t="s">
        <v>248</v>
      </c>
      <c r="VCS47" s="58" t="s">
        <v>249</v>
      </c>
      <c r="VCT47" s="58" t="s">
        <v>250</v>
      </c>
      <c r="VCU47" s="58" t="s">
        <v>247</v>
      </c>
      <c r="VCV47" s="58" t="s">
        <v>248</v>
      </c>
      <c r="VCW47" s="58" t="s">
        <v>249</v>
      </c>
      <c r="VCX47" s="58" t="s">
        <v>250</v>
      </c>
      <c r="VCY47" s="58" t="s">
        <v>247</v>
      </c>
      <c r="VCZ47" s="58" t="s">
        <v>248</v>
      </c>
      <c r="VDA47" s="58" t="s">
        <v>249</v>
      </c>
      <c r="VDB47" s="58" t="s">
        <v>250</v>
      </c>
      <c r="VDC47" s="58" t="s">
        <v>247</v>
      </c>
      <c r="VDD47" s="58" t="s">
        <v>248</v>
      </c>
      <c r="VDE47" s="58" t="s">
        <v>249</v>
      </c>
      <c r="VDF47" s="58" t="s">
        <v>250</v>
      </c>
      <c r="VDG47" s="58" t="s">
        <v>247</v>
      </c>
      <c r="VDH47" s="58" t="s">
        <v>248</v>
      </c>
      <c r="VDI47" s="58" t="s">
        <v>249</v>
      </c>
      <c r="VDJ47" s="58" t="s">
        <v>250</v>
      </c>
      <c r="VDK47" s="58" t="s">
        <v>247</v>
      </c>
      <c r="VDL47" s="58" t="s">
        <v>248</v>
      </c>
      <c r="VDM47" s="58" t="s">
        <v>249</v>
      </c>
      <c r="VDN47" s="58" t="s">
        <v>250</v>
      </c>
      <c r="VDO47" s="58" t="s">
        <v>247</v>
      </c>
      <c r="VDP47" s="58" t="s">
        <v>248</v>
      </c>
      <c r="VDQ47" s="58" t="s">
        <v>249</v>
      </c>
      <c r="VDR47" s="58" t="s">
        <v>250</v>
      </c>
      <c r="VDS47" s="58" t="s">
        <v>247</v>
      </c>
      <c r="VDT47" s="58" t="s">
        <v>248</v>
      </c>
      <c r="VDU47" s="58" t="s">
        <v>249</v>
      </c>
      <c r="VDV47" s="58" t="s">
        <v>250</v>
      </c>
      <c r="VDW47" s="58" t="s">
        <v>247</v>
      </c>
      <c r="VDX47" s="58" t="s">
        <v>248</v>
      </c>
      <c r="VDY47" s="58" t="s">
        <v>249</v>
      </c>
      <c r="VDZ47" s="58" t="s">
        <v>250</v>
      </c>
      <c r="VEA47" s="58" t="s">
        <v>247</v>
      </c>
      <c r="VEB47" s="58" t="s">
        <v>248</v>
      </c>
      <c r="VEC47" s="58" t="s">
        <v>249</v>
      </c>
      <c r="VED47" s="58" t="s">
        <v>250</v>
      </c>
      <c r="VEE47" s="58" t="s">
        <v>247</v>
      </c>
      <c r="VEF47" s="58" t="s">
        <v>248</v>
      </c>
      <c r="VEG47" s="58" t="s">
        <v>249</v>
      </c>
      <c r="VEH47" s="58" t="s">
        <v>250</v>
      </c>
      <c r="VEI47" s="58" t="s">
        <v>247</v>
      </c>
      <c r="VEJ47" s="58" t="s">
        <v>248</v>
      </c>
      <c r="VEK47" s="58" t="s">
        <v>249</v>
      </c>
      <c r="VEL47" s="58" t="s">
        <v>250</v>
      </c>
      <c r="VEM47" s="58" t="s">
        <v>247</v>
      </c>
      <c r="VEN47" s="58" t="s">
        <v>248</v>
      </c>
      <c r="VEO47" s="58" t="s">
        <v>249</v>
      </c>
      <c r="VEP47" s="58" t="s">
        <v>250</v>
      </c>
      <c r="VEQ47" s="58" t="s">
        <v>247</v>
      </c>
      <c r="VER47" s="58" t="s">
        <v>248</v>
      </c>
      <c r="VES47" s="58" t="s">
        <v>249</v>
      </c>
      <c r="VET47" s="58" t="s">
        <v>250</v>
      </c>
      <c r="VEU47" s="58" t="s">
        <v>247</v>
      </c>
      <c r="VEV47" s="58" t="s">
        <v>248</v>
      </c>
      <c r="VEW47" s="58" t="s">
        <v>249</v>
      </c>
      <c r="VEX47" s="58" t="s">
        <v>250</v>
      </c>
      <c r="VEY47" s="58" t="s">
        <v>247</v>
      </c>
      <c r="VEZ47" s="58" t="s">
        <v>248</v>
      </c>
      <c r="VFA47" s="58" t="s">
        <v>249</v>
      </c>
      <c r="VFB47" s="58" t="s">
        <v>250</v>
      </c>
      <c r="VFC47" s="58" t="s">
        <v>247</v>
      </c>
      <c r="VFD47" s="58" t="s">
        <v>248</v>
      </c>
      <c r="VFE47" s="58" t="s">
        <v>249</v>
      </c>
      <c r="VFF47" s="58" t="s">
        <v>250</v>
      </c>
      <c r="VFG47" s="58" t="s">
        <v>247</v>
      </c>
      <c r="VFH47" s="58" t="s">
        <v>248</v>
      </c>
      <c r="VFI47" s="58" t="s">
        <v>249</v>
      </c>
      <c r="VFJ47" s="58" t="s">
        <v>250</v>
      </c>
      <c r="VFK47" s="58" t="s">
        <v>247</v>
      </c>
      <c r="VFL47" s="58" t="s">
        <v>248</v>
      </c>
      <c r="VFM47" s="58" t="s">
        <v>249</v>
      </c>
      <c r="VFN47" s="58" t="s">
        <v>250</v>
      </c>
      <c r="VFO47" s="58" t="s">
        <v>247</v>
      </c>
      <c r="VFP47" s="58" t="s">
        <v>248</v>
      </c>
      <c r="VFQ47" s="58" t="s">
        <v>249</v>
      </c>
      <c r="VFR47" s="58" t="s">
        <v>250</v>
      </c>
      <c r="VFS47" s="58" t="s">
        <v>247</v>
      </c>
      <c r="VFT47" s="58" t="s">
        <v>248</v>
      </c>
      <c r="VFU47" s="58" t="s">
        <v>249</v>
      </c>
      <c r="VFV47" s="58" t="s">
        <v>250</v>
      </c>
      <c r="VFW47" s="58" t="s">
        <v>247</v>
      </c>
      <c r="VFX47" s="58" t="s">
        <v>248</v>
      </c>
      <c r="VFY47" s="58" t="s">
        <v>249</v>
      </c>
      <c r="VFZ47" s="58" t="s">
        <v>250</v>
      </c>
      <c r="VGA47" s="58" t="s">
        <v>247</v>
      </c>
      <c r="VGB47" s="58" t="s">
        <v>248</v>
      </c>
      <c r="VGC47" s="58" t="s">
        <v>249</v>
      </c>
      <c r="VGD47" s="58" t="s">
        <v>250</v>
      </c>
      <c r="VGE47" s="58" t="s">
        <v>247</v>
      </c>
      <c r="VGF47" s="58" t="s">
        <v>248</v>
      </c>
      <c r="VGG47" s="58" t="s">
        <v>249</v>
      </c>
      <c r="VGH47" s="58" t="s">
        <v>250</v>
      </c>
      <c r="VGI47" s="58" t="s">
        <v>247</v>
      </c>
      <c r="VGJ47" s="58" t="s">
        <v>248</v>
      </c>
      <c r="VGK47" s="58" t="s">
        <v>249</v>
      </c>
      <c r="VGL47" s="58" t="s">
        <v>250</v>
      </c>
      <c r="VGM47" s="58" t="s">
        <v>247</v>
      </c>
      <c r="VGN47" s="58" t="s">
        <v>248</v>
      </c>
      <c r="VGO47" s="58" t="s">
        <v>249</v>
      </c>
      <c r="VGP47" s="58" t="s">
        <v>250</v>
      </c>
      <c r="VGQ47" s="58" t="s">
        <v>247</v>
      </c>
      <c r="VGR47" s="58" t="s">
        <v>248</v>
      </c>
      <c r="VGS47" s="58" t="s">
        <v>249</v>
      </c>
      <c r="VGT47" s="58" t="s">
        <v>250</v>
      </c>
      <c r="VGU47" s="58" t="s">
        <v>247</v>
      </c>
      <c r="VGV47" s="58" t="s">
        <v>248</v>
      </c>
      <c r="VGW47" s="58" t="s">
        <v>249</v>
      </c>
      <c r="VGX47" s="58" t="s">
        <v>250</v>
      </c>
      <c r="VGY47" s="58" t="s">
        <v>247</v>
      </c>
      <c r="VGZ47" s="58" t="s">
        <v>248</v>
      </c>
      <c r="VHA47" s="58" t="s">
        <v>249</v>
      </c>
      <c r="VHB47" s="58" t="s">
        <v>250</v>
      </c>
      <c r="VHC47" s="58" t="s">
        <v>247</v>
      </c>
      <c r="VHD47" s="58" t="s">
        <v>248</v>
      </c>
      <c r="VHE47" s="58" t="s">
        <v>249</v>
      </c>
      <c r="VHF47" s="58" t="s">
        <v>250</v>
      </c>
      <c r="VHG47" s="58" t="s">
        <v>247</v>
      </c>
      <c r="VHH47" s="58" t="s">
        <v>248</v>
      </c>
      <c r="VHI47" s="58" t="s">
        <v>249</v>
      </c>
      <c r="VHJ47" s="58" t="s">
        <v>250</v>
      </c>
      <c r="VHK47" s="58" t="s">
        <v>247</v>
      </c>
      <c r="VHL47" s="58" t="s">
        <v>248</v>
      </c>
      <c r="VHM47" s="58" t="s">
        <v>249</v>
      </c>
      <c r="VHN47" s="58" t="s">
        <v>250</v>
      </c>
      <c r="VHO47" s="58" t="s">
        <v>247</v>
      </c>
      <c r="VHP47" s="58" t="s">
        <v>248</v>
      </c>
      <c r="VHQ47" s="58" t="s">
        <v>249</v>
      </c>
      <c r="VHR47" s="58" t="s">
        <v>250</v>
      </c>
      <c r="VHS47" s="58" t="s">
        <v>247</v>
      </c>
      <c r="VHT47" s="58" t="s">
        <v>248</v>
      </c>
      <c r="VHU47" s="58" t="s">
        <v>249</v>
      </c>
      <c r="VHV47" s="58" t="s">
        <v>250</v>
      </c>
      <c r="VHW47" s="58" t="s">
        <v>247</v>
      </c>
      <c r="VHX47" s="58" t="s">
        <v>248</v>
      </c>
      <c r="VHY47" s="58" t="s">
        <v>249</v>
      </c>
      <c r="VHZ47" s="58" t="s">
        <v>250</v>
      </c>
      <c r="VIA47" s="58" t="s">
        <v>247</v>
      </c>
      <c r="VIB47" s="58" t="s">
        <v>248</v>
      </c>
      <c r="VIC47" s="58" t="s">
        <v>249</v>
      </c>
      <c r="VID47" s="58" t="s">
        <v>250</v>
      </c>
      <c r="VIE47" s="58" t="s">
        <v>247</v>
      </c>
      <c r="VIF47" s="58" t="s">
        <v>248</v>
      </c>
      <c r="VIG47" s="58" t="s">
        <v>249</v>
      </c>
      <c r="VIH47" s="58" t="s">
        <v>250</v>
      </c>
      <c r="VII47" s="58" t="s">
        <v>247</v>
      </c>
      <c r="VIJ47" s="58" t="s">
        <v>248</v>
      </c>
      <c r="VIK47" s="58" t="s">
        <v>249</v>
      </c>
      <c r="VIL47" s="58" t="s">
        <v>250</v>
      </c>
      <c r="VIM47" s="58" t="s">
        <v>247</v>
      </c>
      <c r="VIN47" s="58" t="s">
        <v>248</v>
      </c>
      <c r="VIO47" s="58" t="s">
        <v>249</v>
      </c>
      <c r="VIP47" s="58" t="s">
        <v>250</v>
      </c>
      <c r="VIQ47" s="58" t="s">
        <v>247</v>
      </c>
      <c r="VIR47" s="58" t="s">
        <v>248</v>
      </c>
      <c r="VIS47" s="58" t="s">
        <v>249</v>
      </c>
      <c r="VIT47" s="58" t="s">
        <v>250</v>
      </c>
      <c r="VIU47" s="58" t="s">
        <v>247</v>
      </c>
      <c r="VIV47" s="58" t="s">
        <v>248</v>
      </c>
      <c r="VIW47" s="58" t="s">
        <v>249</v>
      </c>
      <c r="VIX47" s="58" t="s">
        <v>250</v>
      </c>
      <c r="VIY47" s="58" t="s">
        <v>247</v>
      </c>
      <c r="VIZ47" s="58" t="s">
        <v>248</v>
      </c>
      <c r="VJA47" s="58" t="s">
        <v>249</v>
      </c>
      <c r="VJB47" s="58" t="s">
        <v>250</v>
      </c>
      <c r="VJC47" s="58" t="s">
        <v>247</v>
      </c>
      <c r="VJD47" s="58" t="s">
        <v>248</v>
      </c>
      <c r="VJE47" s="58" t="s">
        <v>249</v>
      </c>
      <c r="VJF47" s="58" t="s">
        <v>250</v>
      </c>
      <c r="VJG47" s="58" t="s">
        <v>247</v>
      </c>
      <c r="VJH47" s="58" t="s">
        <v>248</v>
      </c>
      <c r="VJI47" s="58" t="s">
        <v>249</v>
      </c>
      <c r="VJJ47" s="58" t="s">
        <v>250</v>
      </c>
      <c r="VJK47" s="58" t="s">
        <v>247</v>
      </c>
      <c r="VJL47" s="58" t="s">
        <v>248</v>
      </c>
      <c r="VJM47" s="58" t="s">
        <v>249</v>
      </c>
      <c r="VJN47" s="58" t="s">
        <v>250</v>
      </c>
      <c r="VJO47" s="58" t="s">
        <v>247</v>
      </c>
      <c r="VJP47" s="58" t="s">
        <v>248</v>
      </c>
      <c r="VJQ47" s="58" t="s">
        <v>249</v>
      </c>
      <c r="VJR47" s="58" t="s">
        <v>250</v>
      </c>
      <c r="VJS47" s="58" t="s">
        <v>247</v>
      </c>
      <c r="VJT47" s="58" t="s">
        <v>248</v>
      </c>
      <c r="VJU47" s="58" t="s">
        <v>249</v>
      </c>
      <c r="VJV47" s="58" t="s">
        <v>250</v>
      </c>
      <c r="VJW47" s="58" t="s">
        <v>247</v>
      </c>
      <c r="VJX47" s="58" t="s">
        <v>248</v>
      </c>
      <c r="VJY47" s="58" t="s">
        <v>249</v>
      </c>
      <c r="VJZ47" s="58" t="s">
        <v>250</v>
      </c>
      <c r="VKA47" s="58" t="s">
        <v>247</v>
      </c>
      <c r="VKB47" s="58" t="s">
        <v>248</v>
      </c>
      <c r="VKC47" s="58" t="s">
        <v>249</v>
      </c>
      <c r="VKD47" s="58" t="s">
        <v>250</v>
      </c>
      <c r="VKE47" s="58" t="s">
        <v>247</v>
      </c>
      <c r="VKF47" s="58" t="s">
        <v>248</v>
      </c>
      <c r="VKG47" s="58" t="s">
        <v>249</v>
      </c>
      <c r="VKH47" s="58" t="s">
        <v>250</v>
      </c>
      <c r="VKI47" s="58" t="s">
        <v>247</v>
      </c>
      <c r="VKJ47" s="58" t="s">
        <v>248</v>
      </c>
      <c r="VKK47" s="58" t="s">
        <v>249</v>
      </c>
      <c r="VKL47" s="58" t="s">
        <v>250</v>
      </c>
      <c r="VKM47" s="58" t="s">
        <v>247</v>
      </c>
      <c r="VKN47" s="58" t="s">
        <v>248</v>
      </c>
      <c r="VKO47" s="58" t="s">
        <v>249</v>
      </c>
      <c r="VKP47" s="58" t="s">
        <v>250</v>
      </c>
      <c r="VKQ47" s="58" t="s">
        <v>247</v>
      </c>
      <c r="VKR47" s="58" t="s">
        <v>248</v>
      </c>
      <c r="VKS47" s="58" t="s">
        <v>249</v>
      </c>
      <c r="VKT47" s="58" t="s">
        <v>250</v>
      </c>
      <c r="VKU47" s="58" t="s">
        <v>247</v>
      </c>
      <c r="VKV47" s="58" t="s">
        <v>248</v>
      </c>
      <c r="VKW47" s="58" t="s">
        <v>249</v>
      </c>
      <c r="VKX47" s="58" t="s">
        <v>250</v>
      </c>
      <c r="VKY47" s="58" t="s">
        <v>247</v>
      </c>
      <c r="VKZ47" s="58" t="s">
        <v>248</v>
      </c>
      <c r="VLA47" s="58" t="s">
        <v>249</v>
      </c>
      <c r="VLB47" s="58" t="s">
        <v>250</v>
      </c>
      <c r="VLC47" s="58" t="s">
        <v>247</v>
      </c>
      <c r="VLD47" s="58" t="s">
        <v>248</v>
      </c>
      <c r="VLE47" s="58" t="s">
        <v>249</v>
      </c>
      <c r="VLF47" s="58" t="s">
        <v>250</v>
      </c>
      <c r="VLG47" s="58" t="s">
        <v>247</v>
      </c>
      <c r="VLH47" s="58" t="s">
        <v>248</v>
      </c>
      <c r="VLI47" s="58" t="s">
        <v>249</v>
      </c>
      <c r="VLJ47" s="58" t="s">
        <v>250</v>
      </c>
      <c r="VLK47" s="58" t="s">
        <v>247</v>
      </c>
      <c r="VLL47" s="58" t="s">
        <v>248</v>
      </c>
      <c r="VLM47" s="58" t="s">
        <v>249</v>
      </c>
      <c r="VLN47" s="58" t="s">
        <v>250</v>
      </c>
      <c r="VLO47" s="58" t="s">
        <v>247</v>
      </c>
      <c r="VLP47" s="58" t="s">
        <v>248</v>
      </c>
      <c r="VLQ47" s="58" t="s">
        <v>249</v>
      </c>
      <c r="VLR47" s="58" t="s">
        <v>250</v>
      </c>
      <c r="VLS47" s="58" t="s">
        <v>247</v>
      </c>
      <c r="VLT47" s="58" t="s">
        <v>248</v>
      </c>
      <c r="VLU47" s="58" t="s">
        <v>249</v>
      </c>
      <c r="VLV47" s="58" t="s">
        <v>250</v>
      </c>
      <c r="VLW47" s="58" t="s">
        <v>247</v>
      </c>
      <c r="VLX47" s="58" t="s">
        <v>248</v>
      </c>
      <c r="VLY47" s="58" t="s">
        <v>249</v>
      </c>
      <c r="VLZ47" s="58" t="s">
        <v>250</v>
      </c>
      <c r="VMA47" s="58" t="s">
        <v>247</v>
      </c>
      <c r="VMB47" s="58" t="s">
        <v>248</v>
      </c>
      <c r="VMC47" s="58" t="s">
        <v>249</v>
      </c>
      <c r="VMD47" s="58" t="s">
        <v>250</v>
      </c>
      <c r="VME47" s="58" t="s">
        <v>247</v>
      </c>
      <c r="VMF47" s="58" t="s">
        <v>248</v>
      </c>
      <c r="VMG47" s="58" t="s">
        <v>249</v>
      </c>
      <c r="VMH47" s="58" t="s">
        <v>250</v>
      </c>
      <c r="VMI47" s="58" t="s">
        <v>247</v>
      </c>
      <c r="VMJ47" s="58" t="s">
        <v>248</v>
      </c>
      <c r="VMK47" s="58" t="s">
        <v>249</v>
      </c>
      <c r="VML47" s="58" t="s">
        <v>250</v>
      </c>
      <c r="VMM47" s="58" t="s">
        <v>247</v>
      </c>
      <c r="VMN47" s="58" t="s">
        <v>248</v>
      </c>
      <c r="VMO47" s="58" t="s">
        <v>249</v>
      </c>
      <c r="VMP47" s="58" t="s">
        <v>250</v>
      </c>
      <c r="VMQ47" s="58" t="s">
        <v>247</v>
      </c>
      <c r="VMR47" s="58" t="s">
        <v>248</v>
      </c>
      <c r="VMS47" s="58" t="s">
        <v>249</v>
      </c>
      <c r="VMT47" s="58" t="s">
        <v>250</v>
      </c>
      <c r="VMU47" s="58" t="s">
        <v>247</v>
      </c>
      <c r="VMV47" s="58" t="s">
        <v>248</v>
      </c>
      <c r="VMW47" s="58" t="s">
        <v>249</v>
      </c>
      <c r="VMX47" s="58" t="s">
        <v>250</v>
      </c>
      <c r="VMY47" s="58" t="s">
        <v>247</v>
      </c>
      <c r="VMZ47" s="58" t="s">
        <v>248</v>
      </c>
      <c r="VNA47" s="58" t="s">
        <v>249</v>
      </c>
      <c r="VNB47" s="58" t="s">
        <v>250</v>
      </c>
      <c r="VNC47" s="58" t="s">
        <v>247</v>
      </c>
      <c r="VND47" s="58" t="s">
        <v>248</v>
      </c>
      <c r="VNE47" s="58" t="s">
        <v>249</v>
      </c>
      <c r="VNF47" s="58" t="s">
        <v>250</v>
      </c>
      <c r="VNG47" s="58" t="s">
        <v>247</v>
      </c>
      <c r="VNH47" s="58" t="s">
        <v>248</v>
      </c>
      <c r="VNI47" s="58" t="s">
        <v>249</v>
      </c>
      <c r="VNJ47" s="58" t="s">
        <v>250</v>
      </c>
      <c r="VNK47" s="58" t="s">
        <v>247</v>
      </c>
      <c r="VNL47" s="58" t="s">
        <v>248</v>
      </c>
      <c r="VNM47" s="58" t="s">
        <v>249</v>
      </c>
      <c r="VNN47" s="58" t="s">
        <v>250</v>
      </c>
      <c r="VNO47" s="58" t="s">
        <v>247</v>
      </c>
      <c r="VNP47" s="58" t="s">
        <v>248</v>
      </c>
      <c r="VNQ47" s="58" t="s">
        <v>249</v>
      </c>
      <c r="VNR47" s="58" t="s">
        <v>250</v>
      </c>
      <c r="VNS47" s="58" t="s">
        <v>247</v>
      </c>
      <c r="VNT47" s="58" t="s">
        <v>248</v>
      </c>
      <c r="VNU47" s="58" t="s">
        <v>249</v>
      </c>
      <c r="VNV47" s="58" t="s">
        <v>250</v>
      </c>
      <c r="VNW47" s="58" t="s">
        <v>247</v>
      </c>
      <c r="VNX47" s="58" t="s">
        <v>248</v>
      </c>
      <c r="VNY47" s="58" t="s">
        <v>249</v>
      </c>
      <c r="VNZ47" s="58" t="s">
        <v>250</v>
      </c>
      <c r="VOA47" s="58" t="s">
        <v>247</v>
      </c>
      <c r="VOB47" s="58" t="s">
        <v>248</v>
      </c>
      <c r="VOC47" s="58" t="s">
        <v>249</v>
      </c>
      <c r="VOD47" s="58" t="s">
        <v>250</v>
      </c>
      <c r="VOE47" s="58" t="s">
        <v>247</v>
      </c>
      <c r="VOF47" s="58" t="s">
        <v>248</v>
      </c>
      <c r="VOG47" s="58" t="s">
        <v>249</v>
      </c>
      <c r="VOH47" s="58" t="s">
        <v>250</v>
      </c>
      <c r="VOI47" s="58" t="s">
        <v>247</v>
      </c>
      <c r="VOJ47" s="58" t="s">
        <v>248</v>
      </c>
      <c r="VOK47" s="58" t="s">
        <v>249</v>
      </c>
      <c r="VOL47" s="58" t="s">
        <v>250</v>
      </c>
      <c r="VOM47" s="58" t="s">
        <v>247</v>
      </c>
      <c r="VON47" s="58" t="s">
        <v>248</v>
      </c>
      <c r="VOO47" s="58" t="s">
        <v>249</v>
      </c>
      <c r="VOP47" s="58" t="s">
        <v>250</v>
      </c>
      <c r="VOQ47" s="58" t="s">
        <v>247</v>
      </c>
      <c r="VOR47" s="58" t="s">
        <v>248</v>
      </c>
      <c r="VOS47" s="58" t="s">
        <v>249</v>
      </c>
      <c r="VOT47" s="58" t="s">
        <v>250</v>
      </c>
      <c r="VOU47" s="58" t="s">
        <v>247</v>
      </c>
      <c r="VOV47" s="58" t="s">
        <v>248</v>
      </c>
      <c r="VOW47" s="58" t="s">
        <v>249</v>
      </c>
      <c r="VOX47" s="58" t="s">
        <v>250</v>
      </c>
      <c r="VOY47" s="58" t="s">
        <v>247</v>
      </c>
      <c r="VOZ47" s="58" t="s">
        <v>248</v>
      </c>
      <c r="VPA47" s="58" t="s">
        <v>249</v>
      </c>
      <c r="VPB47" s="58" t="s">
        <v>250</v>
      </c>
      <c r="VPC47" s="58" t="s">
        <v>247</v>
      </c>
      <c r="VPD47" s="58" t="s">
        <v>248</v>
      </c>
      <c r="VPE47" s="58" t="s">
        <v>249</v>
      </c>
      <c r="VPF47" s="58" t="s">
        <v>250</v>
      </c>
      <c r="VPG47" s="58" t="s">
        <v>247</v>
      </c>
      <c r="VPH47" s="58" t="s">
        <v>248</v>
      </c>
      <c r="VPI47" s="58" t="s">
        <v>249</v>
      </c>
      <c r="VPJ47" s="58" t="s">
        <v>250</v>
      </c>
      <c r="VPK47" s="58" t="s">
        <v>247</v>
      </c>
      <c r="VPL47" s="58" t="s">
        <v>248</v>
      </c>
      <c r="VPM47" s="58" t="s">
        <v>249</v>
      </c>
      <c r="VPN47" s="58" t="s">
        <v>250</v>
      </c>
      <c r="VPO47" s="58" t="s">
        <v>247</v>
      </c>
      <c r="VPP47" s="58" t="s">
        <v>248</v>
      </c>
      <c r="VPQ47" s="58" t="s">
        <v>249</v>
      </c>
      <c r="VPR47" s="58" t="s">
        <v>250</v>
      </c>
      <c r="VPS47" s="58" t="s">
        <v>247</v>
      </c>
      <c r="VPT47" s="58" t="s">
        <v>248</v>
      </c>
      <c r="VPU47" s="58" t="s">
        <v>249</v>
      </c>
      <c r="VPV47" s="58" t="s">
        <v>250</v>
      </c>
      <c r="VPW47" s="58" t="s">
        <v>247</v>
      </c>
      <c r="VPX47" s="58" t="s">
        <v>248</v>
      </c>
      <c r="VPY47" s="58" t="s">
        <v>249</v>
      </c>
      <c r="VPZ47" s="58" t="s">
        <v>250</v>
      </c>
      <c r="VQA47" s="58" t="s">
        <v>247</v>
      </c>
      <c r="VQB47" s="58" t="s">
        <v>248</v>
      </c>
      <c r="VQC47" s="58" t="s">
        <v>249</v>
      </c>
      <c r="VQD47" s="58" t="s">
        <v>250</v>
      </c>
      <c r="VQE47" s="58" t="s">
        <v>247</v>
      </c>
      <c r="VQF47" s="58" t="s">
        <v>248</v>
      </c>
      <c r="VQG47" s="58" t="s">
        <v>249</v>
      </c>
      <c r="VQH47" s="58" t="s">
        <v>250</v>
      </c>
      <c r="VQI47" s="58" t="s">
        <v>247</v>
      </c>
      <c r="VQJ47" s="58" t="s">
        <v>248</v>
      </c>
      <c r="VQK47" s="58" t="s">
        <v>249</v>
      </c>
      <c r="VQL47" s="58" t="s">
        <v>250</v>
      </c>
      <c r="VQM47" s="58" t="s">
        <v>247</v>
      </c>
      <c r="VQN47" s="58" t="s">
        <v>248</v>
      </c>
      <c r="VQO47" s="58" t="s">
        <v>249</v>
      </c>
      <c r="VQP47" s="58" t="s">
        <v>250</v>
      </c>
      <c r="VQQ47" s="58" t="s">
        <v>247</v>
      </c>
      <c r="VQR47" s="58" t="s">
        <v>248</v>
      </c>
      <c r="VQS47" s="58" t="s">
        <v>249</v>
      </c>
      <c r="VQT47" s="58" t="s">
        <v>250</v>
      </c>
      <c r="VQU47" s="58" t="s">
        <v>247</v>
      </c>
      <c r="VQV47" s="58" t="s">
        <v>248</v>
      </c>
      <c r="VQW47" s="58" t="s">
        <v>249</v>
      </c>
      <c r="VQX47" s="58" t="s">
        <v>250</v>
      </c>
      <c r="VQY47" s="58" t="s">
        <v>247</v>
      </c>
      <c r="VQZ47" s="58" t="s">
        <v>248</v>
      </c>
      <c r="VRA47" s="58" t="s">
        <v>249</v>
      </c>
      <c r="VRB47" s="58" t="s">
        <v>250</v>
      </c>
      <c r="VRC47" s="58" t="s">
        <v>247</v>
      </c>
      <c r="VRD47" s="58" t="s">
        <v>248</v>
      </c>
      <c r="VRE47" s="58" t="s">
        <v>249</v>
      </c>
      <c r="VRF47" s="58" t="s">
        <v>250</v>
      </c>
      <c r="VRG47" s="58" t="s">
        <v>247</v>
      </c>
      <c r="VRH47" s="58" t="s">
        <v>248</v>
      </c>
      <c r="VRI47" s="58" t="s">
        <v>249</v>
      </c>
      <c r="VRJ47" s="58" t="s">
        <v>250</v>
      </c>
      <c r="VRK47" s="58" t="s">
        <v>247</v>
      </c>
      <c r="VRL47" s="58" t="s">
        <v>248</v>
      </c>
      <c r="VRM47" s="58" t="s">
        <v>249</v>
      </c>
      <c r="VRN47" s="58" t="s">
        <v>250</v>
      </c>
      <c r="VRO47" s="58" t="s">
        <v>247</v>
      </c>
      <c r="VRP47" s="58" t="s">
        <v>248</v>
      </c>
      <c r="VRQ47" s="58" t="s">
        <v>249</v>
      </c>
      <c r="VRR47" s="58" t="s">
        <v>250</v>
      </c>
      <c r="VRS47" s="58" t="s">
        <v>247</v>
      </c>
      <c r="VRT47" s="58" t="s">
        <v>248</v>
      </c>
      <c r="VRU47" s="58" t="s">
        <v>249</v>
      </c>
      <c r="VRV47" s="58" t="s">
        <v>250</v>
      </c>
      <c r="VRW47" s="58" t="s">
        <v>247</v>
      </c>
      <c r="VRX47" s="58" t="s">
        <v>248</v>
      </c>
      <c r="VRY47" s="58" t="s">
        <v>249</v>
      </c>
      <c r="VRZ47" s="58" t="s">
        <v>250</v>
      </c>
      <c r="VSA47" s="58" t="s">
        <v>247</v>
      </c>
      <c r="VSB47" s="58" t="s">
        <v>248</v>
      </c>
      <c r="VSC47" s="58" t="s">
        <v>249</v>
      </c>
      <c r="VSD47" s="58" t="s">
        <v>250</v>
      </c>
      <c r="VSE47" s="58" t="s">
        <v>247</v>
      </c>
      <c r="VSF47" s="58" t="s">
        <v>248</v>
      </c>
      <c r="VSG47" s="58" t="s">
        <v>249</v>
      </c>
      <c r="VSH47" s="58" t="s">
        <v>250</v>
      </c>
      <c r="VSI47" s="58" t="s">
        <v>247</v>
      </c>
      <c r="VSJ47" s="58" t="s">
        <v>248</v>
      </c>
      <c r="VSK47" s="58" t="s">
        <v>249</v>
      </c>
      <c r="VSL47" s="58" t="s">
        <v>250</v>
      </c>
      <c r="VSM47" s="58" t="s">
        <v>247</v>
      </c>
      <c r="VSN47" s="58" t="s">
        <v>248</v>
      </c>
      <c r="VSO47" s="58" t="s">
        <v>249</v>
      </c>
      <c r="VSP47" s="58" t="s">
        <v>250</v>
      </c>
      <c r="VSQ47" s="58" t="s">
        <v>247</v>
      </c>
      <c r="VSR47" s="58" t="s">
        <v>248</v>
      </c>
      <c r="VSS47" s="58" t="s">
        <v>249</v>
      </c>
      <c r="VST47" s="58" t="s">
        <v>250</v>
      </c>
      <c r="VSU47" s="58" t="s">
        <v>247</v>
      </c>
      <c r="VSV47" s="58" t="s">
        <v>248</v>
      </c>
      <c r="VSW47" s="58" t="s">
        <v>249</v>
      </c>
      <c r="VSX47" s="58" t="s">
        <v>250</v>
      </c>
      <c r="VSY47" s="58" t="s">
        <v>247</v>
      </c>
      <c r="VSZ47" s="58" t="s">
        <v>248</v>
      </c>
      <c r="VTA47" s="58" t="s">
        <v>249</v>
      </c>
      <c r="VTB47" s="58" t="s">
        <v>250</v>
      </c>
      <c r="VTC47" s="58" t="s">
        <v>247</v>
      </c>
      <c r="VTD47" s="58" t="s">
        <v>248</v>
      </c>
      <c r="VTE47" s="58" t="s">
        <v>249</v>
      </c>
      <c r="VTF47" s="58" t="s">
        <v>250</v>
      </c>
      <c r="VTG47" s="58" t="s">
        <v>247</v>
      </c>
      <c r="VTH47" s="58" t="s">
        <v>248</v>
      </c>
      <c r="VTI47" s="58" t="s">
        <v>249</v>
      </c>
      <c r="VTJ47" s="58" t="s">
        <v>250</v>
      </c>
      <c r="VTK47" s="58" t="s">
        <v>247</v>
      </c>
      <c r="VTL47" s="58" t="s">
        <v>248</v>
      </c>
      <c r="VTM47" s="58" t="s">
        <v>249</v>
      </c>
      <c r="VTN47" s="58" t="s">
        <v>250</v>
      </c>
      <c r="VTO47" s="58" t="s">
        <v>247</v>
      </c>
      <c r="VTP47" s="58" t="s">
        <v>248</v>
      </c>
      <c r="VTQ47" s="58" t="s">
        <v>249</v>
      </c>
      <c r="VTR47" s="58" t="s">
        <v>250</v>
      </c>
      <c r="VTS47" s="58" t="s">
        <v>247</v>
      </c>
      <c r="VTT47" s="58" t="s">
        <v>248</v>
      </c>
      <c r="VTU47" s="58" t="s">
        <v>249</v>
      </c>
      <c r="VTV47" s="58" t="s">
        <v>250</v>
      </c>
      <c r="VTW47" s="58" t="s">
        <v>247</v>
      </c>
      <c r="VTX47" s="58" t="s">
        <v>248</v>
      </c>
      <c r="VTY47" s="58" t="s">
        <v>249</v>
      </c>
      <c r="VTZ47" s="58" t="s">
        <v>250</v>
      </c>
      <c r="VUA47" s="58" t="s">
        <v>247</v>
      </c>
      <c r="VUB47" s="58" t="s">
        <v>248</v>
      </c>
      <c r="VUC47" s="58" t="s">
        <v>249</v>
      </c>
      <c r="VUD47" s="58" t="s">
        <v>250</v>
      </c>
      <c r="VUE47" s="58" t="s">
        <v>247</v>
      </c>
      <c r="VUF47" s="58" t="s">
        <v>248</v>
      </c>
      <c r="VUG47" s="58" t="s">
        <v>249</v>
      </c>
      <c r="VUH47" s="58" t="s">
        <v>250</v>
      </c>
      <c r="VUI47" s="58" t="s">
        <v>247</v>
      </c>
      <c r="VUJ47" s="58" t="s">
        <v>248</v>
      </c>
      <c r="VUK47" s="58" t="s">
        <v>249</v>
      </c>
      <c r="VUL47" s="58" t="s">
        <v>250</v>
      </c>
      <c r="VUM47" s="58" t="s">
        <v>247</v>
      </c>
      <c r="VUN47" s="58" t="s">
        <v>248</v>
      </c>
      <c r="VUO47" s="58" t="s">
        <v>249</v>
      </c>
      <c r="VUP47" s="58" t="s">
        <v>250</v>
      </c>
      <c r="VUQ47" s="58" t="s">
        <v>247</v>
      </c>
      <c r="VUR47" s="58" t="s">
        <v>248</v>
      </c>
      <c r="VUS47" s="58" t="s">
        <v>249</v>
      </c>
      <c r="VUT47" s="58" t="s">
        <v>250</v>
      </c>
      <c r="VUU47" s="58" t="s">
        <v>247</v>
      </c>
      <c r="VUV47" s="58" t="s">
        <v>248</v>
      </c>
      <c r="VUW47" s="58" t="s">
        <v>249</v>
      </c>
      <c r="VUX47" s="58" t="s">
        <v>250</v>
      </c>
      <c r="VUY47" s="58" t="s">
        <v>247</v>
      </c>
      <c r="VUZ47" s="58" t="s">
        <v>248</v>
      </c>
      <c r="VVA47" s="58" t="s">
        <v>249</v>
      </c>
      <c r="VVB47" s="58" t="s">
        <v>250</v>
      </c>
      <c r="VVC47" s="58" t="s">
        <v>247</v>
      </c>
      <c r="VVD47" s="58" t="s">
        <v>248</v>
      </c>
      <c r="VVE47" s="58" t="s">
        <v>249</v>
      </c>
      <c r="VVF47" s="58" t="s">
        <v>250</v>
      </c>
      <c r="VVG47" s="58" t="s">
        <v>247</v>
      </c>
      <c r="VVH47" s="58" t="s">
        <v>248</v>
      </c>
      <c r="VVI47" s="58" t="s">
        <v>249</v>
      </c>
      <c r="VVJ47" s="58" t="s">
        <v>250</v>
      </c>
      <c r="VVK47" s="58" t="s">
        <v>247</v>
      </c>
      <c r="VVL47" s="58" t="s">
        <v>248</v>
      </c>
      <c r="VVM47" s="58" t="s">
        <v>249</v>
      </c>
      <c r="VVN47" s="58" t="s">
        <v>250</v>
      </c>
      <c r="VVO47" s="58" t="s">
        <v>247</v>
      </c>
      <c r="VVP47" s="58" t="s">
        <v>248</v>
      </c>
      <c r="VVQ47" s="58" t="s">
        <v>249</v>
      </c>
      <c r="VVR47" s="58" t="s">
        <v>250</v>
      </c>
      <c r="VVS47" s="58" t="s">
        <v>247</v>
      </c>
      <c r="VVT47" s="58" t="s">
        <v>248</v>
      </c>
      <c r="VVU47" s="58" t="s">
        <v>249</v>
      </c>
      <c r="VVV47" s="58" t="s">
        <v>250</v>
      </c>
      <c r="VVW47" s="58" t="s">
        <v>247</v>
      </c>
      <c r="VVX47" s="58" t="s">
        <v>248</v>
      </c>
      <c r="VVY47" s="58" t="s">
        <v>249</v>
      </c>
      <c r="VVZ47" s="58" t="s">
        <v>250</v>
      </c>
      <c r="VWA47" s="58" t="s">
        <v>247</v>
      </c>
      <c r="VWB47" s="58" t="s">
        <v>248</v>
      </c>
      <c r="VWC47" s="58" t="s">
        <v>249</v>
      </c>
      <c r="VWD47" s="58" t="s">
        <v>250</v>
      </c>
      <c r="VWE47" s="58" t="s">
        <v>247</v>
      </c>
      <c r="VWF47" s="58" t="s">
        <v>248</v>
      </c>
      <c r="VWG47" s="58" t="s">
        <v>249</v>
      </c>
      <c r="VWH47" s="58" t="s">
        <v>250</v>
      </c>
      <c r="VWI47" s="58" t="s">
        <v>247</v>
      </c>
      <c r="VWJ47" s="58" t="s">
        <v>248</v>
      </c>
      <c r="VWK47" s="58" t="s">
        <v>249</v>
      </c>
      <c r="VWL47" s="58" t="s">
        <v>250</v>
      </c>
      <c r="VWM47" s="58" t="s">
        <v>247</v>
      </c>
      <c r="VWN47" s="58" t="s">
        <v>248</v>
      </c>
      <c r="VWO47" s="58" t="s">
        <v>249</v>
      </c>
      <c r="VWP47" s="58" t="s">
        <v>250</v>
      </c>
      <c r="VWQ47" s="58" t="s">
        <v>247</v>
      </c>
      <c r="VWR47" s="58" t="s">
        <v>248</v>
      </c>
      <c r="VWS47" s="58" t="s">
        <v>249</v>
      </c>
      <c r="VWT47" s="58" t="s">
        <v>250</v>
      </c>
      <c r="VWU47" s="58" t="s">
        <v>247</v>
      </c>
      <c r="VWV47" s="58" t="s">
        <v>248</v>
      </c>
      <c r="VWW47" s="58" t="s">
        <v>249</v>
      </c>
      <c r="VWX47" s="58" t="s">
        <v>250</v>
      </c>
      <c r="VWY47" s="58" t="s">
        <v>247</v>
      </c>
      <c r="VWZ47" s="58" t="s">
        <v>248</v>
      </c>
      <c r="VXA47" s="58" t="s">
        <v>249</v>
      </c>
      <c r="VXB47" s="58" t="s">
        <v>250</v>
      </c>
      <c r="VXC47" s="58" t="s">
        <v>247</v>
      </c>
      <c r="VXD47" s="58" t="s">
        <v>248</v>
      </c>
      <c r="VXE47" s="58" t="s">
        <v>249</v>
      </c>
      <c r="VXF47" s="58" t="s">
        <v>250</v>
      </c>
      <c r="VXG47" s="58" t="s">
        <v>247</v>
      </c>
      <c r="VXH47" s="58" t="s">
        <v>248</v>
      </c>
      <c r="VXI47" s="58" t="s">
        <v>249</v>
      </c>
      <c r="VXJ47" s="58" t="s">
        <v>250</v>
      </c>
      <c r="VXK47" s="58" t="s">
        <v>247</v>
      </c>
      <c r="VXL47" s="58" t="s">
        <v>248</v>
      </c>
      <c r="VXM47" s="58" t="s">
        <v>249</v>
      </c>
      <c r="VXN47" s="58" t="s">
        <v>250</v>
      </c>
      <c r="VXO47" s="58" t="s">
        <v>247</v>
      </c>
      <c r="VXP47" s="58" t="s">
        <v>248</v>
      </c>
      <c r="VXQ47" s="58" t="s">
        <v>249</v>
      </c>
      <c r="VXR47" s="58" t="s">
        <v>250</v>
      </c>
      <c r="VXS47" s="58" t="s">
        <v>247</v>
      </c>
      <c r="VXT47" s="58" t="s">
        <v>248</v>
      </c>
      <c r="VXU47" s="58" t="s">
        <v>249</v>
      </c>
      <c r="VXV47" s="58" t="s">
        <v>250</v>
      </c>
      <c r="VXW47" s="58" t="s">
        <v>247</v>
      </c>
      <c r="VXX47" s="58" t="s">
        <v>248</v>
      </c>
      <c r="VXY47" s="58" t="s">
        <v>249</v>
      </c>
      <c r="VXZ47" s="58" t="s">
        <v>250</v>
      </c>
      <c r="VYA47" s="58" t="s">
        <v>247</v>
      </c>
      <c r="VYB47" s="58" t="s">
        <v>248</v>
      </c>
      <c r="VYC47" s="58" t="s">
        <v>249</v>
      </c>
      <c r="VYD47" s="58" t="s">
        <v>250</v>
      </c>
      <c r="VYE47" s="58" t="s">
        <v>247</v>
      </c>
      <c r="VYF47" s="58" t="s">
        <v>248</v>
      </c>
      <c r="VYG47" s="58" t="s">
        <v>249</v>
      </c>
      <c r="VYH47" s="58" t="s">
        <v>250</v>
      </c>
      <c r="VYI47" s="58" t="s">
        <v>247</v>
      </c>
      <c r="VYJ47" s="58" t="s">
        <v>248</v>
      </c>
      <c r="VYK47" s="58" t="s">
        <v>249</v>
      </c>
      <c r="VYL47" s="58" t="s">
        <v>250</v>
      </c>
      <c r="VYM47" s="58" t="s">
        <v>247</v>
      </c>
      <c r="VYN47" s="58" t="s">
        <v>248</v>
      </c>
      <c r="VYO47" s="58" t="s">
        <v>249</v>
      </c>
      <c r="VYP47" s="58" t="s">
        <v>250</v>
      </c>
      <c r="VYQ47" s="58" t="s">
        <v>247</v>
      </c>
      <c r="VYR47" s="58" t="s">
        <v>248</v>
      </c>
      <c r="VYS47" s="58" t="s">
        <v>249</v>
      </c>
      <c r="VYT47" s="58" t="s">
        <v>250</v>
      </c>
      <c r="VYU47" s="58" t="s">
        <v>247</v>
      </c>
      <c r="VYV47" s="58" t="s">
        <v>248</v>
      </c>
      <c r="VYW47" s="58" t="s">
        <v>249</v>
      </c>
      <c r="VYX47" s="58" t="s">
        <v>250</v>
      </c>
      <c r="VYY47" s="58" t="s">
        <v>247</v>
      </c>
      <c r="VYZ47" s="58" t="s">
        <v>248</v>
      </c>
      <c r="VZA47" s="58" t="s">
        <v>249</v>
      </c>
      <c r="VZB47" s="58" t="s">
        <v>250</v>
      </c>
      <c r="VZC47" s="58" t="s">
        <v>247</v>
      </c>
      <c r="VZD47" s="58" t="s">
        <v>248</v>
      </c>
      <c r="VZE47" s="58" t="s">
        <v>249</v>
      </c>
      <c r="VZF47" s="58" t="s">
        <v>250</v>
      </c>
      <c r="VZG47" s="58" t="s">
        <v>247</v>
      </c>
      <c r="VZH47" s="58" t="s">
        <v>248</v>
      </c>
      <c r="VZI47" s="58" t="s">
        <v>249</v>
      </c>
      <c r="VZJ47" s="58" t="s">
        <v>250</v>
      </c>
      <c r="VZK47" s="58" t="s">
        <v>247</v>
      </c>
      <c r="VZL47" s="58" t="s">
        <v>248</v>
      </c>
      <c r="VZM47" s="58" t="s">
        <v>249</v>
      </c>
      <c r="VZN47" s="58" t="s">
        <v>250</v>
      </c>
      <c r="VZO47" s="58" t="s">
        <v>247</v>
      </c>
      <c r="VZP47" s="58" t="s">
        <v>248</v>
      </c>
      <c r="VZQ47" s="58" t="s">
        <v>249</v>
      </c>
      <c r="VZR47" s="58" t="s">
        <v>250</v>
      </c>
      <c r="VZS47" s="58" t="s">
        <v>247</v>
      </c>
      <c r="VZT47" s="58" t="s">
        <v>248</v>
      </c>
      <c r="VZU47" s="58" t="s">
        <v>249</v>
      </c>
      <c r="VZV47" s="58" t="s">
        <v>250</v>
      </c>
      <c r="VZW47" s="58" t="s">
        <v>247</v>
      </c>
      <c r="VZX47" s="58" t="s">
        <v>248</v>
      </c>
      <c r="VZY47" s="58" t="s">
        <v>249</v>
      </c>
      <c r="VZZ47" s="58" t="s">
        <v>250</v>
      </c>
      <c r="WAA47" s="58" t="s">
        <v>247</v>
      </c>
      <c r="WAB47" s="58" t="s">
        <v>248</v>
      </c>
      <c r="WAC47" s="58" t="s">
        <v>249</v>
      </c>
      <c r="WAD47" s="58" t="s">
        <v>250</v>
      </c>
      <c r="WAE47" s="58" t="s">
        <v>247</v>
      </c>
      <c r="WAF47" s="58" t="s">
        <v>248</v>
      </c>
      <c r="WAG47" s="58" t="s">
        <v>249</v>
      </c>
      <c r="WAH47" s="58" t="s">
        <v>250</v>
      </c>
      <c r="WAI47" s="58" t="s">
        <v>247</v>
      </c>
      <c r="WAJ47" s="58" t="s">
        <v>248</v>
      </c>
      <c r="WAK47" s="58" t="s">
        <v>249</v>
      </c>
      <c r="WAL47" s="58" t="s">
        <v>250</v>
      </c>
      <c r="WAM47" s="58" t="s">
        <v>247</v>
      </c>
      <c r="WAN47" s="58" t="s">
        <v>248</v>
      </c>
      <c r="WAO47" s="58" t="s">
        <v>249</v>
      </c>
      <c r="WAP47" s="58" t="s">
        <v>250</v>
      </c>
      <c r="WAQ47" s="58" t="s">
        <v>247</v>
      </c>
      <c r="WAR47" s="58" t="s">
        <v>248</v>
      </c>
      <c r="WAS47" s="58" t="s">
        <v>249</v>
      </c>
      <c r="WAT47" s="58" t="s">
        <v>250</v>
      </c>
      <c r="WAU47" s="58" t="s">
        <v>247</v>
      </c>
      <c r="WAV47" s="58" t="s">
        <v>248</v>
      </c>
      <c r="WAW47" s="58" t="s">
        <v>249</v>
      </c>
      <c r="WAX47" s="58" t="s">
        <v>250</v>
      </c>
      <c r="WAY47" s="58" t="s">
        <v>247</v>
      </c>
      <c r="WAZ47" s="58" t="s">
        <v>248</v>
      </c>
      <c r="WBA47" s="58" t="s">
        <v>249</v>
      </c>
      <c r="WBB47" s="58" t="s">
        <v>250</v>
      </c>
      <c r="WBC47" s="58" t="s">
        <v>247</v>
      </c>
      <c r="WBD47" s="58" t="s">
        <v>248</v>
      </c>
      <c r="WBE47" s="58" t="s">
        <v>249</v>
      </c>
      <c r="WBF47" s="58" t="s">
        <v>250</v>
      </c>
      <c r="WBG47" s="58" t="s">
        <v>247</v>
      </c>
      <c r="WBH47" s="58" t="s">
        <v>248</v>
      </c>
      <c r="WBI47" s="58" t="s">
        <v>249</v>
      </c>
      <c r="WBJ47" s="58" t="s">
        <v>250</v>
      </c>
      <c r="WBK47" s="58" t="s">
        <v>247</v>
      </c>
      <c r="WBL47" s="58" t="s">
        <v>248</v>
      </c>
      <c r="WBM47" s="58" t="s">
        <v>249</v>
      </c>
      <c r="WBN47" s="58" t="s">
        <v>250</v>
      </c>
      <c r="WBO47" s="58" t="s">
        <v>247</v>
      </c>
      <c r="WBP47" s="58" t="s">
        <v>248</v>
      </c>
      <c r="WBQ47" s="58" t="s">
        <v>249</v>
      </c>
      <c r="WBR47" s="58" t="s">
        <v>250</v>
      </c>
      <c r="WBS47" s="58" t="s">
        <v>247</v>
      </c>
      <c r="WBT47" s="58" t="s">
        <v>248</v>
      </c>
      <c r="WBU47" s="58" t="s">
        <v>249</v>
      </c>
      <c r="WBV47" s="58" t="s">
        <v>250</v>
      </c>
      <c r="WBW47" s="58" t="s">
        <v>247</v>
      </c>
      <c r="WBX47" s="58" t="s">
        <v>248</v>
      </c>
      <c r="WBY47" s="58" t="s">
        <v>249</v>
      </c>
      <c r="WBZ47" s="58" t="s">
        <v>250</v>
      </c>
      <c r="WCA47" s="58" t="s">
        <v>247</v>
      </c>
      <c r="WCB47" s="58" t="s">
        <v>248</v>
      </c>
      <c r="WCC47" s="58" t="s">
        <v>249</v>
      </c>
      <c r="WCD47" s="58" t="s">
        <v>250</v>
      </c>
      <c r="WCE47" s="58" t="s">
        <v>247</v>
      </c>
      <c r="WCF47" s="58" t="s">
        <v>248</v>
      </c>
      <c r="WCG47" s="58" t="s">
        <v>249</v>
      </c>
      <c r="WCH47" s="58" t="s">
        <v>250</v>
      </c>
      <c r="WCI47" s="58" t="s">
        <v>247</v>
      </c>
      <c r="WCJ47" s="58" t="s">
        <v>248</v>
      </c>
      <c r="WCK47" s="58" t="s">
        <v>249</v>
      </c>
      <c r="WCL47" s="58" t="s">
        <v>250</v>
      </c>
      <c r="WCM47" s="58" t="s">
        <v>247</v>
      </c>
      <c r="WCN47" s="58" t="s">
        <v>248</v>
      </c>
      <c r="WCO47" s="58" t="s">
        <v>249</v>
      </c>
      <c r="WCP47" s="58" t="s">
        <v>250</v>
      </c>
      <c r="WCQ47" s="58" t="s">
        <v>247</v>
      </c>
      <c r="WCR47" s="58" t="s">
        <v>248</v>
      </c>
      <c r="WCS47" s="58" t="s">
        <v>249</v>
      </c>
      <c r="WCT47" s="58" t="s">
        <v>250</v>
      </c>
      <c r="WCU47" s="58" t="s">
        <v>247</v>
      </c>
      <c r="WCV47" s="58" t="s">
        <v>248</v>
      </c>
      <c r="WCW47" s="58" t="s">
        <v>249</v>
      </c>
      <c r="WCX47" s="58" t="s">
        <v>250</v>
      </c>
      <c r="WCY47" s="58" t="s">
        <v>247</v>
      </c>
      <c r="WCZ47" s="58" t="s">
        <v>248</v>
      </c>
      <c r="WDA47" s="58" t="s">
        <v>249</v>
      </c>
      <c r="WDB47" s="58" t="s">
        <v>250</v>
      </c>
      <c r="WDC47" s="58" t="s">
        <v>247</v>
      </c>
      <c r="WDD47" s="58" t="s">
        <v>248</v>
      </c>
      <c r="WDE47" s="58" t="s">
        <v>249</v>
      </c>
      <c r="WDF47" s="58" t="s">
        <v>250</v>
      </c>
      <c r="WDG47" s="58" t="s">
        <v>247</v>
      </c>
      <c r="WDH47" s="58" t="s">
        <v>248</v>
      </c>
      <c r="WDI47" s="58" t="s">
        <v>249</v>
      </c>
      <c r="WDJ47" s="58" t="s">
        <v>250</v>
      </c>
      <c r="WDK47" s="58" t="s">
        <v>247</v>
      </c>
      <c r="WDL47" s="58" t="s">
        <v>248</v>
      </c>
      <c r="WDM47" s="58" t="s">
        <v>249</v>
      </c>
      <c r="WDN47" s="58" t="s">
        <v>250</v>
      </c>
      <c r="WDO47" s="58" t="s">
        <v>247</v>
      </c>
      <c r="WDP47" s="58" t="s">
        <v>248</v>
      </c>
      <c r="WDQ47" s="58" t="s">
        <v>249</v>
      </c>
      <c r="WDR47" s="58" t="s">
        <v>250</v>
      </c>
      <c r="WDS47" s="58" t="s">
        <v>247</v>
      </c>
      <c r="WDT47" s="58" t="s">
        <v>248</v>
      </c>
      <c r="WDU47" s="58" t="s">
        <v>249</v>
      </c>
      <c r="WDV47" s="58" t="s">
        <v>250</v>
      </c>
      <c r="WDW47" s="58" t="s">
        <v>247</v>
      </c>
      <c r="WDX47" s="58" t="s">
        <v>248</v>
      </c>
      <c r="WDY47" s="58" t="s">
        <v>249</v>
      </c>
      <c r="WDZ47" s="58" t="s">
        <v>250</v>
      </c>
      <c r="WEA47" s="58" t="s">
        <v>247</v>
      </c>
      <c r="WEB47" s="58" t="s">
        <v>248</v>
      </c>
      <c r="WEC47" s="58" t="s">
        <v>249</v>
      </c>
      <c r="WED47" s="58" t="s">
        <v>250</v>
      </c>
      <c r="WEE47" s="58" t="s">
        <v>247</v>
      </c>
      <c r="WEF47" s="58" t="s">
        <v>248</v>
      </c>
      <c r="WEG47" s="58" t="s">
        <v>249</v>
      </c>
      <c r="WEH47" s="58" t="s">
        <v>250</v>
      </c>
      <c r="WEI47" s="58" t="s">
        <v>247</v>
      </c>
      <c r="WEJ47" s="58" t="s">
        <v>248</v>
      </c>
      <c r="WEK47" s="58" t="s">
        <v>249</v>
      </c>
      <c r="WEL47" s="58" t="s">
        <v>250</v>
      </c>
      <c r="WEM47" s="58" t="s">
        <v>247</v>
      </c>
      <c r="WEN47" s="58" t="s">
        <v>248</v>
      </c>
      <c r="WEO47" s="58" t="s">
        <v>249</v>
      </c>
      <c r="WEP47" s="58" t="s">
        <v>250</v>
      </c>
      <c r="WEQ47" s="58" t="s">
        <v>247</v>
      </c>
      <c r="WER47" s="58" t="s">
        <v>248</v>
      </c>
      <c r="WES47" s="58" t="s">
        <v>249</v>
      </c>
      <c r="WET47" s="58" t="s">
        <v>250</v>
      </c>
      <c r="WEU47" s="58" t="s">
        <v>247</v>
      </c>
      <c r="WEV47" s="58" t="s">
        <v>248</v>
      </c>
      <c r="WEW47" s="58" t="s">
        <v>249</v>
      </c>
      <c r="WEX47" s="58" t="s">
        <v>250</v>
      </c>
      <c r="WEY47" s="58" t="s">
        <v>247</v>
      </c>
      <c r="WEZ47" s="58" t="s">
        <v>248</v>
      </c>
      <c r="WFA47" s="58" t="s">
        <v>249</v>
      </c>
      <c r="WFB47" s="58" t="s">
        <v>250</v>
      </c>
      <c r="WFC47" s="58" t="s">
        <v>247</v>
      </c>
      <c r="WFD47" s="58" t="s">
        <v>248</v>
      </c>
      <c r="WFE47" s="58" t="s">
        <v>249</v>
      </c>
      <c r="WFF47" s="58" t="s">
        <v>250</v>
      </c>
      <c r="WFG47" s="58" t="s">
        <v>247</v>
      </c>
      <c r="WFH47" s="58" t="s">
        <v>248</v>
      </c>
      <c r="WFI47" s="58" t="s">
        <v>249</v>
      </c>
      <c r="WFJ47" s="58" t="s">
        <v>250</v>
      </c>
      <c r="WFK47" s="58" t="s">
        <v>247</v>
      </c>
      <c r="WFL47" s="58" t="s">
        <v>248</v>
      </c>
      <c r="WFM47" s="58" t="s">
        <v>249</v>
      </c>
      <c r="WFN47" s="58" t="s">
        <v>250</v>
      </c>
      <c r="WFO47" s="58" t="s">
        <v>247</v>
      </c>
      <c r="WFP47" s="58" t="s">
        <v>248</v>
      </c>
      <c r="WFQ47" s="58" t="s">
        <v>249</v>
      </c>
      <c r="WFR47" s="58" t="s">
        <v>250</v>
      </c>
      <c r="WFS47" s="58" t="s">
        <v>247</v>
      </c>
      <c r="WFT47" s="58" t="s">
        <v>248</v>
      </c>
      <c r="WFU47" s="58" t="s">
        <v>249</v>
      </c>
      <c r="WFV47" s="58" t="s">
        <v>250</v>
      </c>
      <c r="WFW47" s="58" t="s">
        <v>247</v>
      </c>
      <c r="WFX47" s="58" t="s">
        <v>248</v>
      </c>
      <c r="WFY47" s="58" t="s">
        <v>249</v>
      </c>
      <c r="WFZ47" s="58" t="s">
        <v>250</v>
      </c>
      <c r="WGA47" s="58" t="s">
        <v>247</v>
      </c>
      <c r="WGB47" s="58" t="s">
        <v>248</v>
      </c>
      <c r="WGC47" s="58" t="s">
        <v>249</v>
      </c>
      <c r="WGD47" s="58" t="s">
        <v>250</v>
      </c>
      <c r="WGE47" s="58" t="s">
        <v>247</v>
      </c>
      <c r="WGF47" s="58" t="s">
        <v>248</v>
      </c>
      <c r="WGG47" s="58" t="s">
        <v>249</v>
      </c>
      <c r="WGH47" s="58" t="s">
        <v>250</v>
      </c>
      <c r="WGI47" s="58" t="s">
        <v>247</v>
      </c>
      <c r="WGJ47" s="58" t="s">
        <v>248</v>
      </c>
      <c r="WGK47" s="58" t="s">
        <v>249</v>
      </c>
      <c r="WGL47" s="58" t="s">
        <v>250</v>
      </c>
      <c r="WGM47" s="58" t="s">
        <v>247</v>
      </c>
      <c r="WGN47" s="58" t="s">
        <v>248</v>
      </c>
      <c r="WGO47" s="58" t="s">
        <v>249</v>
      </c>
      <c r="WGP47" s="58" t="s">
        <v>250</v>
      </c>
      <c r="WGQ47" s="58" t="s">
        <v>247</v>
      </c>
      <c r="WGR47" s="58" t="s">
        <v>248</v>
      </c>
      <c r="WGS47" s="58" t="s">
        <v>249</v>
      </c>
      <c r="WGT47" s="58" t="s">
        <v>250</v>
      </c>
      <c r="WGU47" s="58" t="s">
        <v>247</v>
      </c>
      <c r="WGV47" s="58" t="s">
        <v>248</v>
      </c>
      <c r="WGW47" s="58" t="s">
        <v>249</v>
      </c>
      <c r="WGX47" s="58" t="s">
        <v>250</v>
      </c>
      <c r="WGY47" s="58" t="s">
        <v>247</v>
      </c>
      <c r="WGZ47" s="58" t="s">
        <v>248</v>
      </c>
      <c r="WHA47" s="58" t="s">
        <v>249</v>
      </c>
      <c r="WHB47" s="58" t="s">
        <v>250</v>
      </c>
      <c r="WHC47" s="58" t="s">
        <v>247</v>
      </c>
      <c r="WHD47" s="58" t="s">
        <v>248</v>
      </c>
      <c r="WHE47" s="58" t="s">
        <v>249</v>
      </c>
      <c r="WHF47" s="58" t="s">
        <v>250</v>
      </c>
      <c r="WHG47" s="58" t="s">
        <v>247</v>
      </c>
      <c r="WHH47" s="58" t="s">
        <v>248</v>
      </c>
      <c r="WHI47" s="58" t="s">
        <v>249</v>
      </c>
      <c r="WHJ47" s="58" t="s">
        <v>250</v>
      </c>
      <c r="WHK47" s="58" t="s">
        <v>247</v>
      </c>
      <c r="WHL47" s="58" t="s">
        <v>248</v>
      </c>
      <c r="WHM47" s="58" t="s">
        <v>249</v>
      </c>
      <c r="WHN47" s="58" t="s">
        <v>250</v>
      </c>
      <c r="WHO47" s="58" t="s">
        <v>247</v>
      </c>
      <c r="WHP47" s="58" t="s">
        <v>248</v>
      </c>
      <c r="WHQ47" s="58" t="s">
        <v>249</v>
      </c>
      <c r="WHR47" s="58" t="s">
        <v>250</v>
      </c>
      <c r="WHS47" s="58" t="s">
        <v>247</v>
      </c>
      <c r="WHT47" s="58" t="s">
        <v>248</v>
      </c>
      <c r="WHU47" s="58" t="s">
        <v>249</v>
      </c>
      <c r="WHV47" s="58" t="s">
        <v>250</v>
      </c>
      <c r="WHW47" s="58" t="s">
        <v>247</v>
      </c>
      <c r="WHX47" s="58" t="s">
        <v>248</v>
      </c>
      <c r="WHY47" s="58" t="s">
        <v>249</v>
      </c>
      <c r="WHZ47" s="58" t="s">
        <v>250</v>
      </c>
      <c r="WIA47" s="58" t="s">
        <v>247</v>
      </c>
      <c r="WIB47" s="58" t="s">
        <v>248</v>
      </c>
      <c r="WIC47" s="58" t="s">
        <v>249</v>
      </c>
      <c r="WID47" s="58" t="s">
        <v>250</v>
      </c>
      <c r="WIE47" s="58" t="s">
        <v>247</v>
      </c>
      <c r="WIF47" s="58" t="s">
        <v>248</v>
      </c>
      <c r="WIG47" s="58" t="s">
        <v>249</v>
      </c>
      <c r="WIH47" s="58" t="s">
        <v>250</v>
      </c>
      <c r="WII47" s="58" t="s">
        <v>247</v>
      </c>
      <c r="WIJ47" s="58" t="s">
        <v>248</v>
      </c>
      <c r="WIK47" s="58" t="s">
        <v>249</v>
      </c>
      <c r="WIL47" s="58" t="s">
        <v>250</v>
      </c>
      <c r="WIM47" s="58" t="s">
        <v>247</v>
      </c>
      <c r="WIN47" s="58" t="s">
        <v>248</v>
      </c>
      <c r="WIO47" s="58" t="s">
        <v>249</v>
      </c>
      <c r="WIP47" s="58" t="s">
        <v>250</v>
      </c>
      <c r="WIQ47" s="58" t="s">
        <v>247</v>
      </c>
      <c r="WIR47" s="58" t="s">
        <v>248</v>
      </c>
      <c r="WIS47" s="58" t="s">
        <v>249</v>
      </c>
      <c r="WIT47" s="58" t="s">
        <v>250</v>
      </c>
      <c r="WIU47" s="58" t="s">
        <v>247</v>
      </c>
      <c r="WIV47" s="58" t="s">
        <v>248</v>
      </c>
      <c r="WIW47" s="58" t="s">
        <v>249</v>
      </c>
      <c r="WIX47" s="58" t="s">
        <v>250</v>
      </c>
      <c r="WIY47" s="58" t="s">
        <v>247</v>
      </c>
      <c r="WIZ47" s="58" t="s">
        <v>248</v>
      </c>
      <c r="WJA47" s="58" t="s">
        <v>249</v>
      </c>
      <c r="WJB47" s="58" t="s">
        <v>250</v>
      </c>
      <c r="WJC47" s="58" t="s">
        <v>247</v>
      </c>
      <c r="WJD47" s="58" t="s">
        <v>248</v>
      </c>
      <c r="WJE47" s="58" t="s">
        <v>249</v>
      </c>
      <c r="WJF47" s="58" t="s">
        <v>250</v>
      </c>
      <c r="WJG47" s="58" t="s">
        <v>247</v>
      </c>
      <c r="WJH47" s="58" t="s">
        <v>248</v>
      </c>
      <c r="WJI47" s="58" t="s">
        <v>249</v>
      </c>
      <c r="WJJ47" s="58" t="s">
        <v>250</v>
      </c>
      <c r="WJK47" s="58" t="s">
        <v>247</v>
      </c>
      <c r="WJL47" s="58" t="s">
        <v>248</v>
      </c>
      <c r="WJM47" s="58" t="s">
        <v>249</v>
      </c>
      <c r="WJN47" s="58" t="s">
        <v>250</v>
      </c>
      <c r="WJO47" s="58" t="s">
        <v>247</v>
      </c>
      <c r="WJP47" s="58" t="s">
        <v>248</v>
      </c>
      <c r="WJQ47" s="58" t="s">
        <v>249</v>
      </c>
      <c r="WJR47" s="58" t="s">
        <v>250</v>
      </c>
      <c r="WJS47" s="58" t="s">
        <v>247</v>
      </c>
      <c r="WJT47" s="58" t="s">
        <v>248</v>
      </c>
      <c r="WJU47" s="58" t="s">
        <v>249</v>
      </c>
      <c r="WJV47" s="58" t="s">
        <v>250</v>
      </c>
      <c r="WJW47" s="58" t="s">
        <v>247</v>
      </c>
      <c r="WJX47" s="58" t="s">
        <v>248</v>
      </c>
      <c r="WJY47" s="58" t="s">
        <v>249</v>
      </c>
      <c r="WJZ47" s="58" t="s">
        <v>250</v>
      </c>
      <c r="WKA47" s="58" t="s">
        <v>247</v>
      </c>
      <c r="WKB47" s="58" t="s">
        <v>248</v>
      </c>
      <c r="WKC47" s="58" t="s">
        <v>249</v>
      </c>
      <c r="WKD47" s="58" t="s">
        <v>250</v>
      </c>
      <c r="WKE47" s="58" t="s">
        <v>247</v>
      </c>
      <c r="WKF47" s="58" t="s">
        <v>248</v>
      </c>
      <c r="WKG47" s="58" t="s">
        <v>249</v>
      </c>
      <c r="WKH47" s="58" t="s">
        <v>250</v>
      </c>
      <c r="WKI47" s="58" t="s">
        <v>247</v>
      </c>
      <c r="WKJ47" s="58" t="s">
        <v>248</v>
      </c>
      <c r="WKK47" s="58" t="s">
        <v>249</v>
      </c>
      <c r="WKL47" s="58" t="s">
        <v>250</v>
      </c>
      <c r="WKM47" s="58" t="s">
        <v>247</v>
      </c>
      <c r="WKN47" s="58" t="s">
        <v>248</v>
      </c>
      <c r="WKO47" s="58" t="s">
        <v>249</v>
      </c>
      <c r="WKP47" s="58" t="s">
        <v>250</v>
      </c>
      <c r="WKQ47" s="58" t="s">
        <v>247</v>
      </c>
      <c r="WKR47" s="58" t="s">
        <v>248</v>
      </c>
      <c r="WKS47" s="58" t="s">
        <v>249</v>
      </c>
      <c r="WKT47" s="58" t="s">
        <v>250</v>
      </c>
      <c r="WKU47" s="58" t="s">
        <v>247</v>
      </c>
      <c r="WKV47" s="58" t="s">
        <v>248</v>
      </c>
      <c r="WKW47" s="58" t="s">
        <v>249</v>
      </c>
      <c r="WKX47" s="58" t="s">
        <v>250</v>
      </c>
      <c r="WKY47" s="58" t="s">
        <v>247</v>
      </c>
      <c r="WKZ47" s="58" t="s">
        <v>248</v>
      </c>
      <c r="WLA47" s="58" t="s">
        <v>249</v>
      </c>
      <c r="WLB47" s="58" t="s">
        <v>250</v>
      </c>
      <c r="WLC47" s="58" t="s">
        <v>247</v>
      </c>
      <c r="WLD47" s="58" t="s">
        <v>248</v>
      </c>
      <c r="WLE47" s="58" t="s">
        <v>249</v>
      </c>
      <c r="WLF47" s="58" t="s">
        <v>250</v>
      </c>
      <c r="WLG47" s="58" t="s">
        <v>247</v>
      </c>
      <c r="WLH47" s="58" t="s">
        <v>248</v>
      </c>
      <c r="WLI47" s="58" t="s">
        <v>249</v>
      </c>
      <c r="WLJ47" s="58" t="s">
        <v>250</v>
      </c>
      <c r="WLK47" s="58" t="s">
        <v>247</v>
      </c>
      <c r="WLL47" s="58" t="s">
        <v>248</v>
      </c>
      <c r="WLM47" s="58" t="s">
        <v>249</v>
      </c>
      <c r="WLN47" s="58" t="s">
        <v>250</v>
      </c>
      <c r="WLO47" s="58" t="s">
        <v>247</v>
      </c>
      <c r="WLP47" s="58" t="s">
        <v>248</v>
      </c>
      <c r="WLQ47" s="58" t="s">
        <v>249</v>
      </c>
      <c r="WLR47" s="58" t="s">
        <v>250</v>
      </c>
      <c r="WLS47" s="58" t="s">
        <v>247</v>
      </c>
      <c r="WLT47" s="58" t="s">
        <v>248</v>
      </c>
      <c r="WLU47" s="58" t="s">
        <v>249</v>
      </c>
      <c r="WLV47" s="58" t="s">
        <v>250</v>
      </c>
      <c r="WLW47" s="58" t="s">
        <v>247</v>
      </c>
      <c r="WLX47" s="58" t="s">
        <v>248</v>
      </c>
      <c r="WLY47" s="58" t="s">
        <v>249</v>
      </c>
      <c r="WLZ47" s="58" t="s">
        <v>250</v>
      </c>
      <c r="WMA47" s="58" t="s">
        <v>247</v>
      </c>
      <c r="WMB47" s="58" t="s">
        <v>248</v>
      </c>
      <c r="WMC47" s="58" t="s">
        <v>249</v>
      </c>
      <c r="WMD47" s="58" t="s">
        <v>250</v>
      </c>
      <c r="WME47" s="58" t="s">
        <v>247</v>
      </c>
      <c r="WMF47" s="58" t="s">
        <v>248</v>
      </c>
      <c r="WMG47" s="58" t="s">
        <v>249</v>
      </c>
      <c r="WMH47" s="58" t="s">
        <v>250</v>
      </c>
      <c r="WMI47" s="58" t="s">
        <v>247</v>
      </c>
      <c r="WMJ47" s="58" t="s">
        <v>248</v>
      </c>
      <c r="WMK47" s="58" t="s">
        <v>249</v>
      </c>
      <c r="WML47" s="58" t="s">
        <v>250</v>
      </c>
      <c r="WMM47" s="58" t="s">
        <v>247</v>
      </c>
      <c r="WMN47" s="58" t="s">
        <v>248</v>
      </c>
      <c r="WMO47" s="58" t="s">
        <v>249</v>
      </c>
      <c r="WMP47" s="58" t="s">
        <v>250</v>
      </c>
      <c r="WMQ47" s="58" t="s">
        <v>247</v>
      </c>
      <c r="WMR47" s="58" t="s">
        <v>248</v>
      </c>
      <c r="WMS47" s="58" t="s">
        <v>249</v>
      </c>
      <c r="WMT47" s="58" t="s">
        <v>250</v>
      </c>
      <c r="WMU47" s="58" t="s">
        <v>247</v>
      </c>
      <c r="WMV47" s="58" t="s">
        <v>248</v>
      </c>
      <c r="WMW47" s="58" t="s">
        <v>249</v>
      </c>
      <c r="WMX47" s="58" t="s">
        <v>250</v>
      </c>
      <c r="WMY47" s="58" t="s">
        <v>247</v>
      </c>
      <c r="WMZ47" s="58" t="s">
        <v>248</v>
      </c>
      <c r="WNA47" s="58" t="s">
        <v>249</v>
      </c>
      <c r="WNB47" s="58" t="s">
        <v>250</v>
      </c>
      <c r="WNC47" s="58" t="s">
        <v>247</v>
      </c>
      <c r="WND47" s="58" t="s">
        <v>248</v>
      </c>
      <c r="WNE47" s="58" t="s">
        <v>249</v>
      </c>
      <c r="WNF47" s="58" t="s">
        <v>250</v>
      </c>
      <c r="WNG47" s="58" t="s">
        <v>247</v>
      </c>
      <c r="WNH47" s="58" t="s">
        <v>248</v>
      </c>
      <c r="WNI47" s="58" t="s">
        <v>249</v>
      </c>
      <c r="WNJ47" s="58" t="s">
        <v>250</v>
      </c>
      <c r="WNK47" s="58" t="s">
        <v>247</v>
      </c>
      <c r="WNL47" s="58" t="s">
        <v>248</v>
      </c>
      <c r="WNM47" s="58" t="s">
        <v>249</v>
      </c>
      <c r="WNN47" s="58" t="s">
        <v>250</v>
      </c>
      <c r="WNO47" s="58" t="s">
        <v>247</v>
      </c>
      <c r="WNP47" s="58" t="s">
        <v>248</v>
      </c>
      <c r="WNQ47" s="58" t="s">
        <v>249</v>
      </c>
      <c r="WNR47" s="58" t="s">
        <v>250</v>
      </c>
      <c r="WNS47" s="58" t="s">
        <v>247</v>
      </c>
      <c r="WNT47" s="58" t="s">
        <v>248</v>
      </c>
      <c r="WNU47" s="58" t="s">
        <v>249</v>
      </c>
      <c r="WNV47" s="58" t="s">
        <v>250</v>
      </c>
      <c r="WNW47" s="58" t="s">
        <v>247</v>
      </c>
      <c r="WNX47" s="58" t="s">
        <v>248</v>
      </c>
      <c r="WNY47" s="58" t="s">
        <v>249</v>
      </c>
      <c r="WNZ47" s="58" t="s">
        <v>250</v>
      </c>
      <c r="WOA47" s="58" t="s">
        <v>247</v>
      </c>
      <c r="WOB47" s="58" t="s">
        <v>248</v>
      </c>
      <c r="WOC47" s="58" t="s">
        <v>249</v>
      </c>
      <c r="WOD47" s="58" t="s">
        <v>250</v>
      </c>
      <c r="WOE47" s="58" t="s">
        <v>247</v>
      </c>
      <c r="WOF47" s="58" t="s">
        <v>248</v>
      </c>
      <c r="WOG47" s="58" t="s">
        <v>249</v>
      </c>
      <c r="WOH47" s="58" t="s">
        <v>250</v>
      </c>
      <c r="WOI47" s="58" t="s">
        <v>247</v>
      </c>
      <c r="WOJ47" s="58" t="s">
        <v>248</v>
      </c>
      <c r="WOK47" s="58" t="s">
        <v>249</v>
      </c>
      <c r="WOL47" s="58" t="s">
        <v>250</v>
      </c>
      <c r="WOM47" s="58" t="s">
        <v>247</v>
      </c>
      <c r="WON47" s="58" t="s">
        <v>248</v>
      </c>
      <c r="WOO47" s="58" t="s">
        <v>249</v>
      </c>
      <c r="WOP47" s="58" t="s">
        <v>250</v>
      </c>
      <c r="WOQ47" s="58" t="s">
        <v>247</v>
      </c>
      <c r="WOR47" s="58" t="s">
        <v>248</v>
      </c>
      <c r="WOS47" s="58" t="s">
        <v>249</v>
      </c>
      <c r="WOT47" s="58" t="s">
        <v>250</v>
      </c>
      <c r="WOU47" s="58" t="s">
        <v>247</v>
      </c>
      <c r="WOV47" s="58" t="s">
        <v>248</v>
      </c>
      <c r="WOW47" s="58" t="s">
        <v>249</v>
      </c>
      <c r="WOX47" s="58" t="s">
        <v>250</v>
      </c>
      <c r="WOY47" s="58" t="s">
        <v>247</v>
      </c>
      <c r="WOZ47" s="58" t="s">
        <v>248</v>
      </c>
      <c r="WPA47" s="58" t="s">
        <v>249</v>
      </c>
      <c r="WPB47" s="58" t="s">
        <v>250</v>
      </c>
      <c r="WPC47" s="58" t="s">
        <v>247</v>
      </c>
      <c r="WPD47" s="58" t="s">
        <v>248</v>
      </c>
      <c r="WPE47" s="58" t="s">
        <v>249</v>
      </c>
      <c r="WPF47" s="58" t="s">
        <v>250</v>
      </c>
      <c r="WPG47" s="58" t="s">
        <v>247</v>
      </c>
      <c r="WPH47" s="58" t="s">
        <v>248</v>
      </c>
      <c r="WPI47" s="58" t="s">
        <v>249</v>
      </c>
      <c r="WPJ47" s="58" t="s">
        <v>250</v>
      </c>
      <c r="WPK47" s="58" t="s">
        <v>247</v>
      </c>
      <c r="WPL47" s="58" t="s">
        <v>248</v>
      </c>
      <c r="WPM47" s="58" t="s">
        <v>249</v>
      </c>
      <c r="WPN47" s="58" t="s">
        <v>250</v>
      </c>
      <c r="WPO47" s="58" t="s">
        <v>247</v>
      </c>
      <c r="WPP47" s="58" t="s">
        <v>248</v>
      </c>
      <c r="WPQ47" s="58" t="s">
        <v>249</v>
      </c>
      <c r="WPR47" s="58" t="s">
        <v>250</v>
      </c>
      <c r="WPS47" s="58" t="s">
        <v>247</v>
      </c>
      <c r="WPT47" s="58" t="s">
        <v>248</v>
      </c>
      <c r="WPU47" s="58" t="s">
        <v>249</v>
      </c>
      <c r="WPV47" s="58" t="s">
        <v>250</v>
      </c>
      <c r="WPW47" s="58" t="s">
        <v>247</v>
      </c>
      <c r="WPX47" s="58" t="s">
        <v>248</v>
      </c>
      <c r="WPY47" s="58" t="s">
        <v>249</v>
      </c>
      <c r="WPZ47" s="58" t="s">
        <v>250</v>
      </c>
      <c r="WQA47" s="58" t="s">
        <v>247</v>
      </c>
      <c r="WQB47" s="58" t="s">
        <v>248</v>
      </c>
      <c r="WQC47" s="58" t="s">
        <v>249</v>
      </c>
      <c r="WQD47" s="58" t="s">
        <v>250</v>
      </c>
      <c r="WQE47" s="58" t="s">
        <v>247</v>
      </c>
      <c r="WQF47" s="58" t="s">
        <v>248</v>
      </c>
      <c r="WQG47" s="58" t="s">
        <v>249</v>
      </c>
      <c r="WQH47" s="58" t="s">
        <v>250</v>
      </c>
      <c r="WQI47" s="58" t="s">
        <v>247</v>
      </c>
      <c r="WQJ47" s="58" t="s">
        <v>248</v>
      </c>
      <c r="WQK47" s="58" t="s">
        <v>249</v>
      </c>
      <c r="WQL47" s="58" t="s">
        <v>250</v>
      </c>
      <c r="WQM47" s="58" t="s">
        <v>247</v>
      </c>
      <c r="WQN47" s="58" t="s">
        <v>248</v>
      </c>
      <c r="WQO47" s="58" t="s">
        <v>249</v>
      </c>
      <c r="WQP47" s="58" t="s">
        <v>250</v>
      </c>
      <c r="WQQ47" s="58" t="s">
        <v>247</v>
      </c>
      <c r="WQR47" s="58" t="s">
        <v>248</v>
      </c>
      <c r="WQS47" s="58" t="s">
        <v>249</v>
      </c>
      <c r="WQT47" s="58" t="s">
        <v>250</v>
      </c>
      <c r="WQU47" s="58" t="s">
        <v>247</v>
      </c>
      <c r="WQV47" s="58" t="s">
        <v>248</v>
      </c>
      <c r="WQW47" s="58" t="s">
        <v>249</v>
      </c>
      <c r="WQX47" s="58" t="s">
        <v>250</v>
      </c>
      <c r="WQY47" s="58" t="s">
        <v>247</v>
      </c>
      <c r="WQZ47" s="58" t="s">
        <v>248</v>
      </c>
      <c r="WRA47" s="58" t="s">
        <v>249</v>
      </c>
      <c r="WRB47" s="58" t="s">
        <v>250</v>
      </c>
      <c r="WRC47" s="58" t="s">
        <v>247</v>
      </c>
      <c r="WRD47" s="58" t="s">
        <v>248</v>
      </c>
      <c r="WRE47" s="58" t="s">
        <v>249</v>
      </c>
      <c r="WRF47" s="58" t="s">
        <v>250</v>
      </c>
      <c r="WRG47" s="58" t="s">
        <v>247</v>
      </c>
      <c r="WRH47" s="58" t="s">
        <v>248</v>
      </c>
      <c r="WRI47" s="58" t="s">
        <v>249</v>
      </c>
      <c r="WRJ47" s="58" t="s">
        <v>250</v>
      </c>
      <c r="WRK47" s="58" t="s">
        <v>247</v>
      </c>
      <c r="WRL47" s="58" t="s">
        <v>248</v>
      </c>
      <c r="WRM47" s="58" t="s">
        <v>249</v>
      </c>
      <c r="WRN47" s="58" t="s">
        <v>250</v>
      </c>
      <c r="WRO47" s="58" t="s">
        <v>247</v>
      </c>
      <c r="WRP47" s="58" t="s">
        <v>248</v>
      </c>
      <c r="WRQ47" s="58" t="s">
        <v>249</v>
      </c>
      <c r="WRR47" s="58" t="s">
        <v>250</v>
      </c>
      <c r="WRS47" s="58" t="s">
        <v>247</v>
      </c>
      <c r="WRT47" s="58" t="s">
        <v>248</v>
      </c>
      <c r="WRU47" s="58" t="s">
        <v>249</v>
      </c>
      <c r="WRV47" s="58" t="s">
        <v>250</v>
      </c>
      <c r="WRW47" s="58" t="s">
        <v>247</v>
      </c>
      <c r="WRX47" s="58" t="s">
        <v>248</v>
      </c>
      <c r="WRY47" s="58" t="s">
        <v>249</v>
      </c>
      <c r="WRZ47" s="58" t="s">
        <v>250</v>
      </c>
      <c r="WSA47" s="58" t="s">
        <v>247</v>
      </c>
      <c r="WSB47" s="58" t="s">
        <v>248</v>
      </c>
      <c r="WSC47" s="58" t="s">
        <v>249</v>
      </c>
      <c r="WSD47" s="58" t="s">
        <v>250</v>
      </c>
      <c r="WSE47" s="58" t="s">
        <v>247</v>
      </c>
      <c r="WSF47" s="58" t="s">
        <v>248</v>
      </c>
      <c r="WSG47" s="58" t="s">
        <v>249</v>
      </c>
      <c r="WSH47" s="58" t="s">
        <v>250</v>
      </c>
      <c r="WSI47" s="58" t="s">
        <v>247</v>
      </c>
      <c r="WSJ47" s="58" t="s">
        <v>248</v>
      </c>
      <c r="WSK47" s="58" t="s">
        <v>249</v>
      </c>
      <c r="WSL47" s="58" t="s">
        <v>250</v>
      </c>
      <c r="WSM47" s="58" t="s">
        <v>247</v>
      </c>
      <c r="WSN47" s="58" t="s">
        <v>248</v>
      </c>
      <c r="WSO47" s="58" t="s">
        <v>249</v>
      </c>
      <c r="WSP47" s="58" t="s">
        <v>250</v>
      </c>
      <c r="WSQ47" s="58" t="s">
        <v>247</v>
      </c>
      <c r="WSR47" s="58" t="s">
        <v>248</v>
      </c>
      <c r="WSS47" s="58" t="s">
        <v>249</v>
      </c>
      <c r="WST47" s="58" t="s">
        <v>250</v>
      </c>
      <c r="WSU47" s="58" t="s">
        <v>247</v>
      </c>
      <c r="WSV47" s="58" t="s">
        <v>248</v>
      </c>
      <c r="WSW47" s="58" t="s">
        <v>249</v>
      </c>
      <c r="WSX47" s="58" t="s">
        <v>250</v>
      </c>
      <c r="WSY47" s="58" t="s">
        <v>247</v>
      </c>
      <c r="WSZ47" s="58" t="s">
        <v>248</v>
      </c>
      <c r="WTA47" s="58" t="s">
        <v>249</v>
      </c>
      <c r="WTB47" s="58" t="s">
        <v>250</v>
      </c>
      <c r="WTC47" s="58" t="s">
        <v>247</v>
      </c>
      <c r="WTD47" s="58" t="s">
        <v>248</v>
      </c>
      <c r="WTE47" s="58" t="s">
        <v>249</v>
      </c>
      <c r="WTF47" s="58" t="s">
        <v>250</v>
      </c>
      <c r="WTG47" s="58" t="s">
        <v>247</v>
      </c>
      <c r="WTH47" s="58" t="s">
        <v>248</v>
      </c>
      <c r="WTI47" s="58" t="s">
        <v>249</v>
      </c>
      <c r="WTJ47" s="58" t="s">
        <v>250</v>
      </c>
      <c r="WTK47" s="58" t="s">
        <v>247</v>
      </c>
      <c r="WTL47" s="58" t="s">
        <v>248</v>
      </c>
      <c r="WTM47" s="58" t="s">
        <v>249</v>
      </c>
      <c r="WTN47" s="58" t="s">
        <v>250</v>
      </c>
      <c r="WTO47" s="58" t="s">
        <v>247</v>
      </c>
      <c r="WTP47" s="58" t="s">
        <v>248</v>
      </c>
      <c r="WTQ47" s="58" t="s">
        <v>249</v>
      </c>
      <c r="WTR47" s="58" t="s">
        <v>250</v>
      </c>
      <c r="WTS47" s="58" t="s">
        <v>247</v>
      </c>
      <c r="WTT47" s="58" t="s">
        <v>248</v>
      </c>
      <c r="WTU47" s="58" t="s">
        <v>249</v>
      </c>
      <c r="WTV47" s="58" t="s">
        <v>250</v>
      </c>
      <c r="WTW47" s="58" t="s">
        <v>247</v>
      </c>
      <c r="WTX47" s="58" t="s">
        <v>248</v>
      </c>
      <c r="WTY47" s="58" t="s">
        <v>249</v>
      </c>
      <c r="WTZ47" s="58" t="s">
        <v>250</v>
      </c>
      <c r="WUA47" s="58" t="s">
        <v>247</v>
      </c>
      <c r="WUB47" s="58" t="s">
        <v>248</v>
      </c>
      <c r="WUC47" s="58" t="s">
        <v>249</v>
      </c>
      <c r="WUD47" s="58" t="s">
        <v>250</v>
      </c>
      <c r="WUE47" s="58" t="s">
        <v>247</v>
      </c>
      <c r="WUF47" s="58" t="s">
        <v>248</v>
      </c>
      <c r="WUG47" s="58" t="s">
        <v>249</v>
      </c>
      <c r="WUH47" s="58" t="s">
        <v>250</v>
      </c>
      <c r="WUI47" s="58" t="s">
        <v>247</v>
      </c>
      <c r="WUJ47" s="58" t="s">
        <v>248</v>
      </c>
      <c r="WUK47" s="58" t="s">
        <v>249</v>
      </c>
      <c r="WUL47" s="58" t="s">
        <v>250</v>
      </c>
      <c r="WUM47" s="58" t="s">
        <v>247</v>
      </c>
      <c r="WUN47" s="58" t="s">
        <v>248</v>
      </c>
      <c r="WUO47" s="58" t="s">
        <v>249</v>
      </c>
      <c r="WUP47" s="58" t="s">
        <v>250</v>
      </c>
      <c r="WUQ47" s="58" t="s">
        <v>247</v>
      </c>
      <c r="WUR47" s="58" t="s">
        <v>248</v>
      </c>
      <c r="WUS47" s="58" t="s">
        <v>249</v>
      </c>
      <c r="WUT47" s="58" t="s">
        <v>250</v>
      </c>
      <c r="WUU47" s="58" t="s">
        <v>247</v>
      </c>
      <c r="WUV47" s="58" t="s">
        <v>248</v>
      </c>
      <c r="WUW47" s="58" t="s">
        <v>249</v>
      </c>
      <c r="WUX47" s="58" t="s">
        <v>250</v>
      </c>
      <c r="WUY47" s="58" t="s">
        <v>247</v>
      </c>
      <c r="WUZ47" s="58" t="s">
        <v>248</v>
      </c>
      <c r="WVA47" s="58" t="s">
        <v>249</v>
      </c>
      <c r="WVB47" s="58" t="s">
        <v>250</v>
      </c>
      <c r="WVC47" s="58" t="s">
        <v>247</v>
      </c>
      <c r="WVD47" s="58" t="s">
        <v>248</v>
      </c>
      <c r="WVE47" s="58" t="s">
        <v>249</v>
      </c>
      <c r="WVF47" s="58" t="s">
        <v>250</v>
      </c>
      <c r="WVG47" s="58" t="s">
        <v>247</v>
      </c>
      <c r="WVH47" s="58" t="s">
        <v>248</v>
      </c>
      <c r="WVI47" s="58" t="s">
        <v>249</v>
      </c>
      <c r="WVJ47" s="58" t="s">
        <v>250</v>
      </c>
      <c r="WVK47" s="58" t="s">
        <v>247</v>
      </c>
      <c r="WVL47" s="58" t="s">
        <v>248</v>
      </c>
      <c r="WVM47" s="58" t="s">
        <v>249</v>
      </c>
      <c r="WVN47" s="58" t="s">
        <v>250</v>
      </c>
      <c r="WVO47" s="58" t="s">
        <v>247</v>
      </c>
      <c r="WVP47" s="58" t="s">
        <v>248</v>
      </c>
      <c r="WVQ47" s="58" t="s">
        <v>249</v>
      </c>
      <c r="WVR47" s="58" t="s">
        <v>250</v>
      </c>
      <c r="WVS47" s="58" t="s">
        <v>247</v>
      </c>
      <c r="WVT47" s="58" t="s">
        <v>248</v>
      </c>
      <c r="WVU47" s="58" t="s">
        <v>249</v>
      </c>
      <c r="WVV47" s="58" t="s">
        <v>250</v>
      </c>
      <c r="WVW47" s="58" t="s">
        <v>247</v>
      </c>
      <c r="WVX47" s="58" t="s">
        <v>248</v>
      </c>
      <c r="WVY47" s="58" t="s">
        <v>249</v>
      </c>
      <c r="WVZ47" s="58" t="s">
        <v>250</v>
      </c>
      <c r="WWA47" s="58" t="s">
        <v>247</v>
      </c>
      <c r="WWB47" s="58" t="s">
        <v>248</v>
      </c>
      <c r="WWC47" s="58" t="s">
        <v>249</v>
      </c>
      <c r="WWD47" s="58" t="s">
        <v>250</v>
      </c>
      <c r="WWE47" s="58" t="s">
        <v>247</v>
      </c>
      <c r="WWF47" s="58" t="s">
        <v>248</v>
      </c>
      <c r="WWG47" s="58" t="s">
        <v>249</v>
      </c>
      <c r="WWH47" s="58" t="s">
        <v>250</v>
      </c>
      <c r="WWI47" s="58" t="s">
        <v>247</v>
      </c>
      <c r="WWJ47" s="58" t="s">
        <v>248</v>
      </c>
      <c r="WWK47" s="58" t="s">
        <v>249</v>
      </c>
      <c r="WWL47" s="58" t="s">
        <v>250</v>
      </c>
      <c r="WWM47" s="58" t="s">
        <v>247</v>
      </c>
      <c r="WWN47" s="58" t="s">
        <v>248</v>
      </c>
      <c r="WWO47" s="58" t="s">
        <v>249</v>
      </c>
      <c r="WWP47" s="58" t="s">
        <v>250</v>
      </c>
      <c r="WWQ47" s="58" t="s">
        <v>247</v>
      </c>
      <c r="WWR47" s="58" t="s">
        <v>248</v>
      </c>
      <c r="WWS47" s="58" t="s">
        <v>249</v>
      </c>
      <c r="WWT47" s="58" t="s">
        <v>250</v>
      </c>
      <c r="WWU47" s="58" t="s">
        <v>247</v>
      </c>
      <c r="WWV47" s="58" t="s">
        <v>248</v>
      </c>
      <c r="WWW47" s="58" t="s">
        <v>249</v>
      </c>
      <c r="WWX47" s="58" t="s">
        <v>250</v>
      </c>
      <c r="WWY47" s="58" t="s">
        <v>247</v>
      </c>
      <c r="WWZ47" s="58" t="s">
        <v>248</v>
      </c>
      <c r="WXA47" s="58" t="s">
        <v>249</v>
      </c>
      <c r="WXB47" s="58" t="s">
        <v>250</v>
      </c>
      <c r="WXC47" s="58" t="s">
        <v>247</v>
      </c>
      <c r="WXD47" s="58" t="s">
        <v>248</v>
      </c>
      <c r="WXE47" s="58" t="s">
        <v>249</v>
      </c>
      <c r="WXF47" s="58" t="s">
        <v>250</v>
      </c>
      <c r="WXG47" s="58" t="s">
        <v>247</v>
      </c>
      <c r="WXH47" s="58" t="s">
        <v>248</v>
      </c>
      <c r="WXI47" s="58" t="s">
        <v>249</v>
      </c>
      <c r="WXJ47" s="58" t="s">
        <v>250</v>
      </c>
      <c r="WXK47" s="58" t="s">
        <v>247</v>
      </c>
      <c r="WXL47" s="58" t="s">
        <v>248</v>
      </c>
      <c r="WXM47" s="58" t="s">
        <v>249</v>
      </c>
      <c r="WXN47" s="58" t="s">
        <v>250</v>
      </c>
      <c r="WXO47" s="58" t="s">
        <v>247</v>
      </c>
      <c r="WXP47" s="58" t="s">
        <v>248</v>
      </c>
      <c r="WXQ47" s="58" t="s">
        <v>249</v>
      </c>
      <c r="WXR47" s="58" t="s">
        <v>250</v>
      </c>
      <c r="WXS47" s="58" t="s">
        <v>247</v>
      </c>
      <c r="WXT47" s="58" t="s">
        <v>248</v>
      </c>
      <c r="WXU47" s="58" t="s">
        <v>249</v>
      </c>
      <c r="WXV47" s="58" t="s">
        <v>250</v>
      </c>
      <c r="WXW47" s="58" t="s">
        <v>247</v>
      </c>
      <c r="WXX47" s="58" t="s">
        <v>248</v>
      </c>
      <c r="WXY47" s="58" t="s">
        <v>249</v>
      </c>
      <c r="WXZ47" s="58" t="s">
        <v>250</v>
      </c>
      <c r="WYA47" s="58" t="s">
        <v>247</v>
      </c>
      <c r="WYB47" s="58" t="s">
        <v>248</v>
      </c>
      <c r="WYC47" s="58" t="s">
        <v>249</v>
      </c>
      <c r="WYD47" s="58" t="s">
        <v>250</v>
      </c>
      <c r="WYE47" s="58" t="s">
        <v>247</v>
      </c>
      <c r="WYF47" s="58" t="s">
        <v>248</v>
      </c>
      <c r="WYG47" s="58" t="s">
        <v>249</v>
      </c>
      <c r="WYH47" s="58" t="s">
        <v>250</v>
      </c>
      <c r="WYI47" s="58" t="s">
        <v>247</v>
      </c>
      <c r="WYJ47" s="58" t="s">
        <v>248</v>
      </c>
      <c r="WYK47" s="58" t="s">
        <v>249</v>
      </c>
      <c r="WYL47" s="58" t="s">
        <v>250</v>
      </c>
      <c r="WYM47" s="58" t="s">
        <v>247</v>
      </c>
      <c r="WYN47" s="58" t="s">
        <v>248</v>
      </c>
      <c r="WYO47" s="58" t="s">
        <v>249</v>
      </c>
      <c r="WYP47" s="58" t="s">
        <v>250</v>
      </c>
      <c r="WYQ47" s="58" t="s">
        <v>247</v>
      </c>
      <c r="WYR47" s="58" t="s">
        <v>248</v>
      </c>
      <c r="WYS47" s="58" t="s">
        <v>249</v>
      </c>
      <c r="WYT47" s="58" t="s">
        <v>250</v>
      </c>
      <c r="WYU47" s="58" t="s">
        <v>247</v>
      </c>
      <c r="WYV47" s="58" t="s">
        <v>248</v>
      </c>
      <c r="WYW47" s="58" t="s">
        <v>249</v>
      </c>
      <c r="WYX47" s="58" t="s">
        <v>250</v>
      </c>
      <c r="WYY47" s="58" t="s">
        <v>247</v>
      </c>
      <c r="WYZ47" s="58" t="s">
        <v>248</v>
      </c>
      <c r="WZA47" s="58" t="s">
        <v>249</v>
      </c>
      <c r="WZB47" s="58" t="s">
        <v>250</v>
      </c>
      <c r="WZC47" s="58" t="s">
        <v>247</v>
      </c>
      <c r="WZD47" s="58" t="s">
        <v>248</v>
      </c>
      <c r="WZE47" s="58" t="s">
        <v>249</v>
      </c>
      <c r="WZF47" s="58" t="s">
        <v>250</v>
      </c>
      <c r="WZG47" s="58" t="s">
        <v>247</v>
      </c>
      <c r="WZH47" s="58" t="s">
        <v>248</v>
      </c>
      <c r="WZI47" s="58" t="s">
        <v>249</v>
      </c>
      <c r="WZJ47" s="58" t="s">
        <v>250</v>
      </c>
      <c r="WZK47" s="58" t="s">
        <v>247</v>
      </c>
      <c r="WZL47" s="58" t="s">
        <v>248</v>
      </c>
      <c r="WZM47" s="58" t="s">
        <v>249</v>
      </c>
      <c r="WZN47" s="58" t="s">
        <v>250</v>
      </c>
      <c r="WZO47" s="58" t="s">
        <v>247</v>
      </c>
      <c r="WZP47" s="58" t="s">
        <v>248</v>
      </c>
      <c r="WZQ47" s="58" t="s">
        <v>249</v>
      </c>
      <c r="WZR47" s="58" t="s">
        <v>250</v>
      </c>
      <c r="WZS47" s="58" t="s">
        <v>247</v>
      </c>
      <c r="WZT47" s="58" t="s">
        <v>248</v>
      </c>
      <c r="WZU47" s="58" t="s">
        <v>249</v>
      </c>
      <c r="WZV47" s="58" t="s">
        <v>250</v>
      </c>
      <c r="WZW47" s="58" t="s">
        <v>247</v>
      </c>
      <c r="WZX47" s="58" t="s">
        <v>248</v>
      </c>
      <c r="WZY47" s="58" t="s">
        <v>249</v>
      </c>
      <c r="WZZ47" s="58" t="s">
        <v>250</v>
      </c>
      <c r="XAA47" s="58" t="s">
        <v>247</v>
      </c>
      <c r="XAB47" s="58" t="s">
        <v>248</v>
      </c>
      <c r="XAC47" s="58" t="s">
        <v>249</v>
      </c>
      <c r="XAD47" s="58" t="s">
        <v>250</v>
      </c>
      <c r="XAE47" s="58" t="s">
        <v>247</v>
      </c>
      <c r="XAF47" s="58" t="s">
        <v>248</v>
      </c>
      <c r="XAG47" s="58" t="s">
        <v>249</v>
      </c>
      <c r="XAH47" s="58" t="s">
        <v>250</v>
      </c>
      <c r="XAI47" s="58" t="s">
        <v>247</v>
      </c>
      <c r="XAJ47" s="58" t="s">
        <v>248</v>
      </c>
      <c r="XAK47" s="58" t="s">
        <v>249</v>
      </c>
      <c r="XAL47" s="58" t="s">
        <v>250</v>
      </c>
      <c r="XAM47" s="58" t="s">
        <v>247</v>
      </c>
      <c r="XAN47" s="58" t="s">
        <v>248</v>
      </c>
      <c r="XAO47" s="58" t="s">
        <v>249</v>
      </c>
      <c r="XAP47" s="58" t="s">
        <v>250</v>
      </c>
      <c r="XAQ47" s="58" t="s">
        <v>247</v>
      </c>
      <c r="XAR47" s="58" t="s">
        <v>248</v>
      </c>
      <c r="XAS47" s="58" t="s">
        <v>249</v>
      </c>
      <c r="XAT47" s="58" t="s">
        <v>250</v>
      </c>
      <c r="XAU47" s="58" t="s">
        <v>247</v>
      </c>
      <c r="XAV47" s="58" t="s">
        <v>248</v>
      </c>
      <c r="XAW47" s="58" t="s">
        <v>249</v>
      </c>
      <c r="XAX47" s="58" t="s">
        <v>250</v>
      </c>
      <c r="XAY47" s="58" t="s">
        <v>247</v>
      </c>
      <c r="XAZ47" s="58" t="s">
        <v>248</v>
      </c>
      <c r="XBA47" s="58" t="s">
        <v>249</v>
      </c>
      <c r="XBB47" s="58" t="s">
        <v>250</v>
      </c>
      <c r="XBC47" s="58" t="s">
        <v>247</v>
      </c>
      <c r="XBD47" s="58" t="s">
        <v>248</v>
      </c>
      <c r="XBE47" s="58" t="s">
        <v>249</v>
      </c>
      <c r="XBF47" s="58" t="s">
        <v>250</v>
      </c>
      <c r="XBG47" s="58" t="s">
        <v>247</v>
      </c>
      <c r="XBH47" s="58" t="s">
        <v>248</v>
      </c>
      <c r="XBI47" s="58" t="s">
        <v>249</v>
      </c>
      <c r="XBJ47" s="58" t="s">
        <v>250</v>
      </c>
      <c r="XBK47" s="58" t="s">
        <v>247</v>
      </c>
      <c r="XBL47" s="58" t="s">
        <v>248</v>
      </c>
      <c r="XBM47" s="58" t="s">
        <v>249</v>
      </c>
      <c r="XBN47" s="58" t="s">
        <v>250</v>
      </c>
      <c r="XBO47" s="58" t="s">
        <v>247</v>
      </c>
      <c r="XBP47" s="58" t="s">
        <v>248</v>
      </c>
      <c r="XBQ47" s="58" t="s">
        <v>249</v>
      </c>
      <c r="XBR47" s="58" t="s">
        <v>250</v>
      </c>
      <c r="XBS47" s="58" t="s">
        <v>247</v>
      </c>
      <c r="XBT47" s="58" t="s">
        <v>248</v>
      </c>
      <c r="XBU47" s="58" t="s">
        <v>249</v>
      </c>
      <c r="XBV47" s="58" t="s">
        <v>250</v>
      </c>
      <c r="XBW47" s="58" t="s">
        <v>247</v>
      </c>
      <c r="XBX47" s="58" t="s">
        <v>248</v>
      </c>
      <c r="XBY47" s="58" t="s">
        <v>249</v>
      </c>
      <c r="XBZ47" s="58" t="s">
        <v>250</v>
      </c>
      <c r="XCA47" s="58" t="s">
        <v>247</v>
      </c>
      <c r="XCB47" s="58" t="s">
        <v>248</v>
      </c>
      <c r="XCC47" s="58" t="s">
        <v>249</v>
      </c>
      <c r="XCD47" s="58" t="s">
        <v>250</v>
      </c>
      <c r="XCE47" s="58" t="s">
        <v>247</v>
      </c>
      <c r="XCF47" s="58" t="s">
        <v>248</v>
      </c>
      <c r="XCG47" s="58" t="s">
        <v>249</v>
      </c>
      <c r="XCH47" s="58" t="s">
        <v>250</v>
      </c>
      <c r="XCI47" s="58" t="s">
        <v>247</v>
      </c>
      <c r="XCJ47" s="58" t="s">
        <v>248</v>
      </c>
      <c r="XCK47" s="58" t="s">
        <v>249</v>
      </c>
      <c r="XCL47" s="58" t="s">
        <v>250</v>
      </c>
      <c r="XCM47" s="58" t="s">
        <v>247</v>
      </c>
      <c r="XCN47" s="58" t="s">
        <v>248</v>
      </c>
      <c r="XCO47" s="58" t="s">
        <v>249</v>
      </c>
      <c r="XCP47" s="58" t="s">
        <v>250</v>
      </c>
      <c r="XCQ47" s="58" t="s">
        <v>247</v>
      </c>
      <c r="XCR47" s="58" t="s">
        <v>248</v>
      </c>
      <c r="XCS47" s="58" t="s">
        <v>249</v>
      </c>
      <c r="XCT47" s="58" t="s">
        <v>250</v>
      </c>
      <c r="XCU47" s="58" t="s">
        <v>247</v>
      </c>
      <c r="XCV47" s="58" t="s">
        <v>248</v>
      </c>
      <c r="XCW47" s="58" t="s">
        <v>249</v>
      </c>
      <c r="XCX47" s="58" t="s">
        <v>250</v>
      </c>
      <c r="XCY47" s="58" t="s">
        <v>247</v>
      </c>
      <c r="XCZ47" s="58" t="s">
        <v>248</v>
      </c>
      <c r="XDA47" s="58" t="s">
        <v>249</v>
      </c>
      <c r="XDB47" s="58" t="s">
        <v>250</v>
      </c>
      <c r="XDC47" s="58" t="s">
        <v>247</v>
      </c>
      <c r="XDD47" s="58" t="s">
        <v>248</v>
      </c>
      <c r="XDE47" s="58" t="s">
        <v>249</v>
      </c>
      <c r="XDF47" s="58" t="s">
        <v>250</v>
      </c>
      <c r="XDG47" s="58" t="s">
        <v>247</v>
      </c>
      <c r="XDH47" s="58" t="s">
        <v>248</v>
      </c>
      <c r="XDI47" s="58" t="s">
        <v>249</v>
      </c>
      <c r="XDJ47" s="58" t="s">
        <v>250</v>
      </c>
      <c r="XDK47" s="58" t="s">
        <v>247</v>
      </c>
      <c r="XDL47" s="58" t="s">
        <v>248</v>
      </c>
      <c r="XDM47" s="58" t="s">
        <v>249</v>
      </c>
      <c r="XDN47" s="58" t="s">
        <v>250</v>
      </c>
      <c r="XDO47" s="58" t="s">
        <v>247</v>
      </c>
      <c r="XDP47" s="58" t="s">
        <v>248</v>
      </c>
      <c r="XDQ47" s="58" t="s">
        <v>249</v>
      </c>
      <c r="XDR47" s="58" t="s">
        <v>250</v>
      </c>
      <c r="XDS47" s="58" t="s">
        <v>247</v>
      </c>
      <c r="XDT47" s="58" t="s">
        <v>248</v>
      </c>
      <c r="XDU47" s="58" t="s">
        <v>249</v>
      </c>
      <c r="XDV47" s="58" t="s">
        <v>250</v>
      </c>
      <c r="XDW47" s="58" t="s">
        <v>247</v>
      </c>
      <c r="XDX47" s="58" t="s">
        <v>248</v>
      </c>
      <c r="XDY47" s="58" t="s">
        <v>249</v>
      </c>
      <c r="XDZ47" s="58" t="s">
        <v>250</v>
      </c>
      <c r="XEA47" s="58" t="s">
        <v>247</v>
      </c>
      <c r="XEB47" s="58" t="s">
        <v>248</v>
      </c>
      <c r="XEC47" s="58" t="s">
        <v>249</v>
      </c>
      <c r="XED47" s="58" t="s">
        <v>250</v>
      </c>
      <c r="XEE47" s="58" t="s">
        <v>247</v>
      </c>
      <c r="XEF47" s="58" t="s">
        <v>248</v>
      </c>
      <c r="XEG47" s="58" t="s">
        <v>249</v>
      </c>
      <c r="XEH47" s="58" t="s">
        <v>250</v>
      </c>
      <c r="XEI47" s="58" t="s">
        <v>247</v>
      </c>
      <c r="XEJ47" s="58" t="s">
        <v>248</v>
      </c>
      <c r="XEK47" s="58" t="s">
        <v>249</v>
      </c>
      <c r="XEL47" s="58" t="s">
        <v>250</v>
      </c>
      <c r="XEM47" s="58" t="s">
        <v>247</v>
      </c>
      <c r="XEN47" s="58" t="s">
        <v>248</v>
      </c>
      <c r="XEO47" s="58" t="s">
        <v>249</v>
      </c>
      <c r="XEP47" s="58" t="s">
        <v>250</v>
      </c>
      <c r="XEQ47" s="58" t="s">
        <v>247</v>
      </c>
      <c r="XER47" s="58" t="s">
        <v>248</v>
      </c>
      <c r="XES47" s="58" t="s">
        <v>249</v>
      </c>
      <c r="XET47" s="58" t="s">
        <v>250</v>
      </c>
      <c r="XEU47" s="58" t="s">
        <v>247</v>
      </c>
      <c r="XEV47" s="58" t="s">
        <v>248</v>
      </c>
      <c r="XEW47" s="58" t="s">
        <v>249</v>
      </c>
      <c r="XEX47" s="58" t="s">
        <v>250</v>
      </c>
      <c r="XEY47" s="58" t="s">
        <v>247</v>
      </c>
      <c r="XEZ47" s="58" t="s">
        <v>248</v>
      </c>
      <c r="XFA47" s="58" t="s">
        <v>249</v>
      </c>
      <c r="XFB47" s="58" t="s">
        <v>250</v>
      </c>
      <c r="XFC47" s="58" t="s">
        <v>247</v>
      </c>
      <c r="XFD47" s="58" t="s">
        <v>248</v>
      </c>
    </row>
    <row r="48" spans="1:16384" s="58" customFormat="1" ht="11.4" x14ac:dyDescent="0.2">
      <c r="A48" s="58" t="s">
        <v>307</v>
      </c>
    </row>
    <row r="49" spans="1:6" s="8" customFormat="1" x14ac:dyDescent="0.25">
      <c r="A49" s="36"/>
      <c r="B49" s="7"/>
      <c r="C49" s="7"/>
      <c r="D49" s="7"/>
    </row>
    <row r="50" spans="1:6" s="8" customFormat="1" x14ac:dyDescent="0.25">
      <c r="A50" s="26" t="s">
        <v>255</v>
      </c>
      <c r="B50" s="9"/>
      <c r="C50" s="9"/>
      <c r="D50" s="9"/>
    </row>
    <row r="51" spans="1:6" s="8" customFormat="1" ht="3.75" customHeight="1" x14ac:dyDescent="0.25">
      <c r="A51" s="37"/>
      <c r="B51" s="6"/>
      <c r="C51" s="6"/>
      <c r="D51" s="6"/>
    </row>
    <row r="52" spans="1:6" s="8" customFormat="1" x14ac:dyDescent="0.25">
      <c r="A52" s="61" t="s">
        <v>308</v>
      </c>
      <c r="B52" s="58" t="s">
        <v>309</v>
      </c>
      <c r="C52" s="58" t="s">
        <v>296</v>
      </c>
      <c r="D52" s="58" t="s">
        <v>310</v>
      </c>
      <c r="E52" s="45"/>
      <c r="F52" s="44"/>
    </row>
    <row r="53" spans="1:6" s="8" customFormat="1" x14ac:dyDescent="0.25">
      <c r="A53" s="40" t="s">
        <v>311</v>
      </c>
      <c r="B53" s="58" t="s">
        <v>312</v>
      </c>
      <c r="C53" s="58" t="s">
        <v>63</v>
      </c>
      <c r="D53" s="58" t="s">
        <v>103</v>
      </c>
      <c r="E53" s="45"/>
      <c r="F53" s="44"/>
    </row>
    <row r="54" spans="1:6" s="8" customFormat="1" x14ac:dyDescent="0.25">
      <c r="A54" s="61" t="s">
        <v>313</v>
      </c>
      <c r="B54" s="58" t="s">
        <v>180</v>
      </c>
      <c r="C54" s="58" t="s">
        <v>63</v>
      </c>
      <c r="D54" s="58" t="s">
        <v>103</v>
      </c>
      <c r="E54" s="45"/>
      <c r="F54" s="44"/>
    </row>
    <row r="55" spans="1:6" s="8" customFormat="1" x14ac:dyDescent="0.25">
      <c r="A55" s="40" t="s">
        <v>314</v>
      </c>
      <c r="B55" s="58" t="s">
        <v>183</v>
      </c>
      <c r="C55" s="58" t="s">
        <v>315</v>
      </c>
      <c r="D55" s="58" t="s">
        <v>103</v>
      </c>
      <c r="E55" s="45" t="s">
        <v>316</v>
      </c>
      <c r="F55" s="44"/>
    </row>
    <row r="56" spans="1:6" s="8" customFormat="1" x14ac:dyDescent="0.25">
      <c r="A56" s="40" t="s">
        <v>317</v>
      </c>
      <c r="B56" s="58" t="s">
        <v>318</v>
      </c>
      <c r="C56" s="58" t="s">
        <v>319</v>
      </c>
      <c r="D56" s="58" t="s">
        <v>103</v>
      </c>
      <c r="E56" s="45"/>
      <c r="F56" s="44"/>
    </row>
    <row r="57" spans="1:6" s="8" customFormat="1" x14ac:dyDescent="0.25">
      <c r="A57" s="40" t="s">
        <v>320</v>
      </c>
      <c r="B57" s="58" t="s">
        <v>185</v>
      </c>
      <c r="C57" s="58" t="s">
        <v>321</v>
      </c>
      <c r="D57" s="58" t="s">
        <v>78</v>
      </c>
      <c r="E57" s="45"/>
      <c r="F57" s="44"/>
    </row>
    <row r="58" spans="1:6" s="8" customFormat="1" x14ac:dyDescent="0.25">
      <c r="A58" s="35"/>
      <c r="B58" s="7"/>
      <c r="C58" s="7"/>
      <c r="D58" s="7"/>
      <c r="E58" s="45"/>
      <c r="F58" s="44"/>
    </row>
    <row r="59" spans="1:6" s="8" customFormat="1" x14ac:dyDescent="0.25">
      <c r="A59" s="26" t="s">
        <v>270</v>
      </c>
      <c r="B59" s="5"/>
      <c r="C59" s="5"/>
      <c r="D59" s="5"/>
    </row>
    <row r="60" spans="1:6" s="8" customFormat="1" ht="3.75" customHeight="1" x14ac:dyDescent="0.25">
      <c r="A60" s="38"/>
      <c r="B60" s="12"/>
      <c r="C60" s="12"/>
      <c r="D60" s="12"/>
    </row>
    <row r="61" spans="1:6" s="8" customFormat="1" x14ac:dyDescent="0.25">
      <c r="A61" s="37" t="s">
        <v>322</v>
      </c>
      <c r="B61" s="7" t="s">
        <v>323</v>
      </c>
      <c r="C61" s="7" t="s">
        <v>227</v>
      </c>
      <c r="D61" s="7" t="s">
        <v>103</v>
      </c>
      <c r="E61" s="45" t="s">
        <v>316</v>
      </c>
      <c r="F61" s="44"/>
    </row>
    <row r="62" spans="1:6" s="8" customFormat="1" x14ac:dyDescent="0.25">
      <c r="A62" s="37" t="s">
        <v>324</v>
      </c>
      <c r="B62" s="7" t="s">
        <v>325</v>
      </c>
      <c r="C62" s="7" t="s">
        <v>68</v>
      </c>
      <c r="D62" s="7" t="s">
        <v>103</v>
      </c>
      <c r="E62" s="45"/>
      <c r="F62" s="44"/>
    </row>
    <row r="63" spans="1:6" s="8" customFormat="1" x14ac:dyDescent="0.25">
      <c r="A63" s="37" t="s">
        <v>326</v>
      </c>
      <c r="B63" s="59" t="s">
        <v>327</v>
      </c>
      <c r="C63" s="7" t="s">
        <v>79</v>
      </c>
      <c r="D63" s="59" t="s">
        <v>328</v>
      </c>
      <c r="E63" s="45"/>
      <c r="F63" s="44"/>
    </row>
    <row r="64" spans="1:6" s="8" customFormat="1" x14ac:dyDescent="0.25">
      <c r="A64" s="22"/>
      <c r="B64" s="10"/>
      <c r="C64" s="10"/>
      <c r="D64" s="11"/>
      <c r="E64" s="46"/>
      <c r="F64" s="47"/>
    </row>
    <row r="65" spans="1:4" s="8" customFormat="1" x14ac:dyDescent="0.25">
      <c r="A65" s="26" t="s">
        <v>273</v>
      </c>
      <c r="B65" s="5"/>
      <c r="C65" s="5"/>
      <c r="D65" s="5"/>
    </row>
    <row r="66" spans="1:4" s="8" customFormat="1" ht="3.75" customHeight="1" x14ac:dyDescent="0.25">
      <c r="A66" s="37"/>
      <c r="B66" s="12"/>
      <c r="C66" s="12"/>
      <c r="D66" s="12"/>
    </row>
    <row r="67" spans="1:4" s="8" customFormat="1" x14ac:dyDescent="0.25">
      <c r="A67" s="35" t="s">
        <v>274</v>
      </c>
      <c r="B67" s="7" t="s">
        <v>275</v>
      </c>
      <c r="C67" s="53" t="s">
        <v>58</v>
      </c>
      <c r="D67" s="17" t="s">
        <v>276</v>
      </c>
    </row>
    <row r="68" spans="1:4" s="8" customFormat="1" x14ac:dyDescent="0.25">
      <c r="A68" s="40" t="s">
        <v>277</v>
      </c>
      <c r="B68" s="51" t="s">
        <v>38</v>
      </c>
      <c r="C68" s="17" t="str">
        <f>Einstellungen!$K$35</f>
        <v>Lt Christophe Lopez-Polo</v>
      </c>
      <c r="D68" s="17" t="s">
        <v>276</v>
      </c>
    </row>
    <row r="69" spans="1:4" s="8" customFormat="1" x14ac:dyDescent="0.25">
      <c r="A69" s="40" t="s">
        <v>249</v>
      </c>
      <c r="B69" s="13" t="s">
        <v>278</v>
      </c>
      <c r="C69" s="17" t="str">
        <f>VLOOKUP(Einstellungen!$C$6+$N$2-1,Tagesof[#Data],2)</f>
        <v>Lt Gemeinder</v>
      </c>
      <c r="D69" s="17" t="s">
        <v>276</v>
      </c>
    </row>
    <row r="70" spans="1:4" s="8" customFormat="1" x14ac:dyDescent="0.25">
      <c r="A70" s="52" t="s">
        <v>274</v>
      </c>
      <c r="B70" s="35" t="s">
        <v>279</v>
      </c>
      <c r="C70" s="17" t="s">
        <v>276</v>
      </c>
      <c r="D70" s="17" t="s">
        <v>276</v>
      </c>
    </row>
    <row r="71" spans="1:4" s="8" customFormat="1" x14ac:dyDescent="0.25">
      <c r="A71" s="35"/>
      <c r="B71" s="7"/>
      <c r="C71" s="7"/>
      <c r="D71" s="14"/>
    </row>
    <row r="72" spans="1:4" s="8" customFormat="1" x14ac:dyDescent="0.25">
      <c r="A72" s="35"/>
      <c r="B72" s="15"/>
      <c r="C72" s="7"/>
      <c r="D72" s="58" t="s">
        <v>280</v>
      </c>
    </row>
    <row r="73" spans="1:4" s="8" customFormat="1" x14ac:dyDescent="0.25">
      <c r="A73" s="28"/>
      <c r="B73" s="12"/>
      <c r="C73" s="49" t="s">
        <v>3</v>
      </c>
      <c r="D73" s="59" t="s">
        <v>281</v>
      </c>
    </row>
    <row r="74" spans="1:4" s="8" customFormat="1" x14ac:dyDescent="0.25">
      <c r="A74" s="29"/>
      <c r="B74" s="16"/>
      <c r="C74" s="17"/>
      <c r="D74" s="60"/>
    </row>
    <row r="75" spans="1:4" s="8" customFormat="1" x14ac:dyDescent="0.25">
      <c r="A75" s="11"/>
      <c r="B75" s="16"/>
      <c r="C75" s="14"/>
      <c r="D75" s="60"/>
    </row>
    <row r="76" spans="1:4" s="8" customFormat="1" x14ac:dyDescent="0.25">
      <c r="B76" s="16"/>
      <c r="C76" s="3"/>
      <c r="D76" s="60"/>
    </row>
    <row r="77" spans="1:4" s="8" customFormat="1" x14ac:dyDescent="0.25">
      <c r="A77" s="28"/>
      <c r="B77" s="16"/>
      <c r="C77" s="23" t="s">
        <v>42</v>
      </c>
      <c r="D77" s="60" t="s">
        <v>282</v>
      </c>
    </row>
    <row r="78" spans="1:4" s="8" customFormat="1" x14ac:dyDescent="0.25">
      <c r="A78" s="29"/>
      <c r="B78" s="16"/>
      <c r="C78" s="18" t="s">
        <v>237</v>
      </c>
      <c r="D78" s="60" t="s">
        <v>68</v>
      </c>
    </row>
    <row r="79" spans="1:4" s="8" customFormat="1" x14ac:dyDescent="0.25">
      <c r="A79" s="29"/>
      <c r="B79" s="16"/>
      <c r="C79" s="18"/>
      <c r="D79" s="60"/>
    </row>
    <row r="80" spans="1:4" s="8" customFormat="1" x14ac:dyDescent="0.25">
      <c r="A80" s="41"/>
      <c r="B80" s="16"/>
      <c r="C80" s="16"/>
      <c r="D80" s="16"/>
    </row>
    <row r="81" spans="1:4" s="8" customFormat="1" x14ac:dyDescent="0.25">
      <c r="A81" s="41"/>
      <c r="B81" s="16"/>
      <c r="C81" s="16"/>
      <c r="D81" s="16"/>
    </row>
    <row r="82" spans="1:4" s="8" customFormat="1" x14ac:dyDescent="0.25">
      <c r="A82" s="28" t="s">
        <v>283</v>
      </c>
      <c r="B82" s="16"/>
      <c r="C82" s="16"/>
      <c r="D82" s="16"/>
    </row>
    <row r="83" spans="1:4" s="8" customFormat="1" x14ac:dyDescent="0.25">
      <c r="A83" s="29" t="s">
        <v>284</v>
      </c>
      <c r="B83" s="16"/>
      <c r="C83" s="19"/>
      <c r="D83" s="16"/>
    </row>
    <row r="84" spans="1:4" s="8" customFormat="1" x14ac:dyDescent="0.25">
      <c r="A84" s="11" t="s">
        <v>285</v>
      </c>
      <c r="B84" s="16"/>
      <c r="C84" s="16"/>
      <c r="D84" s="16"/>
    </row>
    <row r="85" spans="1:4" s="8" customFormat="1" x14ac:dyDescent="0.25">
      <c r="B85" s="16"/>
      <c r="C85" s="16"/>
      <c r="D85" s="16"/>
    </row>
    <row r="86" spans="1:4" s="8" customFormat="1" x14ac:dyDescent="0.25">
      <c r="A86" s="28" t="s">
        <v>286</v>
      </c>
      <c r="B86" s="17"/>
      <c r="C86" s="17"/>
      <c r="D86" s="17"/>
    </row>
    <row r="87" spans="1:4" s="8" customFormat="1" x14ac:dyDescent="0.25">
      <c r="A87" s="29" t="s">
        <v>287</v>
      </c>
      <c r="B87" s="17"/>
      <c r="C87" s="17"/>
      <c r="D87" s="17"/>
    </row>
    <row r="88" spans="1:4" s="8" customFormat="1" x14ac:dyDescent="0.25">
      <c r="A88" s="43"/>
      <c r="B88" s="17"/>
      <c r="C88" s="17"/>
      <c r="D88" s="17"/>
    </row>
    <row r="89" spans="1:4" s="8" customFormat="1" x14ac:dyDescent="0.25">
      <c r="A89" s="42"/>
      <c r="B89" s="17"/>
      <c r="C89" s="17"/>
      <c r="D89" s="17"/>
    </row>
    <row r="90" spans="1:4" s="8" customFormat="1" x14ac:dyDescent="0.25">
      <c r="A90" s="39"/>
      <c r="B90" s="3"/>
      <c r="C90" s="3"/>
      <c r="D90" s="3"/>
    </row>
    <row r="91" spans="1:4" s="8" customFormat="1" x14ac:dyDescent="0.25">
      <c r="A91" s="39"/>
      <c r="B91" s="3"/>
      <c r="C91" s="3"/>
      <c r="D91" s="3"/>
    </row>
    <row r="92" spans="1:4" s="8" customFormat="1" x14ac:dyDescent="0.25">
      <c r="A92" s="39"/>
      <c r="B92" s="3"/>
      <c r="C92" s="3"/>
      <c r="D92" s="3"/>
    </row>
    <row r="93" spans="1:4" s="8" customFormat="1" x14ac:dyDescent="0.25">
      <c r="A93" s="39"/>
      <c r="B93" s="3"/>
      <c r="C93" s="3"/>
      <c r="D93" s="3"/>
    </row>
    <row r="94" spans="1:4" s="8" customFormat="1" x14ac:dyDescent="0.25">
      <c r="A94" s="39"/>
      <c r="B94" s="3"/>
      <c r="C94" s="3"/>
      <c r="D94" s="3"/>
    </row>
    <row r="95" spans="1:4" s="8" customFormat="1" x14ac:dyDescent="0.25">
      <c r="A95" s="39"/>
      <c r="B95" s="3"/>
      <c r="C95" s="3"/>
      <c r="D95" s="3"/>
    </row>
    <row r="96" spans="1:4" s="8" customFormat="1" x14ac:dyDescent="0.25">
      <c r="A96" s="39"/>
      <c r="B96" s="3"/>
      <c r="C96" s="3"/>
      <c r="D96" s="3"/>
    </row>
    <row r="97" spans="1:4" s="8" customFormat="1" x14ac:dyDescent="0.25">
      <c r="A97" s="39"/>
      <c r="B97" s="3"/>
      <c r="C97" s="3"/>
      <c r="D97" s="3"/>
    </row>
    <row r="98" spans="1:4" s="8" customFormat="1" x14ac:dyDescent="0.25">
      <c r="A98" s="39"/>
      <c r="B98" s="3"/>
      <c r="C98" s="3"/>
      <c r="D98" s="3"/>
    </row>
    <row r="99" spans="1:4" s="8" customFormat="1" ht="12" customHeight="1" x14ac:dyDescent="0.25">
      <c r="A99" s="39"/>
      <c r="B99" s="3"/>
      <c r="C99" s="3"/>
      <c r="D99" s="3"/>
    </row>
    <row r="100" spans="1:4" s="8" customFormat="1" x14ac:dyDescent="0.25">
      <c r="A100" s="39"/>
      <c r="B100" s="3"/>
      <c r="C100" s="3"/>
      <c r="D100" s="3"/>
    </row>
    <row r="101" spans="1:4" s="8" customFormat="1" x14ac:dyDescent="0.25">
      <c r="A101" s="39"/>
      <c r="B101" s="3"/>
      <c r="C101" s="3"/>
      <c r="D101" s="3"/>
    </row>
    <row r="102" spans="1:4" s="8" customFormat="1" x14ac:dyDescent="0.25">
      <c r="A102" s="39"/>
      <c r="B102" s="3"/>
      <c r="C102" s="3"/>
      <c r="D102" s="3"/>
    </row>
    <row r="103" spans="1:4" s="8" customFormat="1" x14ac:dyDescent="0.25">
      <c r="A103" s="39"/>
      <c r="B103" s="3"/>
      <c r="C103" s="3"/>
      <c r="D103" s="3"/>
    </row>
    <row r="104" spans="1:4" s="8" customFormat="1" x14ac:dyDescent="0.25">
      <c r="A104" s="39"/>
      <c r="B104" s="3"/>
      <c r="C104" s="3"/>
      <c r="D104" s="3"/>
    </row>
    <row r="105" spans="1:4" s="8" customFormat="1" x14ac:dyDescent="0.25">
      <c r="A105" s="39"/>
      <c r="B105" s="3"/>
      <c r="C105" s="3"/>
      <c r="D105" s="3"/>
    </row>
    <row r="106" spans="1:4" ht="7.5" customHeight="1" x14ac:dyDescent="0.25"/>
    <row r="108" spans="1:4" ht="7.5" customHeight="1" x14ac:dyDescent="0.25"/>
    <row r="109" spans="1:4" s="8" customFormat="1" x14ac:dyDescent="0.25">
      <c r="A109" s="39"/>
      <c r="B109" s="3"/>
      <c r="C109" s="3"/>
      <c r="D109" s="3"/>
    </row>
    <row r="110" spans="1:4" s="8" customFormat="1" x14ac:dyDescent="0.25">
      <c r="A110" s="39"/>
      <c r="B110" s="3"/>
      <c r="C110" s="3"/>
      <c r="D110" s="3"/>
    </row>
    <row r="111" spans="1:4" s="8" customFormat="1" ht="11.25" customHeight="1" x14ac:dyDescent="0.25">
      <c r="A111" s="39"/>
      <c r="B111" s="3"/>
      <c r="C111" s="3"/>
      <c r="D111" s="3"/>
    </row>
    <row r="112" spans="1:4" ht="7.5" customHeight="1" x14ac:dyDescent="0.25"/>
    <row r="114" spans="1:4" ht="7.5" customHeight="1" x14ac:dyDescent="0.25"/>
    <row r="115" spans="1:4" ht="7.5" customHeight="1" x14ac:dyDescent="0.25"/>
    <row r="116" spans="1:4" s="8" customFormat="1" x14ac:dyDescent="0.25">
      <c r="A116" s="39"/>
      <c r="B116" s="3"/>
      <c r="C116" s="3"/>
      <c r="D116" s="3"/>
    </row>
    <row r="117" spans="1:4" s="8" customFormat="1" x14ac:dyDescent="0.25">
      <c r="A117" s="39"/>
      <c r="B117" s="3"/>
      <c r="C117" s="3"/>
      <c r="D117" s="3"/>
    </row>
    <row r="118" spans="1:4" s="1" customFormat="1" ht="7.5" customHeight="1" x14ac:dyDescent="0.25">
      <c r="A118" s="39"/>
      <c r="B118" s="3"/>
      <c r="C118" s="3"/>
      <c r="D118" s="3"/>
    </row>
    <row r="119" spans="1:4" s="1" customFormat="1" x14ac:dyDescent="0.25">
      <c r="A119" s="39"/>
      <c r="B119" s="3"/>
      <c r="C119" s="3"/>
      <c r="D119" s="3"/>
    </row>
    <row r="120" spans="1:4" s="1" customFormat="1" ht="7.5" customHeight="1" x14ac:dyDescent="0.25">
      <c r="A120" s="39"/>
      <c r="B120" s="3"/>
      <c r="C120" s="3"/>
      <c r="D120" s="3"/>
    </row>
    <row r="123" spans="1:4" s="8" customFormat="1" x14ac:dyDescent="0.25">
      <c r="A123" s="39"/>
      <c r="B123" s="3"/>
      <c r="C123" s="3"/>
      <c r="D123" s="3"/>
    </row>
    <row r="124" spans="1:4" s="8" customFormat="1" x14ac:dyDescent="0.25">
      <c r="A124" s="39"/>
      <c r="B124" s="3"/>
      <c r="C124" s="3"/>
      <c r="D124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103" priority="1" operator="equal">
      <formula>"Verworfen"</formula>
    </cfRule>
    <cfRule type="cellIs" dxfId="102" priority="2" operator="equal">
      <formula>"Genehmigt durch Kdt"</formula>
    </cfRule>
    <cfRule type="cellIs" dxfId="101" priority="3" operator="equal">
      <formula>"Bereit für Kdt"</formula>
    </cfRule>
    <cfRule type="cellIs" dxfId="100" priority="4" operator="equal">
      <formula>"Entwurf"</formula>
    </cfRule>
  </conditionalFormatting>
  <dataValidations count="8">
    <dataValidation type="list" allowBlank="1" showInputMessage="1" showErrorMessage="1" sqref="C78:C79" xr:uid="{00000000-0002-0000-0100-000001000000}">
      <formula1>VerantwortungTgbf</formula1>
    </dataValidation>
    <dataValidation type="list" allowBlank="1" showInputMessage="1" showErrorMessage="1" sqref="D5" xr:uid="{00000000-0002-0000-0100-000002000000}">
      <formula1>ENTWURF</formula1>
    </dataValidation>
    <dataValidation type="list" allowBlank="1" showInputMessage="1" showErrorMessage="1" sqref="C77" xr:uid="{00000000-0002-0000-0100-000003000000}">
      <formula1>WerUnterschrift</formula1>
    </dataValidation>
    <dataValidation type="list" allowBlank="1" showInputMessage="1" showErrorMessage="1" sqref="A74 A78:A79 A83 A87" xr:uid="{58E5AE16-0802-4840-BEE7-0FBDF5177528}">
      <formula1>Verteiler</formula1>
    </dataValidation>
    <dataValidation type="list" allowBlank="1" showInputMessage="1" showErrorMessage="1" sqref="A7" xr:uid="{00000000-0002-0000-0100-000007000000}">
      <formula1>Landkarten</formula1>
    </dataValidation>
    <dataValidation type="list" showInputMessage="1" sqref="C50:C51 C58:C61 C63:C64" xr:uid="{00000000-0002-0000-0100-00000A000000}">
      <formula1>Verantwortung</formula1>
    </dataValidation>
    <dataValidation type="list" showInputMessage="1" sqref="B58 B61:B62 B50:B51 B17:B20 B22:B23" xr:uid="{00000000-0002-0000-0100-00000B000000}">
      <formula1>Tätigkeiten</formula1>
    </dataValidation>
    <dataValidation type="list" allowBlank="1" showInputMessage="1" sqref="D71 D17:D23 D64:D66 D58:D62 D50:D51 D27 D31 D35 D40 D44:D45" xr:uid="{00000000-0002-0000-0100-000009000000}">
      <formula1>Räumlichkeiten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2" manualBreakCount="2">
    <brk id="58" max="3" man="1"/>
    <brk id="87" max="3" man="1"/>
  </rowBreaks>
  <colBreaks count="1" manualBreakCount="1">
    <brk id="1" max="77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0BBCAFE-E03E-4FBC-8F62-E51B37058982}">
          <x14:formula1>
            <xm:f>Einstellungen!$N$71:$N$74</xm:f>
          </x14:formula1>
          <xm:sqref>G1</xm:sqref>
        </x14:dataValidation>
        <x14:dataValidation type="list" allowBlank="1" showInputMessage="1" xr:uid="{A9CF6DFE-A9BA-4428-85B5-AFC81C25F136}">
          <x14:formula1>
            <xm:f>Einstellungen!$H$71:$H$86</xm:f>
          </x14:formula1>
          <xm:sqref>D13 D24:D26 D28:D30 D32:D34 D36:D39 D41:D43 D46:D49 H47:H48 L47:L48 P47:P48 T47:T48 X47:X48 AB47:AB48 AF47:AF48 AJ47:AJ48 AN47:AN48 AR47:AR48 AV47:AV48 AZ47:AZ48 BD47:BD48 BH47:BH48 BL47:BL48 BP47:BP48 BT47:BT48 BX47:BX48 CB47:CB48 CF47:CF48 CJ47:CJ48 CN47:CN48 CR47:CR48 CV47:CV48 CZ47:CZ48 DD47:DD48 DH47:DH48 DL47:DL48 DP47:DP48 DT47:DT48 DX47:DX48 EB47:EB48 EF47:EF48 EJ47:EJ48 EN47:EN48 ER47:ER48 EV47:EV48 EZ47:EZ48 FD47:FD48 FH47:FH48 FL47:FL48 FP47:FP48 FT47:FT48 FX47:FX48 GB47:GB48 GF47:GF48 GJ47:GJ48 GN47:GN48 GR47:GR48 GV47:GV48 GZ47:GZ48 HD47:HD48 HH47:HH48 HL47:HL48 HP47:HP48 HT47:HT48 HX47:HX48 IB47:IB48 IF47:IF48 IJ47:IJ48 IN47:IN48 IR47:IR48 IV47:IV48 IZ47:IZ48 JD47:JD48 JH47:JH48 JL47:JL48 JP47:JP48 JT47:JT48 JX47:JX48 KB47:KB48 KF47:KF48 KJ47:KJ48 KN47:KN48 KR47:KR48 KV47:KV48 KZ47:KZ48 LD47:LD48 LH47:LH48 LL47:LL48 LP47:LP48 LT47:LT48 LX47:LX48 MB47:MB48 MF47:MF48 MJ47:MJ48 MN47:MN48 MR47:MR48 MV47:MV48 MZ47:MZ48 ND47:ND48 NH47:NH48 NL47:NL48 NP47:NP48 NT47:NT48 NX47:NX48 OB47:OB48 OF47:OF48 OJ47:OJ48 ON47:ON48 OR47:OR48 OV47:OV48 OZ47:OZ48 PD47:PD48 PH47:PH48 PL47:PL48 PP47:PP48 PT47:PT48 PX47:PX48 QB47:QB48 QF47:QF48 QJ47:QJ48 QN47:QN48 QR47:QR48 QV47:QV48 QZ47:QZ48 RD47:RD48 RH47:RH48 RL47:RL48 RP47:RP48 RT47:RT48 RX47:RX48 SB47:SB48 SF47:SF48 SJ47:SJ48 SN47:SN48 SR47:SR48 SV47:SV48 SZ47:SZ48 TD47:TD48 TH47:TH48 TL47:TL48 TP47:TP48 TT47:TT48 TX47:TX48 UB47:UB48 UF47:UF48 UJ47:UJ48 UN47:UN48 UR47:UR48 UV47:UV48 UZ47:UZ48 VD47:VD48 VH47:VH48 VL47:VL48 VP47:VP48 VT47:VT48 VX47:VX48 WB47:WB48 WF47:WF48 WJ47:WJ48 WN47:WN48 WR47:WR48 WV47:WV48 WZ47:WZ48 XD47:XD48 XH47:XH48 XL47:XL48 XP47:XP48 XT47:XT48 XX47:XX48 YB47:YB48 YF47:YF48 YJ47:YJ48 YN47:YN48 YR47:YR48 YV47:YV48 YZ47:YZ48 ZD47:ZD48 ZH47:ZH48 ZL47:ZL48 ZP47:ZP48 ZT47:ZT48 ZX47:ZX48 AAB47:AAB48 AAF47:AAF48 AAJ47:AAJ48 AAN47:AAN48 AAR47:AAR48 AAV47:AAV48 AAZ47:AAZ48 ABD47:ABD48 ABH47:ABH48 ABL47:ABL48 ABP47:ABP48 ABT47:ABT48 ABX47:ABX48 ACB47:ACB48 ACF47:ACF48 ACJ47:ACJ48 ACN47:ACN48 ACR47:ACR48 ACV47:ACV48 ACZ47:ACZ48 ADD47:ADD48 ADH47:ADH48 ADL47:ADL48 ADP47:ADP48 ADT47:ADT48 ADX47:ADX48 AEB47:AEB48 AEF47:AEF48 AEJ47:AEJ48 AEN47:AEN48 AER47:AER48 AEV47:AEV48 AEZ47:AEZ48 AFD47:AFD48 AFH47:AFH48 AFL47:AFL48 AFP47:AFP48 AFT47:AFT48 AFX47:AFX48 AGB47:AGB48 AGF47:AGF48 AGJ47:AGJ48 AGN47:AGN48 AGR47:AGR48 AGV47:AGV48 AGZ47:AGZ48 AHD47:AHD48 AHH47:AHH48 AHL47:AHL48 AHP47:AHP48 AHT47:AHT48 AHX47:AHX48 AIB47:AIB48 AIF47:AIF48 AIJ47:AIJ48 AIN47:AIN48 AIR47:AIR48 AIV47:AIV48 AIZ47:AIZ48 AJD47:AJD48 AJH47:AJH48 AJL47:AJL48 AJP47:AJP48 AJT47:AJT48 AJX47:AJX48 AKB47:AKB48 AKF47:AKF48 AKJ47:AKJ48 AKN47:AKN48 AKR47:AKR48 AKV47:AKV48 AKZ47:AKZ48 ALD47:ALD48 ALH47:ALH48 ALL47:ALL48 ALP47:ALP48 ALT47:ALT48 ALX47:ALX48 AMB47:AMB48 AMF47:AMF48 AMJ47:AMJ48 AMN47:AMN48 AMR47:AMR48 AMV47:AMV48 AMZ47:AMZ48 AND47:AND48 ANH47:ANH48 ANL47:ANL48 ANP47:ANP48 ANT47:ANT48 ANX47:ANX48 AOB47:AOB48 AOF47:AOF48 AOJ47:AOJ48 AON47:AON48 AOR47:AOR48 AOV47:AOV48 AOZ47:AOZ48 APD47:APD48 APH47:APH48 APL47:APL48 APP47:APP48 APT47:APT48 APX47:APX48 AQB47:AQB48 AQF47:AQF48 AQJ47:AQJ48 AQN47:AQN48 AQR47:AQR48 AQV47:AQV48 AQZ47:AQZ48 ARD47:ARD48 ARH47:ARH48 ARL47:ARL48 ARP47:ARP48 ART47:ART48 ARX47:ARX48 ASB47:ASB48 ASF47:ASF48 ASJ47:ASJ48 ASN47:ASN48 ASR47:ASR48 ASV47:ASV48 ASZ47:ASZ48 ATD47:ATD48 ATH47:ATH48 ATL47:ATL48 ATP47:ATP48 ATT47:ATT48 ATX47:ATX48 AUB47:AUB48 AUF47:AUF48 AUJ47:AUJ48 AUN47:AUN48 AUR47:AUR48 AUV47:AUV48 AUZ47:AUZ48 AVD47:AVD48 AVH47:AVH48 AVL47:AVL48 AVP47:AVP48 AVT47:AVT48 AVX47:AVX48 AWB47:AWB48 AWF47:AWF48 AWJ47:AWJ48 AWN47:AWN48 AWR47:AWR48 AWV47:AWV48 AWZ47:AWZ48 AXD47:AXD48 AXH47:AXH48 AXL47:AXL48 AXP47:AXP48 AXT47:AXT48 AXX47:AXX48 AYB47:AYB48 AYF47:AYF48 AYJ47:AYJ48 AYN47:AYN48 AYR47:AYR48 AYV47:AYV48 AYZ47:AYZ48 AZD47:AZD48 AZH47:AZH48 AZL47:AZL48 AZP47:AZP48 AZT47:AZT48 AZX47:AZX48 BAB47:BAB48 BAF47:BAF48 BAJ47:BAJ48 BAN47:BAN48 BAR47:BAR48 BAV47:BAV48 BAZ47:BAZ48 BBD47:BBD48 BBH47:BBH48 BBL47:BBL48 BBP47:BBP48 BBT47:BBT48 BBX47:BBX48 BCB47:BCB48 BCF47:BCF48 BCJ47:BCJ48 BCN47:BCN48 BCR47:BCR48 BCV47:BCV48 BCZ47:BCZ48 BDD47:BDD48 BDH47:BDH48 BDL47:BDL48 BDP47:BDP48 BDT47:BDT48 BDX47:BDX48 BEB47:BEB48 BEF47:BEF48 BEJ47:BEJ48 BEN47:BEN48 BER47:BER48 BEV47:BEV48 BEZ47:BEZ48 BFD47:BFD48 BFH47:BFH48 BFL47:BFL48 BFP47:BFP48 BFT47:BFT48 BFX47:BFX48 BGB47:BGB48 BGF47:BGF48 BGJ47:BGJ48 BGN47:BGN48 BGR47:BGR48 BGV47:BGV48 BGZ47:BGZ48 BHD47:BHD48 BHH47:BHH48 BHL47:BHL48 BHP47:BHP48 BHT47:BHT48 BHX47:BHX48 BIB47:BIB48 BIF47:BIF48 BIJ47:BIJ48 BIN47:BIN48 BIR47:BIR48 BIV47:BIV48 BIZ47:BIZ48 BJD47:BJD48 BJH47:BJH48 BJL47:BJL48 BJP47:BJP48 BJT47:BJT48 BJX47:BJX48 BKB47:BKB48 BKF47:BKF48 BKJ47:BKJ48 BKN47:BKN48 BKR47:BKR48 BKV47:BKV48 BKZ47:BKZ48 BLD47:BLD48 BLH47:BLH48 BLL47:BLL48 BLP47:BLP48 BLT47:BLT48 BLX47:BLX48 BMB47:BMB48 BMF47:BMF48 BMJ47:BMJ48 BMN47:BMN48 BMR47:BMR48 BMV47:BMV48 BMZ47:BMZ48 BND47:BND48 BNH47:BNH48 BNL47:BNL48 BNP47:BNP48 BNT47:BNT48 BNX47:BNX48 BOB47:BOB48 BOF47:BOF48 BOJ47:BOJ48 BON47:BON48 BOR47:BOR48 BOV47:BOV48 BOZ47:BOZ48 BPD47:BPD48 BPH47:BPH48 BPL47:BPL48 BPP47:BPP48 BPT47:BPT48 BPX47:BPX48 BQB47:BQB48 BQF47:BQF48 BQJ47:BQJ48 BQN47:BQN48 BQR47:BQR48 BQV47:BQV48 BQZ47:BQZ48 BRD47:BRD48 BRH47:BRH48 BRL47:BRL48 BRP47:BRP48 BRT47:BRT48 BRX47:BRX48 BSB47:BSB48 BSF47:BSF48 BSJ47:BSJ48 BSN47:BSN48 BSR47:BSR48 BSV47:BSV48 BSZ47:BSZ48 BTD47:BTD48 BTH47:BTH48 BTL47:BTL48 BTP47:BTP48 BTT47:BTT48 BTX47:BTX48 BUB47:BUB48 BUF47:BUF48 BUJ47:BUJ48 BUN47:BUN48 BUR47:BUR48 BUV47:BUV48 BUZ47:BUZ48 BVD47:BVD48 BVH47:BVH48 BVL47:BVL48 BVP47:BVP48 BVT47:BVT48 BVX47:BVX48 BWB47:BWB48 BWF47:BWF48 BWJ47:BWJ48 BWN47:BWN48 BWR47:BWR48 BWV47:BWV48 BWZ47:BWZ48 BXD47:BXD48 BXH47:BXH48 BXL47:BXL48 BXP47:BXP48 BXT47:BXT48 BXX47:BXX48 BYB47:BYB48 BYF47:BYF48 BYJ47:BYJ48 BYN47:BYN48 BYR47:BYR48 BYV47:BYV48 BYZ47:BYZ48 BZD47:BZD48 BZH47:BZH48 BZL47:BZL48 BZP47:BZP48 BZT47:BZT48 BZX47:BZX48 CAB47:CAB48 CAF47:CAF48 CAJ47:CAJ48 CAN47:CAN48 CAR47:CAR48 CAV47:CAV48 CAZ47:CAZ48 CBD47:CBD48 CBH47:CBH48 CBL47:CBL48 CBP47:CBP48 CBT47:CBT48 CBX47:CBX48 CCB47:CCB48 CCF47:CCF48 CCJ47:CCJ48 CCN47:CCN48 CCR47:CCR48 CCV47:CCV48 CCZ47:CCZ48 CDD47:CDD48 CDH47:CDH48 CDL47:CDL48 CDP47:CDP48 CDT47:CDT48 CDX47:CDX48 CEB47:CEB48 CEF47:CEF48 CEJ47:CEJ48 CEN47:CEN48 CER47:CER48 CEV47:CEV48 CEZ47:CEZ48 CFD47:CFD48 CFH47:CFH48 CFL47:CFL48 CFP47:CFP48 CFT47:CFT48 CFX47:CFX48 CGB47:CGB48 CGF47:CGF48 CGJ47:CGJ48 CGN47:CGN48 CGR47:CGR48 CGV47:CGV48 CGZ47:CGZ48 CHD47:CHD48 CHH47:CHH48 CHL47:CHL48 CHP47:CHP48 CHT47:CHT48 CHX47:CHX48 CIB47:CIB48 CIF47:CIF48 CIJ47:CIJ48 CIN47:CIN48 CIR47:CIR48 CIV47:CIV48 CIZ47:CIZ48 CJD47:CJD48 CJH47:CJH48 CJL47:CJL48 CJP47:CJP48 CJT47:CJT48 CJX47:CJX48 CKB47:CKB48 CKF47:CKF48 CKJ47:CKJ48 CKN47:CKN48 CKR47:CKR48 CKV47:CKV48 CKZ47:CKZ48 CLD47:CLD48 CLH47:CLH48 CLL47:CLL48 CLP47:CLP48 CLT47:CLT48 CLX47:CLX48 CMB47:CMB48 CMF47:CMF48 CMJ47:CMJ48 CMN47:CMN48 CMR47:CMR48 CMV47:CMV48 CMZ47:CMZ48 CND47:CND48 CNH47:CNH48 CNL47:CNL48 CNP47:CNP48 CNT47:CNT48 CNX47:CNX48 COB47:COB48 COF47:COF48 COJ47:COJ48 CON47:CON48 COR47:COR48 COV47:COV48 COZ47:COZ48 CPD47:CPD48 CPH47:CPH48 CPL47:CPL48 CPP47:CPP48 CPT47:CPT48 CPX47:CPX48 CQB47:CQB48 CQF47:CQF48 CQJ47:CQJ48 CQN47:CQN48 CQR47:CQR48 CQV47:CQV48 CQZ47:CQZ48 CRD47:CRD48 CRH47:CRH48 CRL47:CRL48 CRP47:CRP48 CRT47:CRT48 CRX47:CRX48 CSB47:CSB48 CSF47:CSF48 CSJ47:CSJ48 CSN47:CSN48 CSR47:CSR48 CSV47:CSV48 CSZ47:CSZ48 CTD47:CTD48 CTH47:CTH48 CTL47:CTL48 CTP47:CTP48 CTT47:CTT48 CTX47:CTX48 CUB47:CUB48 CUF47:CUF48 CUJ47:CUJ48 CUN47:CUN48 CUR47:CUR48 CUV47:CUV48 CUZ47:CUZ48 CVD47:CVD48 CVH47:CVH48 CVL47:CVL48 CVP47:CVP48 CVT47:CVT48 CVX47:CVX48 CWB47:CWB48 CWF47:CWF48 CWJ47:CWJ48 CWN47:CWN48 CWR47:CWR48 CWV47:CWV48 CWZ47:CWZ48 CXD47:CXD48 CXH47:CXH48 CXL47:CXL48 CXP47:CXP48 CXT47:CXT48 CXX47:CXX48 CYB47:CYB48 CYF47:CYF48 CYJ47:CYJ48 CYN47:CYN48 CYR47:CYR48 CYV47:CYV48 CYZ47:CYZ48 CZD47:CZD48 CZH47:CZH48 CZL47:CZL48 CZP47:CZP48 CZT47:CZT48 CZX47:CZX48 DAB47:DAB48 DAF47:DAF48 DAJ47:DAJ48 DAN47:DAN48 DAR47:DAR48 DAV47:DAV48 DAZ47:DAZ48 DBD47:DBD48 DBH47:DBH48 DBL47:DBL48 DBP47:DBP48 DBT47:DBT48 DBX47:DBX48 DCB47:DCB48 DCF47:DCF48 DCJ47:DCJ48 DCN47:DCN48 DCR47:DCR48 DCV47:DCV48 DCZ47:DCZ48 DDD47:DDD48 DDH47:DDH48 DDL47:DDL48 DDP47:DDP48 DDT47:DDT48 DDX47:DDX48 DEB47:DEB48 DEF47:DEF48 DEJ47:DEJ48 DEN47:DEN48 DER47:DER48 DEV47:DEV48 DEZ47:DEZ48 DFD47:DFD48 DFH47:DFH48 DFL47:DFL48 DFP47:DFP48 DFT47:DFT48 DFX47:DFX48 DGB47:DGB48 DGF47:DGF48 DGJ47:DGJ48 DGN47:DGN48 DGR47:DGR48 DGV47:DGV48 DGZ47:DGZ48 DHD47:DHD48 DHH47:DHH48 DHL47:DHL48 DHP47:DHP48 DHT47:DHT48 DHX47:DHX48 DIB47:DIB48 DIF47:DIF48 DIJ47:DIJ48 DIN47:DIN48 DIR47:DIR48 DIV47:DIV48 DIZ47:DIZ48 DJD47:DJD48 DJH47:DJH48 DJL47:DJL48 DJP47:DJP48 DJT47:DJT48 DJX47:DJX48 DKB47:DKB48 DKF47:DKF48 DKJ47:DKJ48 DKN47:DKN48 DKR47:DKR48 DKV47:DKV48 DKZ47:DKZ48 DLD47:DLD48 DLH47:DLH48 DLL47:DLL48 DLP47:DLP48 DLT47:DLT48 DLX47:DLX48 DMB47:DMB48 DMF47:DMF48 DMJ47:DMJ48 DMN47:DMN48 DMR47:DMR48 DMV47:DMV48 DMZ47:DMZ48 DND47:DND48 DNH47:DNH48 DNL47:DNL48 DNP47:DNP48 DNT47:DNT48 DNX47:DNX48 DOB47:DOB48 DOF47:DOF48 DOJ47:DOJ48 DON47:DON48 DOR47:DOR48 DOV47:DOV48 DOZ47:DOZ48 DPD47:DPD48 DPH47:DPH48 DPL47:DPL48 DPP47:DPP48 DPT47:DPT48 DPX47:DPX48 DQB47:DQB48 DQF47:DQF48 DQJ47:DQJ48 DQN47:DQN48 DQR47:DQR48 DQV47:DQV48 DQZ47:DQZ48 DRD47:DRD48 DRH47:DRH48 DRL47:DRL48 DRP47:DRP48 DRT47:DRT48 DRX47:DRX48 DSB47:DSB48 DSF47:DSF48 DSJ47:DSJ48 DSN47:DSN48 DSR47:DSR48 DSV47:DSV48 DSZ47:DSZ48 DTD47:DTD48 DTH47:DTH48 DTL47:DTL48 DTP47:DTP48 DTT47:DTT48 DTX47:DTX48 DUB47:DUB48 DUF47:DUF48 DUJ47:DUJ48 DUN47:DUN48 DUR47:DUR48 DUV47:DUV48 DUZ47:DUZ48 DVD47:DVD48 DVH47:DVH48 DVL47:DVL48 DVP47:DVP48 DVT47:DVT48 DVX47:DVX48 DWB47:DWB48 DWF47:DWF48 DWJ47:DWJ48 DWN47:DWN48 DWR47:DWR48 DWV47:DWV48 DWZ47:DWZ48 DXD47:DXD48 DXH47:DXH48 DXL47:DXL48 DXP47:DXP48 DXT47:DXT48 DXX47:DXX48 DYB47:DYB48 DYF47:DYF48 DYJ47:DYJ48 DYN47:DYN48 DYR47:DYR48 DYV47:DYV48 DYZ47:DYZ48 DZD47:DZD48 DZH47:DZH48 DZL47:DZL48 DZP47:DZP48 DZT47:DZT48 DZX47:DZX48 EAB47:EAB48 EAF47:EAF48 EAJ47:EAJ48 EAN47:EAN48 EAR47:EAR48 EAV47:EAV48 EAZ47:EAZ48 EBD47:EBD48 EBH47:EBH48 EBL47:EBL48 EBP47:EBP48 EBT47:EBT48 EBX47:EBX48 ECB47:ECB48 ECF47:ECF48 ECJ47:ECJ48 ECN47:ECN48 ECR47:ECR48 ECV47:ECV48 ECZ47:ECZ48 EDD47:EDD48 EDH47:EDH48 EDL47:EDL48 EDP47:EDP48 EDT47:EDT48 EDX47:EDX48 EEB47:EEB48 EEF47:EEF48 EEJ47:EEJ48 EEN47:EEN48 EER47:EER48 EEV47:EEV48 EEZ47:EEZ48 EFD47:EFD48 EFH47:EFH48 EFL47:EFL48 EFP47:EFP48 EFT47:EFT48 EFX47:EFX48 EGB47:EGB48 EGF47:EGF48 EGJ47:EGJ48 EGN47:EGN48 EGR47:EGR48 EGV47:EGV48 EGZ47:EGZ48 EHD47:EHD48 EHH47:EHH48 EHL47:EHL48 EHP47:EHP48 EHT47:EHT48 EHX47:EHX48 EIB47:EIB48 EIF47:EIF48 EIJ47:EIJ48 EIN47:EIN48 EIR47:EIR48 EIV47:EIV48 EIZ47:EIZ48 EJD47:EJD48 EJH47:EJH48 EJL47:EJL48 EJP47:EJP48 EJT47:EJT48 EJX47:EJX48 EKB47:EKB48 EKF47:EKF48 EKJ47:EKJ48 EKN47:EKN48 EKR47:EKR48 EKV47:EKV48 EKZ47:EKZ48 ELD47:ELD48 ELH47:ELH48 ELL47:ELL48 ELP47:ELP48 ELT47:ELT48 ELX47:ELX48 EMB47:EMB48 EMF47:EMF48 EMJ47:EMJ48 EMN47:EMN48 EMR47:EMR48 EMV47:EMV48 EMZ47:EMZ48 END47:END48 ENH47:ENH48 ENL47:ENL48 ENP47:ENP48 ENT47:ENT48 ENX47:ENX48 EOB47:EOB48 EOF47:EOF48 EOJ47:EOJ48 EON47:EON48 EOR47:EOR48 EOV47:EOV48 EOZ47:EOZ48 EPD47:EPD48 EPH47:EPH48 EPL47:EPL48 EPP47:EPP48 EPT47:EPT48 EPX47:EPX48 EQB47:EQB48 EQF47:EQF48 EQJ47:EQJ48 EQN47:EQN48 EQR47:EQR48 EQV47:EQV48 EQZ47:EQZ48 ERD47:ERD48 ERH47:ERH48 ERL47:ERL48 ERP47:ERP48 ERT47:ERT48 ERX47:ERX48 ESB47:ESB48 ESF47:ESF48 ESJ47:ESJ48 ESN47:ESN48 ESR47:ESR48 ESV47:ESV48 ESZ47:ESZ48 ETD47:ETD48 ETH47:ETH48 ETL47:ETL48 ETP47:ETP48 ETT47:ETT48 ETX47:ETX48 EUB47:EUB48 EUF47:EUF48 EUJ47:EUJ48 EUN47:EUN48 EUR47:EUR48 EUV47:EUV48 EUZ47:EUZ48 EVD47:EVD48 EVH47:EVH48 EVL47:EVL48 EVP47:EVP48 EVT47:EVT48 EVX47:EVX48 EWB47:EWB48 EWF47:EWF48 EWJ47:EWJ48 EWN47:EWN48 EWR47:EWR48 EWV47:EWV48 EWZ47:EWZ48 EXD47:EXD48 EXH47:EXH48 EXL47:EXL48 EXP47:EXP48 EXT47:EXT48 EXX47:EXX48 EYB47:EYB48 EYF47:EYF48 EYJ47:EYJ48 EYN47:EYN48 EYR47:EYR48 EYV47:EYV48 EYZ47:EYZ48 EZD47:EZD48 EZH47:EZH48 EZL47:EZL48 EZP47:EZP48 EZT47:EZT48 EZX47:EZX48 FAB47:FAB48 FAF47:FAF48 FAJ47:FAJ48 FAN47:FAN48 FAR47:FAR48 FAV47:FAV48 FAZ47:FAZ48 FBD47:FBD48 FBH47:FBH48 FBL47:FBL48 FBP47:FBP48 FBT47:FBT48 FBX47:FBX48 FCB47:FCB48 FCF47:FCF48 FCJ47:FCJ48 FCN47:FCN48 FCR47:FCR48 FCV47:FCV48 FCZ47:FCZ48 FDD47:FDD48 FDH47:FDH48 FDL47:FDL48 FDP47:FDP48 FDT47:FDT48 FDX47:FDX48 FEB47:FEB48 FEF47:FEF48 FEJ47:FEJ48 FEN47:FEN48 FER47:FER48 FEV47:FEV48 FEZ47:FEZ48 FFD47:FFD48 FFH47:FFH48 FFL47:FFL48 FFP47:FFP48 FFT47:FFT48 FFX47:FFX48 FGB47:FGB48 FGF47:FGF48 FGJ47:FGJ48 FGN47:FGN48 FGR47:FGR48 FGV47:FGV48 FGZ47:FGZ48 FHD47:FHD48 FHH47:FHH48 FHL47:FHL48 FHP47:FHP48 FHT47:FHT48 FHX47:FHX48 FIB47:FIB48 FIF47:FIF48 FIJ47:FIJ48 FIN47:FIN48 FIR47:FIR48 FIV47:FIV48 FIZ47:FIZ48 FJD47:FJD48 FJH47:FJH48 FJL47:FJL48 FJP47:FJP48 FJT47:FJT48 FJX47:FJX48 FKB47:FKB48 FKF47:FKF48 FKJ47:FKJ48 FKN47:FKN48 FKR47:FKR48 FKV47:FKV48 FKZ47:FKZ48 FLD47:FLD48 FLH47:FLH48 FLL47:FLL48 FLP47:FLP48 FLT47:FLT48 FLX47:FLX48 FMB47:FMB48 FMF47:FMF48 FMJ47:FMJ48 FMN47:FMN48 FMR47:FMR48 FMV47:FMV48 FMZ47:FMZ48 FND47:FND48 FNH47:FNH48 FNL47:FNL48 FNP47:FNP48 FNT47:FNT48 FNX47:FNX48 FOB47:FOB48 FOF47:FOF48 FOJ47:FOJ48 FON47:FON48 FOR47:FOR48 FOV47:FOV48 FOZ47:FOZ48 FPD47:FPD48 FPH47:FPH48 FPL47:FPL48 FPP47:FPP48 FPT47:FPT48 FPX47:FPX48 FQB47:FQB48 FQF47:FQF48 FQJ47:FQJ48 FQN47:FQN48 FQR47:FQR48 FQV47:FQV48 FQZ47:FQZ48 FRD47:FRD48 FRH47:FRH48 FRL47:FRL48 FRP47:FRP48 FRT47:FRT48 FRX47:FRX48 FSB47:FSB48 FSF47:FSF48 FSJ47:FSJ48 FSN47:FSN48 FSR47:FSR48 FSV47:FSV48 FSZ47:FSZ48 FTD47:FTD48 FTH47:FTH48 FTL47:FTL48 FTP47:FTP48 FTT47:FTT48 FTX47:FTX48 FUB47:FUB48 FUF47:FUF48 FUJ47:FUJ48 FUN47:FUN48 FUR47:FUR48 FUV47:FUV48 FUZ47:FUZ48 FVD47:FVD48 FVH47:FVH48 FVL47:FVL48 FVP47:FVP48 FVT47:FVT48 FVX47:FVX48 FWB47:FWB48 FWF47:FWF48 FWJ47:FWJ48 FWN47:FWN48 FWR47:FWR48 FWV47:FWV48 FWZ47:FWZ48 FXD47:FXD48 FXH47:FXH48 FXL47:FXL48 FXP47:FXP48 FXT47:FXT48 FXX47:FXX48 FYB47:FYB48 FYF47:FYF48 FYJ47:FYJ48 FYN47:FYN48 FYR47:FYR48 FYV47:FYV48 FYZ47:FYZ48 FZD47:FZD48 FZH47:FZH48 FZL47:FZL48 FZP47:FZP48 FZT47:FZT48 FZX47:FZX48 GAB47:GAB48 GAF47:GAF48 GAJ47:GAJ48 GAN47:GAN48 GAR47:GAR48 GAV47:GAV48 GAZ47:GAZ48 GBD47:GBD48 GBH47:GBH48 GBL47:GBL48 GBP47:GBP48 GBT47:GBT48 GBX47:GBX48 GCB47:GCB48 GCF47:GCF48 GCJ47:GCJ48 GCN47:GCN48 GCR47:GCR48 GCV47:GCV48 GCZ47:GCZ48 GDD47:GDD48 GDH47:GDH48 GDL47:GDL48 GDP47:GDP48 GDT47:GDT48 GDX47:GDX48 GEB47:GEB48 GEF47:GEF48 GEJ47:GEJ48 GEN47:GEN48 GER47:GER48 GEV47:GEV48 GEZ47:GEZ48 GFD47:GFD48 GFH47:GFH48 GFL47:GFL48 GFP47:GFP48 GFT47:GFT48 GFX47:GFX48 GGB47:GGB48 GGF47:GGF48 GGJ47:GGJ48 GGN47:GGN48 GGR47:GGR48 GGV47:GGV48 GGZ47:GGZ48 GHD47:GHD48 GHH47:GHH48 GHL47:GHL48 GHP47:GHP48 GHT47:GHT48 GHX47:GHX48 GIB47:GIB48 GIF47:GIF48 GIJ47:GIJ48 GIN47:GIN48 GIR47:GIR48 GIV47:GIV48 GIZ47:GIZ48 GJD47:GJD48 GJH47:GJH48 GJL47:GJL48 GJP47:GJP48 GJT47:GJT48 GJX47:GJX48 GKB47:GKB48 GKF47:GKF48 GKJ47:GKJ48 GKN47:GKN48 GKR47:GKR48 GKV47:GKV48 GKZ47:GKZ48 GLD47:GLD48 GLH47:GLH48 GLL47:GLL48 GLP47:GLP48 GLT47:GLT48 GLX47:GLX48 GMB47:GMB48 GMF47:GMF48 GMJ47:GMJ48 GMN47:GMN48 GMR47:GMR48 GMV47:GMV48 GMZ47:GMZ48 GND47:GND48 GNH47:GNH48 GNL47:GNL48 GNP47:GNP48 GNT47:GNT48 GNX47:GNX48 GOB47:GOB48 GOF47:GOF48 GOJ47:GOJ48 GON47:GON48 GOR47:GOR48 GOV47:GOV48 GOZ47:GOZ48 GPD47:GPD48 GPH47:GPH48 GPL47:GPL48 GPP47:GPP48 GPT47:GPT48 GPX47:GPX48 GQB47:GQB48 GQF47:GQF48 GQJ47:GQJ48 GQN47:GQN48 GQR47:GQR48 GQV47:GQV48 GQZ47:GQZ48 GRD47:GRD48 GRH47:GRH48 GRL47:GRL48 GRP47:GRP48 GRT47:GRT48 GRX47:GRX48 GSB47:GSB48 GSF47:GSF48 GSJ47:GSJ48 GSN47:GSN48 GSR47:GSR48 GSV47:GSV48 GSZ47:GSZ48 GTD47:GTD48 GTH47:GTH48 GTL47:GTL48 GTP47:GTP48 GTT47:GTT48 GTX47:GTX48 GUB47:GUB48 GUF47:GUF48 GUJ47:GUJ48 GUN47:GUN48 GUR47:GUR48 GUV47:GUV48 GUZ47:GUZ48 GVD47:GVD48 GVH47:GVH48 GVL47:GVL48 GVP47:GVP48 GVT47:GVT48 GVX47:GVX48 GWB47:GWB48 GWF47:GWF48 GWJ47:GWJ48 GWN47:GWN48 GWR47:GWR48 GWV47:GWV48 GWZ47:GWZ48 GXD47:GXD48 GXH47:GXH48 GXL47:GXL48 GXP47:GXP48 GXT47:GXT48 GXX47:GXX48 GYB47:GYB48 GYF47:GYF48 GYJ47:GYJ48 GYN47:GYN48 GYR47:GYR48 GYV47:GYV48 GYZ47:GYZ48 GZD47:GZD48 GZH47:GZH48 GZL47:GZL48 GZP47:GZP48 GZT47:GZT48 GZX47:GZX48 HAB47:HAB48 HAF47:HAF48 HAJ47:HAJ48 HAN47:HAN48 HAR47:HAR48 HAV47:HAV48 HAZ47:HAZ48 HBD47:HBD48 HBH47:HBH48 HBL47:HBL48 HBP47:HBP48 HBT47:HBT48 HBX47:HBX48 HCB47:HCB48 HCF47:HCF48 HCJ47:HCJ48 HCN47:HCN48 HCR47:HCR48 HCV47:HCV48 HCZ47:HCZ48 HDD47:HDD48 HDH47:HDH48 HDL47:HDL48 HDP47:HDP48 HDT47:HDT48 HDX47:HDX48 HEB47:HEB48 HEF47:HEF48 HEJ47:HEJ48 HEN47:HEN48 HER47:HER48 HEV47:HEV48 HEZ47:HEZ48 HFD47:HFD48 HFH47:HFH48 HFL47:HFL48 HFP47:HFP48 HFT47:HFT48 HFX47:HFX48 HGB47:HGB48 HGF47:HGF48 HGJ47:HGJ48 HGN47:HGN48 HGR47:HGR48 HGV47:HGV48 HGZ47:HGZ48 HHD47:HHD48 HHH47:HHH48 HHL47:HHL48 HHP47:HHP48 HHT47:HHT48 HHX47:HHX48 HIB47:HIB48 HIF47:HIF48 HIJ47:HIJ48 HIN47:HIN48 HIR47:HIR48 HIV47:HIV48 HIZ47:HIZ48 HJD47:HJD48 HJH47:HJH48 HJL47:HJL48 HJP47:HJP48 HJT47:HJT48 HJX47:HJX48 HKB47:HKB48 HKF47:HKF48 HKJ47:HKJ48 HKN47:HKN48 HKR47:HKR48 HKV47:HKV48 HKZ47:HKZ48 HLD47:HLD48 HLH47:HLH48 HLL47:HLL48 HLP47:HLP48 HLT47:HLT48 HLX47:HLX48 HMB47:HMB48 HMF47:HMF48 HMJ47:HMJ48 HMN47:HMN48 HMR47:HMR48 HMV47:HMV48 HMZ47:HMZ48 HND47:HND48 HNH47:HNH48 HNL47:HNL48 HNP47:HNP48 HNT47:HNT48 HNX47:HNX48 HOB47:HOB48 HOF47:HOF48 HOJ47:HOJ48 HON47:HON48 HOR47:HOR48 HOV47:HOV48 HOZ47:HOZ48 HPD47:HPD48 HPH47:HPH48 HPL47:HPL48 HPP47:HPP48 HPT47:HPT48 HPX47:HPX48 HQB47:HQB48 HQF47:HQF48 HQJ47:HQJ48 HQN47:HQN48 HQR47:HQR48 HQV47:HQV48 HQZ47:HQZ48 HRD47:HRD48 HRH47:HRH48 HRL47:HRL48 HRP47:HRP48 HRT47:HRT48 HRX47:HRX48 HSB47:HSB48 HSF47:HSF48 HSJ47:HSJ48 HSN47:HSN48 HSR47:HSR48 HSV47:HSV48 HSZ47:HSZ48 HTD47:HTD48 HTH47:HTH48 HTL47:HTL48 HTP47:HTP48 HTT47:HTT48 HTX47:HTX48 HUB47:HUB48 HUF47:HUF48 HUJ47:HUJ48 HUN47:HUN48 HUR47:HUR48 HUV47:HUV48 HUZ47:HUZ48 HVD47:HVD48 HVH47:HVH48 HVL47:HVL48 HVP47:HVP48 HVT47:HVT48 HVX47:HVX48 HWB47:HWB48 HWF47:HWF48 HWJ47:HWJ48 HWN47:HWN48 HWR47:HWR48 HWV47:HWV48 HWZ47:HWZ48 HXD47:HXD48 HXH47:HXH48 HXL47:HXL48 HXP47:HXP48 HXT47:HXT48 HXX47:HXX48 HYB47:HYB48 HYF47:HYF48 HYJ47:HYJ48 HYN47:HYN48 HYR47:HYR48 HYV47:HYV48 HYZ47:HYZ48 HZD47:HZD48 HZH47:HZH48 HZL47:HZL48 HZP47:HZP48 HZT47:HZT48 HZX47:HZX48 IAB47:IAB48 IAF47:IAF48 IAJ47:IAJ48 IAN47:IAN48 IAR47:IAR48 IAV47:IAV48 IAZ47:IAZ48 IBD47:IBD48 IBH47:IBH48 IBL47:IBL48 IBP47:IBP48 IBT47:IBT48 IBX47:IBX48 ICB47:ICB48 ICF47:ICF48 ICJ47:ICJ48 ICN47:ICN48 ICR47:ICR48 ICV47:ICV48 ICZ47:ICZ48 IDD47:IDD48 IDH47:IDH48 IDL47:IDL48 IDP47:IDP48 IDT47:IDT48 IDX47:IDX48 IEB47:IEB48 IEF47:IEF48 IEJ47:IEJ48 IEN47:IEN48 IER47:IER48 IEV47:IEV48 IEZ47:IEZ48 IFD47:IFD48 IFH47:IFH48 IFL47:IFL48 IFP47:IFP48 IFT47:IFT48 IFX47:IFX48 IGB47:IGB48 IGF47:IGF48 IGJ47:IGJ48 IGN47:IGN48 IGR47:IGR48 IGV47:IGV48 IGZ47:IGZ48 IHD47:IHD48 IHH47:IHH48 IHL47:IHL48 IHP47:IHP48 IHT47:IHT48 IHX47:IHX48 IIB47:IIB48 IIF47:IIF48 IIJ47:IIJ48 IIN47:IIN48 IIR47:IIR48 IIV47:IIV48 IIZ47:IIZ48 IJD47:IJD48 IJH47:IJH48 IJL47:IJL48 IJP47:IJP48 IJT47:IJT48 IJX47:IJX48 IKB47:IKB48 IKF47:IKF48 IKJ47:IKJ48 IKN47:IKN48 IKR47:IKR48 IKV47:IKV48 IKZ47:IKZ48 ILD47:ILD48 ILH47:ILH48 ILL47:ILL48 ILP47:ILP48 ILT47:ILT48 ILX47:ILX48 IMB47:IMB48 IMF47:IMF48 IMJ47:IMJ48 IMN47:IMN48 IMR47:IMR48 IMV47:IMV48 IMZ47:IMZ48 IND47:IND48 INH47:INH48 INL47:INL48 INP47:INP48 INT47:INT48 INX47:INX48 IOB47:IOB48 IOF47:IOF48 IOJ47:IOJ48 ION47:ION48 IOR47:IOR48 IOV47:IOV48 IOZ47:IOZ48 IPD47:IPD48 IPH47:IPH48 IPL47:IPL48 IPP47:IPP48 IPT47:IPT48 IPX47:IPX48 IQB47:IQB48 IQF47:IQF48 IQJ47:IQJ48 IQN47:IQN48 IQR47:IQR48 IQV47:IQV48 IQZ47:IQZ48 IRD47:IRD48 IRH47:IRH48 IRL47:IRL48 IRP47:IRP48 IRT47:IRT48 IRX47:IRX48 ISB47:ISB48 ISF47:ISF48 ISJ47:ISJ48 ISN47:ISN48 ISR47:ISR48 ISV47:ISV48 ISZ47:ISZ48 ITD47:ITD48 ITH47:ITH48 ITL47:ITL48 ITP47:ITP48 ITT47:ITT48 ITX47:ITX48 IUB47:IUB48 IUF47:IUF48 IUJ47:IUJ48 IUN47:IUN48 IUR47:IUR48 IUV47:IUV48 IUZ47:IUZ48 IVD47:IVD48 IVH47:IVH48 IVL47:IVL48 IVP47:IVP48 IVT47:IVT48 IVX47:IVX48 IWB47:IWB48 IWF47:IWF48 IWJ47:IWJ48 IWN47:IWN48 IWR47:IWR48 IWV47:IWV48 IWZ47:IWZ48 IXD47:IXD48 IXH47:IXH48 IXL47:IXL48 IXP47:IXP48 IXT47:IXT48 IXX47:IXX48 IYB47:IYB48 IYF47:IYF48 IYJ47:IYJ48 IYN47:IYN48 IYR47:IYR48 IYV47:IYV48 IYZ47:IYZ48 IZD47:IZD48 IZH47:IZH48 IZL47:IZL48 IZP47:IZP48 IZT47:IZT48 IZX47:IZX48 JAB47:JAB48 JAF47:JAF48 JAJ47:JAJ48 JAN47:JAN48 JAR47:JAR48 JAV47:JAV48 JAZ47:JAZ48 JBD47:JBD48 JBH47:JBH48 JBL47:JBL48 JBP47:JBP48 JBT47:JBT48 JBX47:JBX48 JCB47:JCB48 JCF47:JCF48 JCJ47:JCJ48 JCN47:JCN48 JCR47:JCR48 JCV47:JCV48 JCZ47:JCZ48 JDD47:JDD48 JDH47:JDH48 JDL47:JDL48 JDP47:JDP48 JDT47:JDT48 JDX47:JDX48 JEB47:JEB48 JEF47:JEF48 JEJ47:JEJ48 JEN47:JEN48 JER47:JER48 JEV47:JEV48 JEZ47:JEZ48 JFD47:JFD48 JFH47:JFH48 JFL47:JFL48 JFP47:JFP48 JFT47:JFT48 JFX47:JFX48 JGB47:JGB48 JGF47:JGF48 JGJ47:JGJ48 JGN47:JGN48 JGR47:JGR48 JGV47:JGV48 JGZ47:JGZ48 JHD47:JHD48 JHH47:JHH48 JHL47:JHL48 JHP47:JHP48 JHT47:JHT48 JHX47:JHX48 JIB47:JIB48 JIF47:JIF48 JIJ47:JIJ48 JIN47:JIN48 JIR47:JIR48 JIV47:JIV48 JIZ47:JIZ48 JJD47:JJD48 JJH47:JJH48 JJL47:JJL48 JJP47:JJP48 JJT47:JJT48 JJX47:JJX48 JKB47:JKB48 JKF47:JKF48 JKJ47:JKJ48 JKN47:JKN48 JKR47:JKR48 JKV47:JKV48 JKZ47:JKZ48 JLD47:JLD48 JLH47:JLH48 JLL47:JLL48 JLP47:JLP48 JLT47:JLT48 JLX47:JLX48 JMB47:JMB48 JMF47:JMF48 JMJ47:JMJ48 JMN47:JMN48 JMR47:JMR48 JMV47:JMV48 JMZ47:JMZ48 JND47:JND48 JNH47:JNH48 JNL47:JNL48 JNP47:JNP48 JNT47:JNT48 JNX47:JNX48 JOB47:JOB48 JOF47:JOF48 JOJ47:JOJ48 JON47:JON48 JOR47:JOR48 JOV47:JOV48 JOZ47:JOZ48 JPD47:JPD48 JPH47:JPH48 JPL47:JPL48 JPP47:JPP48 JPT47:JPT48 JPX47:JPX48 JQB47:JQB48 JQF47:JQF48 JQJ47:JQJ48 JQN47:JQN48 JQR47:JQR48 JQV47:JQV48 JQZ47:JQZ48 JRD47:JRD48 JRH47:JRH48 JRL47:JRL48 JRP47:JRP48 JRT47:JRT48 JRX47:JRX48 JSB47:JSB48 JSF47:JSF48 JSJ47:JSJ48 JSN47:JSN48 JSR47:JSR48 JSV47:JSV48 JSZ47:JSZ48 JTD47:JTD48 JTH47:JTH48 JTL47:JTL48 JTP47:JTP48 JTT47:JTT48 JTX47:JTX48 JUB47:JUB48 JUF47:JUF48 JUJ47:JUJ48 JUN47:JUN48 JUR47:JUR48 JUV47:JUV48 JUZ47:JUZ48 JVD47:JVD48 JVH47:JVH48 JVL47:JVL48 JVP47:JVP48 JVT47:JVT48 JVX47:JVX48 JWB47:JWB48 JWF47:JWF48 JWJ47:JWJ48 JWN47:JWN48 JWR47:JWR48 JWV47:JWV48 JWZ47:JWZ48 JXD47:JXD48 JXH47:JXH48 JXL47:JXL48 JXP47:JXP48 JXT47:JXT48 JXX47:JXX48 JYB47:JYB48 JYF47:JYF48 JYJ47:JYJ48 JYN47:JYN48 JYR47:JYR48 JYV47:JYV48 JYZ47:JYZ48 JZD47:JZD48 JZH47:JZH48 JZL47:JZL48 JZP47:JZP48 JZT47:JZT48 JZX47:JZX48 KAB47:KAB48 KAF47:KAF48 KAJ47:KAJ48 KAN47:KAN48 KAR47:KAR48 KAV47:KAV48 KAZ47:KAZ48 KBD47:KBD48 KBH47:KBH48 KBL47:KBL48 KBP47:KBP48 KBT47:KBT48 KBX47:KBX48 KCB47:KCB48 KCF47:KCF48 KCJ47:KCJ48 KCN47:KCN48 KCR47:KCR48 KCV47:KCV48 KCZ47:KCZ48 KDD47:KDD48 KDH47:KDH48 KDL47:KDL48 KDP47:KDP48 KDT47:KDT48 KDX47:KDX48 KEB47:KEB48 KEF47:KEF48 KEJ47:KEJ48 KEN47:KEN48 KER47:KER48 KEV47:KEV48 KEZ47:KEZ48 KFD47:KFD48 KFH47:KFH48 KFL47:KFL48 KFP47:KFP48 KFT47:KFT48 KFX47:KFX48 KGB47:KGB48 KGF47:KGF48 KGJ47:KGJ48 KGN47:KGN48 KGR47:KGR48 KGV47:KGV48 KGZ47:KGZ48 KHD47:KHD48 KHH47:KHH48 KHL47:KHL48 KHP47:KHP48 KHT47:KHT48 KHX47:KHX48 KIB47:KIB48 KIF47:KIF48 KIJ47:KIJ48 KIN47:KIN48 KIR47:KIR48 KIV47:KIV48 KIZ47:KIZ48 KJD47:KJD48 KJH47:KJH48 KJL47:KJL48 KJP47:KJP48 KJT47:KJT48 KJX47:KJX48 KKB47:KKB48 KKF47:KKF48 KKJ47:KKJ48 KKN47:KKN48 KKR47:KKR48 KKV47:KKV48 KKZ47:KKZ48 KLD47:KLD48 KLH47:KLH48 KLL47:KLL48 KLP47:KLP48 KLT47:KLT48 KLX47:KLX48 KMB47:KMB48 KMF47:KMF48 KMJ47:KMJ48 KMN47:KMN48 KMR47:KMR48 KMV47:KMV48 KMZ47:KMZ48 KND47:KND48 KNH47:KNH48 KNL47:KNL48 KNP47:KNP48 KNT47:KNT48 KNX47:KNX48 KOB47:KOB48 KOF47:KOF48 KOJ47:KOJ48 KON47:KON48 KOR47:KOR48 KOV47:KOV48 KOZ47:KOZ48 KPD47:KPD48 KPH47:KPH48 KPL47:KPL48 KPP47:KPP48 KPT47:KPT48 KPX47:KPX48 KQB47:KQB48 KQF47:KQF48 KQJ47:KQJ48 KQN47:KQN48 KQR47:KQR48 KQV47:KQV48 KQZ47:KQZ48 KRD47:KRD48 KRH47:KRH48 KRL47:KRL48 KRP47:KRP48 KRT47:KRT48 KRX47:KRX48 KSB47:KSB48 KSF47:KSF48 KSJ47:KSJ48 KSN47:KSN48 KSR47:KSR48 KSV47:KSV48 KSZ47:KSZ48 KTD47:KTD48 KTH47:KTH48 KTL47:KTL48 KTP47:KTP48 KTT47:KTT48 KTX47:KTX48 KUB47:KUB48 KUF47:KUF48 KUJ47:KUJ48 KUN47:KUN48 KUR47:KUR48 KUV47:KUV48 KUZ47:KUZ48 KVD47:KVD48 KVH47:KVH48 KVL47:KVL48 KVP47:KVP48 KVT47:KVT48 KVX47:KVX48 KWB47:KWB48 KWF47:KWF48 KWJ47:KWJ48 KWN47:KWN48 KWR47:KWR48 KWV47:KWV48 KWZ47:KWZ48 KXD47:KXD48 KXH47:KXH48 KXL47:KXL48 KXP47:KXP48 KXT47:KXT48 KXX47:KXX48 KYB47:KYB48 KYF47:KYF48 KYJ47:KYJ48 KYN47:KYN48 KYR47:KYR48 KYV47:KYV48 KYZ47:KYZ48 KZD47:KZD48 KZH47:KZH48 KZL47:KZL48 KZP47:KZP48 KZT47:KZT48 KZX47:KZX48 LAB47:LAB48 LAF47:LAF48 LAJ47:LAJ48 LAN47:LAN48 LAR47:LAR48 LAV47:LAV48 LAZ47:LAZ48 LBD47:LBD48 LBH47:LBH48 LBL47:LBL48 LBP47:LBP48 LBT47:LBT48 LBX47:LBX48 LCB47:LCB48 LCF47:LCF48 LCJ47:LCJ48 LCN47:LCN48 LCR47:LCR48 LCV47:LCV48 LCZ47:LCZ48 LDD47:LDD48 LDH47:LDH48 LDL47:LDL48 LDP47:LDP48 LDT47:LDT48 LDX47:LDX48 LEB47:LEB48 LEF47:LEF48 LEJ47:LEJ48 LEN47:LEN48 LER47:LER48 LEV47:LEV48 LEZ47:LEZ48 LFD47:LFD48 LFH47:LFH48 LFL47:LFL48 LFP47:LFP48 LFT47:LFT48 LFX47:LFX48 LGB47:LGB48 LGF47:LGF48 LGJ47:LGJ48 LGN47:LGN48 LGR47:LGR48 LGV47:LGV48 LGZ47:LGZ48 LHD47:LHD48 LHH47:LHH48 LHL47:LHL48 LHP47:LHP48 LHT47:LHT48 LHX47:LHX48 LIB47:LIB48 LIF47:LIF48 LIJ47:LIJ48 LIN47:LIN48 LIR47:LIR48 LIV47:LIV48 LIZ47:LIZ48 LJD47:LJD48 LJH47:LJH48 LJL47:LJL48 LJP47:LJP48 LJT47:LJT48 LJX47:LJX48 LKB47:LKB48 LKF47:LKF48 LKJ47:LKJ48 LKN47:LKN48 LKR47:LKR48 LKV47:LKV48 LKZ47:LKZ48 LLD47:LLD48 LLH47:LLH48 LLL47:LLL48 LLP47:LLP48 LLT47:LLT48 LLX47:LLX48 LMB47:LMB48 LMF47:LMF48 LMJ47:LMJ48 LMN47:LMN48 LMR47:LMR48 LMV47:LMV48 LMZ47:LMZ48 LND47:LND48 LNH47:LNH48 LNL47:LNL48 LNP47:LNP48 LNT47:LNT48 LNX47:LNX48 LOB47:LOB48 LOF47:LOF48 LOJ47:LOJ48 LON47:LON48 LOR47:LOR48 LOV47:LOV48 LOZ47:LOZ48 LPD47:LPD48 LPH47:LPH48 LPL47:LPL48 LPP47:LPP48 LPT47:LPT48 LPX47:LPX48 LQB47:LQB48 LQF47:LQF48 LQJ47:LQJ48 LQN47:LQN48 LQR47:LQR48 LQV47:LQV48 LQZ47:LQZ48 LRD47:LRD48 LRH47:LRH48 LRL47:LRL48 LRP47:LRP48 LRT47:LRT48 LRX47:LRX48 LSB47:LSB48 LSF47:LSF48 LSJ47:LSJ48 LSN47:LSN48 LSR47:LSR48 LSV47:LSV48 LSZ47:LSZ48 LTD47:LTD48 LTH47:LTH48 LTL47:LTL48 LTP47:LTP48 LTT47:LTT48 LTX47:LTX48 LUB47:LUB48 LUF47:LUF48 LUJ47:LUJ48 LUN47:LUN48 LUR47:LUR48 LUV47:LUV48 LUZ47:LUZ48 LVD47:LVD48 LVH47:LVH48 LVL47:LVL48 LVP47:LVP48 LVT47:LVT48 LVX47:LVX48 LWB47:LWB48 LWF47:LWF48 LWJ47:LWJ48 LWN47:LWN48 LWR47:LWR48 LWV47:LWV48 LWZ47:LWZ48 LXD47:LXD48 LXH47:LXH48 LXL47:LXL48 LXP47:LXP48 LXT47:LXT48 LXX47:LXX48 LYB47:LYB48 LYF47:LYF48 LYJ47:LYJ48 LYN47:LYN48 LYR47:LYR48 LYV47:LYV48 LYZ47:LYZ48 LZD47:LZD48 LZH47:LZH48 LZL47:LZL48 LZP47:LZP48 LZT47:LZT48 LZX47:LZX48 MAB47:MAB48 MAF47:MAF48 MAJ47:MAJ48 MAN47:MAN48 MAR47:MAR48 MAV47:MAV48 MAZ47:MAZ48 MBD47:MBD48 MBH47:MBH48 MBL47:MBL48 MBP47:MBP48 MBT47:MBT48 MBX47:MBX48 MCB47:MCB48 MCF47:MCF48 MCJ47:MCJ48 MCN47:MCN48 MCR47:MCR48 MCV47:MCV48 MCZ47:MCZ48 MDD47:MDD48 MDH47:MDH48 MDL47:MDL48 MDP47:MDP48 MDT47:MDT48 MDX47:MDX48 MEB47:MEB48 MEF47:MEF48 MEJ47:MEJ48 MEN47:MEN48 MER47:MER48 MEV47:MEV48 MEZ47:MEZ48 MFD47:MFD48 MFH47:MFH48 MFL47:MFL48 MFP47:MFP48 MFT47:MFT48 MFX47:MFX48 MGB47:MGB48 MGF47:MGF48 MGJ47:MGJ48 MGN47:MGN48 MGR47:MGR48 MGV47:MGV48 MGZ47:MGZ48 MHD47:MHD48 MHH47:MHH48 MHL47:MHL48 MHP47:MHP48 MHT47:MHT48 MHX47:MHX48 MIB47:MIB48 MIF47:MIF48 MIJ47:MIJ48 MIN47:MIN48 MIR47:MIR48 MIV47:MIV48 MIZ47:MIZ48 MJD47:MJD48 MJH47:MJH48 MJL47:MJL48 MJP47:MJP48 MJT47:MJT48 MJX47:MJX48 MKB47:MKB48 MKF47:MKF48 MKJ47:MKJ48 MKN47:MKN48 MKR47:MKR48 MKV47:MKV48 MKZ47:MKZ48 MLD47:MLD48 MLH47:MLH48 MLL47:MLL48 MLP47:MLP48 MLT47:MLT48 MLX47:MLX48 MMB47:MMB48 MMF47:MMF48 MMJ47:MMJ48 MMN47:MMN48 MMR47:MMR48 MMV47:MMV48 MMZ47:MMZ48 MND47:MND48 MNH47:MNH48 MNL47:MNL48 MNP47:MNP48 MNT47:MNT48 MNX47:MNX48 MOB47:MOB48 MOF47:MOF48 MOJ47:MOJ48 MON47:MON48 MOR47:MOR48 MOV47:MOV48 MOZ47:MOZ48 MPD47:MPD48 MPH47:MPH48 MPL47:MPL48 MPP47:MPP48 MPT47:MPT48 MPX47:MPX48 MQB47:MQB48 MQF47:MQF48 MQJ47:MQJ48 MQN47:MQN48 MQR47:MQR48 MQV47:MQV48 MQZ47:MQZ48 MRD47:MRD48 MRH47:MRH48 MRL47:MRL48 MRP47:MRP48 MRT47:MRT48 MRX47:MRX48 MSB47:MSB48 MSF47:MSF48 MSJ47:MSJ48 MSN47:MSN48 MSR47:MSR48 MSV47:MSV48 MSZ47:MSZ48 MTD47:MTD48 MTH47:MTH48 MTL47:MTL48 MTP47:MTP48 MTT47:MTT48 MTX47:MTX48 MUB47:MUB48 MUF47:MUF48 MUJ47:MUJ48 MUN47:MUN48 MUR47:MUR48 MUV47:MUV48 MUZ47:MUZ48 MVD47:MVD48 MVH47:MVH48 MVL47:MVL48 MVP47:MVP48 MVT47:MVT48 MVX47:MVX48 MWB47:MWB48 MWF47:MWF48 MWJ47:MWJ48 MWN47:MWN48 MWR47:MWR48 MWV47:MWV48 MWZ47:MWZ48 MXD47:MXD48 MXH47:MXH48 MXL47:MXL48 MXP47:MXP48 MXT47:MXT48 MXX47:MXX48 MYB47:MYB48 MYF47:MYF48 MYJ47:MYJ48 MYN47:MYN48 MYR47:MYR48 MYV47:MYV48 MYZ47:MYZ48 MZD47:MZD48 MZH47:MZH48 MZL47:MZL48 MZP47:MZP48 MZT47:MZT48 MZX47:MZX48 NAB47:NAB48 NAF47:NAF48 NAJ47:NAJ48 NAN47:NAN48 NAR47:NAR48 NAV47:NAV48 NAZ47:NAZ48 NBD47:NBD48 NBH47:NBH48 NBL47:NBL48 NBP47:NBP48 NBT47:NBT48 NBX47:NBX48 NCB47:NCB48 NCF47:NCF48 NCJ47:NCJ48 NCN47:NCN48 NCR47:NCR48 NCV47:NCV48 NCZ47:NCZ48 NDD47:NDD48 NDH47:NDH48 NDL47:NDL48 NDP47:NDP48 NDT47:NDT48 NDX47:NDX48 NEB47:NEB48 NEF47:NEF48 NEJ47:NEJ48 NEN47:NEN48 NER47:NER48 NEV47:NEV48 NEZ47:NEZ48 NFD47:NFD48 NFH47:NFH48 NFL47:NFL48 NFP47:NFP48 NFT47:NFT48 NFX47:NFX48 NGB47:NGB48 NGF47:NGF48 NGJ47:NGJ48 NGN47:NGN48 NGR47:NGR48 NGV47:NGV48 NGZ47:NGZ48 NHD47:NHD48 NHH47:NHH48 NHL47:NHL48 NHP47:NHP48 NHT47:NHT48 NHX47:NHX48 NIB47:NIB48 NIF47:NIF48 NIJ47:NIJ48 NIN47:NIN48 NIR47:NIR48 NIV47:NIV48 NIZ47:NIZ48 NJD47:NJD48 NJH47:NJH48 NJL47:NJL48 NJP47:NJP48 NJT47:NJT48 NJX47:NJX48 NKB47:NKB48 NKF47:NKF48 NKJ47:NKJ48 NKN47:NKN48 NKR47:NKR48 NKV47:NKV48 NKZ47:NKZ48 NLD47:NLD48 NLH47:NLH48 NLL47:NLL48 NLP47:NLP48 NLT47:NLT48 NLX47:NLX48 NMB47:NMB48 NMF47:NMF48 NMJ47:NMJ48 NMN47:NMN48 NMR47:NMR48 NMV47:NMV48 NMZ47:NMZ48 NND47:NND48 NNH47:NNH48 NNL47:NNL48 NNP47:NNP48 NNT47:NNT48 NNX47:NNX48 NOB47:NOB48 NOF47:NOF48 NOJ47:NOJ48 NON47:NON48 NOR47:NOR48 NOV47:NOV48 NOZ47:NOZ48 NPD47:NPD48 NPH47:NPH48 NPL47:NPL48 NPP47:NPP48 NPT47:NPT48 NPX47:NPX48 NQB47:NQB48 NQF47:NQF48 NQJ47:NQJ48 NQN47:NQN48 NQR47:NQR48 NQV47:NQV48 NQZ47:NQZ48 NRD47:NRD48 NRH47:NRH48 NRL47:NRL48 NRP47:NRP48 NRT47:NRT48 NRX47:NRX48 NSB47:NSB48 NSF47:NSF48 NSJ47:NSJ48 NSN47:NSN48 NSR47:NSR48 NSV47:NSV48 NSZ47:NSZ48 NTD47:NTD48 NTH47:NTH48 NTL47:NTL48 NTP47:NTP48 NTT47:NTT48 NTX47:NTX48 NUB47:NUB48 NUF47:NUF48 NUJ47:NUJ48 NUN47:NUN48 NUR47:NUR48 NUV47:NUV48 NUZ47:NUZ48 NVD47:NVD48 NVH47:NVH48 NVL47:NVL48 NVP47:NVP48 NVT47:NVT48 NVX47:NVX48 NWB47:NWB48 NWF47:NWF48 NWJ47:NWJ48 NWN47:NWN48 NWR47:NWR48 NWV47:NWV48 NWZ47:NWZ48 NXD47:NXD48 NXH47:NXH48 NXL47:NXL48 NXP47:NXP48 NXT47:NXT48 NXX47:NXX48 NYB47:NYB48 NYF47:NYF48 NYJ47:NYJ48 NYN47:NYN48 NYR47:NYR48 NYV47:NYV48 NYZ47:NYZ48 NZD47:NZD48 NZH47:NZH48 NZL47:NZL48 NZP47:NZP48 NZT47:NZT48 NZX47:NZX48 OAB47:OAB48 OAF47:OAF48 OAJ47:OAJ48 OAN47:OAN48 OAR47:OAR48 OAV47:OAV48 OAZ47:OAZ48 OBD47:OBD48 OBH47:OBH48 OBL47:OBL48 OBP47:OBP48 OBT47:OBT48 OBX47:OBX48 OCB47:OCB48 OCF47:OCF48 OCJ47:OCJ48 OCN47:OCN48 OCR47:OCR48 OCV47:OCV48 OCZ47:OCZ48 ODD47:ODD48 ODH47:ODH48 ODL47:ODL48 ODP47:ODP48 ODT47:ODT48 ODX47:ODX48 OEB47:OEB48 OEF47:OEF48 OEJ47:OEJ48 OEN47:OEN48 OER47:OER48 OEV47:OEV48 OEZ47:OEZ48 OFD47:OFD48 OFH47:OFH48 OFL47:OFL48 OFP47:OFP48 OFT47:OFT48 OFX47:OFX48 OGB47:OGB48 OGF47:OGF48 OGJ47:OGJ48 OGN47:OGN48 OGR47:OGR48 OGV47:OGV48 OGZ47:OGZ48 OHD47:OHD48 OHH47:OHH48 OHL47:OHL48 OHP47:OHP48 OHT47:OHT48 OHX47:OHX48 OIB47:OIB48 OIF47:OIF48 OIJ47:OIJ48 OIN47:OIN48 OIR47:OIR48 OIV47:OIV48 OIZ47:OIZ48 OJD47:OJD48 OJH47:OJH48 OJL47:OJL48 OJP47:OJP48 OJT47:OJT48 OJX47:OJX48 OKB47:OKB48 OKF47:OKF48 OKJ47:OKJ48 OKN47:OKN48 OKR47:OKR48 OKV47:OKV48 OKZ47:OKZ48 OLD47:OLD48 OLH47:OLH48 OLL47:OLL48 OLP47:OLP48 OLT47:OLT48 OLX47:OLX48 OMB47:OMB48 OMF47:OMF48 OMJ47:OMJ48 OMN47:OMN48 OMR47:OMR48 OMV47:OMV48 OMZ47:OMZ48 OND47:OND48 ONH47:ONH48 ONL47:ONL48 ONP47:ONP48 ONT47:ONT48 ONX47:ONX48 OOB47:OOB48 OOF47:OOF48 OOJ47:OOJ48 OON47:OON48 OOR47:OOR48 OOV47:OOV48 OOZ47:OOZ48 OPD47:OPD48 OPH47:OPH48 OPL47:OPL48 OPP47:OPP48 OPT47:OPT48 OPX47:OPX48 OQB47:OQB48 OQF47:OQF48 OQJ47:OQJ48 OQN47:OQN48 OQR47:OQR48 OQV47:OQV48 OQZ47:OQZ48 ORD47:ORD48 ORH47:ORH48 ORL47:ORL48 ORP47:ORP48 ORT47:ORT48 ORX47:ORX48 OSB47:OSB48 OSF47:OSF48 OSJ47:OSJ48 OSN47:OSN48 OSR47:OSR48 OSV47:OSV48 OSZ47:OSZ48 OTD47:OTD48 OTH47:OTH48 OTL47:OTL48 OTP47:OTP48 OTT47:OTT48 OTX47:OTX48 OUB47:OUB48 OUF47:OUF48 OUJ47:OUJ48 OUN47:OUN48 OUR47:OUR48 OUV47:OUV48 OUZ47:OUZ48 OVD47:OVD48 OVH47:OVH48 OVL47:OVL48 OVP47:OVP48 OVT47:OVT48 OVX47:OVX48 OWB47:OWB48 OWF47:OWF48 OWJ47:OWJ48 OWN47:OWN48 OWR47:OWR48 OWV47:OWV48 OWZ47:OWZ48 OXD47:OXD48 OXH47:OXH48 OXL47:OXL48 OXP47:OXP48 OXT47:OXT48 OXX47:OXX48 OYB47:OYB48 OYF47:OYF48 OYJ47:OYJ48 OYN47:OYN48 OYR47:OYR48 OYV47:OYV48 OYZ47:OYZ48 OZD47:OZD48 OZH47:OZH48 OZL47:OZL48 OZP47:OZP48 OZT47:OZT48 OZX47:OZX48 PAB47:PAB48 PAF47:PAF48 PAJ47:PAJ48 PAN47:PAN48 PAR47:PAR48 PAV47:PAV48 PAZ47:PAZ48 PBD47:PBD48 PBH47:PBH48 PBL47:PBL48 PBP47:PBP48 PBT47:PBT48 PBX47:PBX48 PCB47:PCB48 PCF47:PCF48 PCJ47:PCJ48 PCN47:PCN48 PCR47:PCR48 PCV47:PCV48 PCZ47:PCZ48 PDD47:PDD48 PDH47:PDH48 PDL47:PDL48 PDP47:PDP48 PDT47:PDT48 PDX47:PDX48 PEB47:PEB48 PEF47:PEF48 PEJ47:PEJ48 PEN47:PEN48 PER47:PER48 PEV47:PEV48 PEZ47:PEZ48 PFD47:PFD48 PFH47:PFH48 PFL47:PFL48 PFP47:PFP48 PFT47:PFT48 PFX47:PFX48 PGB47:PGB48 PGF47:PGF48 PGJ47:PGJ48 PGN47:PGN48 PGR47:PGR48 PGV47:PGV48 PGZ47:PGZ48 PHD47:PHD48 PHH47:PHH48 PHL47:PHL48 PHP47:PHP48 PHT47:PHT48 PHX47:PHX48 PIB47:PIB48 PIF47:PIF48 PIJ47:PIJ48 PIN47:PIN48 PIR47:PIR48 PIV47:PIV48 PIZ47:PIZ48 PJD47:PJD48 PJH47:PJH48 PJL47:PJL48 PJP47:PJP48 PJT47:PJT48 PJX47:PJX48 PKB47:PKB48 PKF47:PKF48 PKJ47:PKJ48 PKN47:PKN48 PKR47:PKR48 PKV47:PKV48 PKZ47:PKZ48 PLD47:PLD48 PLH47:PLH48 PLL47:PLL48 PLP47:PLP48 PLT47:PLT48 PLX47:PLX48 PMB47:PMB48 PMF47:PMF48 PMJ47:PMJ48 PMN47:PMN48 PMR47:PMR48 PMV47:PMV48 PMZ47:PMZ48 PND47:PND48 PNH47:PNH48 PNL47:PNL48 PNP47:PNP48 PNT47:PNT48 PNX47:PNX48 POB47:POB48 POF47:POF48 POJ47:POJ48 PON47:PON48 POR47:POR48 POV47:POV48 POZ47:POZ48 PPD47:PPD48 PPH47:PPH48 PPL47:PPL48 PPP47:PPP48 PPT47:PPT48 PPX47:PPX48 PQB47:PQB48 PQF47:PQF48 PQJ47:PQJ48 PQN47:PQN48 PQR47:PQR48 PQV47:PQV48 PQZ47:PQZ48 PRD47:PRD48 PRH47:PRH48 PRL47:PRL48 PRP47:PRP48 PRT47:PRT48 PRX47:PRX48 PSB47:PSB48 PSF47:PSF48 PSJ47:PSJ48 PSN47:PSN48 PSR47:PSR48 PSV47:PSV48 PSZ47:PSZ48 PTD47:PTD48 PTH47:PTH48 PTL47:PTL48 PTP47:PTP48 PTT47:PTT48 PTX47:PTX48 PUB47:PUB48 PUF47:PUF48 PUJ47:PUJ48 PUN47:PUN48 PUR47:PUR48 PUV47:PUV48 PUZ47:PUZ48 PVD47:PVD48 PVH47:PVH48 PVL47:PVL48 PVP47:PVP48 PVT47:PVT48 PVX47:PVX48 PWB47:PWB48 PWF47:PWF48 PWJ47:PWJ48 PWN47:PWN48 PWR47:PWR48 PWV47:PWV48 PWZ47:PWZ48 PXD47:PXD48 PXH47:PXH48 PXL47:PXL48 PXP47:PXP48 PXT47:PXT48 PXX47:PXX48 PYB47:PYB48 PYF47:PYF48 PYJ47:PYJ48 PYN47:PYN48 PYR47:PYR48 PYV47:PYV48 PYZ47:PYZ48 PZD47:PZD48 PZH47:PZH48 PZL47:PZL48 PZP47:PZP48 PZT47:PZT48 PZX47:PZX48 QAB47:QAB48 QAF47:QAF48 QAJ47:QAJ48 QAN47:QAN48 QAR47:QAR48 QAV47:QAV48 QAZ47:QAZ48 QBD47:QBD48 QBH47:QBH48 QBL47:QBL48 QBP47:QBP48 QBT47:QBT48 QBX47:QBX48 QCB47:QCB48 QCF47:QCF48 QCJ47:QCJ48 QCN47:QCN48 QCR47:QCR48 QCV47:QCV48 QCZ47:QCZ48 QDD47:QDD48 QDH47:QDH48 QDL47:QDL48 QDP47:QDP48 QDT47:QDT48 QDX47:QDX48 QEB47:QEB48 QEF47:QEF48 QEJ47:QEJ48 QEN47:QEN48 QER47:QER48 QEV47:QEV48 QEZ47:QEZ48 QFD47:QFD48 QFH47:QFH48 QFL47:QFL48 QFP47:QFP48 QFT47:QFT48 QFX47:QFX48 QGB47:QGB48 QGF47:QGF48 QGJ47:QGJ48 QGN47:QGN48 QGR47:QGR48 QGV47:QGV48 QGZ47:QGZ48 QHD47:QHD48 QHH47:QHH48 QHL47:QHL48 QHP47:QHP48 QHT47:QHT48 QHX47:QHX48 QIB47:QIB48 QIF47:QIF48 QIJ47:QIJ48 QIN47:QIN48 QIR47:QIR48 QIV47:QIV48 QIZ47:QIZ48 QJD47:QJD48 QJH47:QJH48 QJL47:QJL48 QJP47:QJP48 QJT47:QJT48 QJX47:QJX48 QKB47:QKB48 QKF47:QKF48 QKJ47:QKJ48 QKN47:QKN48 QKR47:QKR48 QKV47:QKV48 QKZ47:QKZ48 QLD47:QLD48 QLH47:QLH48 QLL47:QLL48 QLP47:QLP48 QLT47:QLT48 QLX47:QLX48 QMB47:QMB48 QMF47:QMF48 QMJ47:QMJ48 QMN47:QMN48 QMR47:QMR48 QMV47:QMV48 QMZ47:QMZ48 QND47:QND48 QNH47:QNH48 QNL47:QNL48 QNP47:QNP48 QNT47:QNT48 QNX47:QNX48 QOB47:QOB48 QOF47:QOF48 QOJ47:QOJ48 QON47:QON48 QOR47:QOR48 QOV47:QOV48 QOZ47:QOZ48 QPD47:QPD48 QPH47:QPH48 QPL47:QPL48 QPP47:QPP48 QPT47:QPT48 QPX47:QPX48 QQB47:QQB48 QQF47:QQF48 QQJ47:QQJ48 QQN47:QQN48 QQR47:QQR48 QQV47:QQV48 QQZ47:QQZ48 QRD47:QRD48 QRH47:QRH48 QRL47:QRL48 QRP47:QRP48 QRT47:QRT48 QRX47:QRX48 QSB47:QSB48 QSF47:QSF48 QSJ47:QSJ48 QSN47:QSN48 QSR47:QSR48 QSV47:QSV48 QSZ47:QSZ48 QTD47:QTD48 QTH47:QTH48 QTL47:QTL48 QTP47:QTP48 QTT47:QTT48 QTX47:QTX48 QUB47:QUB48 QUF47:QUF48 QUJ47:QUJ48 QUN47:QUN48 QUR47:QUR48 QUV47:QUV48 QUZ47:QUZ48 QVD47:QVD48 QVH47:QVH48 QVL47:QVL48 QVP47:QVP48 QVT47:QVT48 QVX47:QVX48 QWB47:QWB48 QWF47:QWF48 QWJ47:QWJ48 QWN47:QWN48 QWR47:QWR48 QWV47:QWV48 QWZ47:QWZ48 QXD47:QXD48 QXH47:QXH48 QXL47:QXL48 QXP47:QXP48 QXT47:QXT48 QXX47:QXX48 QYB47:QYB48 QYF47:QYF48 QYJ47:QYJ48 QYN47:QYN48 QYR47:QYR48 QYV47:QYV48 QYZ47:QYZ48 QZD47:QZD48 QZH47:QZH48 QZL47:QZL48 QZP47:QZP48 QZT47:QZT48 QZX47:QZX48 RAB47:RAB48 RAF47:RAF48 RAJ47:RAJ48 RAN47:RAN48 RAR47:RAR48 RAV47:RAV48 RAZ47:RAZ48 RBD47:RBD48 RBH47:RBH48 RBL47:RBL48 RBP47:RBP48 RBT47:RBT48 RBX47:RBX48 RCB47:RCB48 RCF47:RCF48 RCJ47:RCJ48 RCN47:RCN48 RCR47:RCR48 RCV47:RCV48 RCZ47:RCZ48 RDD47:RDD48 RDH47:RDH48 RDL47:RDL48 RDP47:RDP48 RDT47:RDT48 RDX47:RDX48 REB47:REB48 REF47:REF48 REJ47:REJ48 REN47:REN48 RER47:RER48 REV47:REV48 REZ47:REZ48 RFD47:RFD48 RFH47:RFH48 RFL47:RFL48 RFP47:RFP48 RFT47:RFT48 RFX47:RFX48 RGB47:RGB48 RGF47:RGF48 RGJ47:RGJ48 RGN47:RGN48 RGR47:RGR48 RGV47:RGV48 RGZ47:RGZ48 RHD47:RHD48 RHH47:RHH48 RHL47:RHL48 RHP47:RHP48 RHT47:RHT48 RHX47:RHX48 RIB47:RIB48 RIF47:RIF48 RIJ47:RIJ48 RIN47:RIN48 RIR47:RIR48 RIV47:RIV48 RIZ47:RIZ48 RJD47:RJD48 RJH47:RJH48 RJL47:RJL48 RJP47:RJP48 RJT47:RJT48 RJX47:RJX48 RKB47:RKB48 RKF47:RKF48 RKJ47:RKJ48 RKN47:RKN48 RKR47:RKR48 RKV47:RKV48 RKZ47:RKZ48 RLD47:RLD48 RLH47:RLH48 RLL47:RLL48 RLP47:RLP48 RLT47:RLT48 RLX47:RLX48 RMB47:RMB48 RMF47:RMF48 RMJ47:RMJ48 RMN47:RMN48 RMR47:RMR48 RMV47:RMV48 RMZ47:RMZ48 RND47:RND48 RNH47:RNH48 RNL47:RNL48 RNP47:RNP48 RNT47:RNT48 RNX47:RNX48 ROB47:ROB48 ROF47:ROF48 ROJ47:ROJ48 RON47:RON48 ROR47:ROR48 ROV47:ROV48 ROZ47:ROZ48 RPD47:RPD48 RPH47:RPH48 RPL47:RPL48 RPP47:RPP48 RPT47:RPT48 RPX47:RPX48 RQB47:RQB48 RQF47:RQF48 RQJ47:RQJ48 RQN47:RQN48 RQR47:RQR48 RQV47:RQV48 RQZ47:RQZ48 RRD47:RRD48 RRH47:RRH48 RRL47:RRL48 RRP47:RRP48 RRT47:RRT48 RRX47:RRX48 RSB47:RSB48 RSF47:RSF48 RSJ47:RSJ48 RSN47:RSN48 RSR47:RSR48 RSV47:RSV48 RSZ47:RSZ48 RTD47:RTD48 RTH47:RTH48 RTL47:RTL48 RTP47:RTP48 RTT47:RTT48 RTX47:RTX48 RUB47:RUB48 RUF47:RUF48 RUJ47:RUJ48 RUN47:RUN48 RUR47:RUR48 RUV47:RUV48 RUZ47:RUZ48 RVD47:RVD48 RVH47:RVH48 RVL47:RVL48 RVP47:RVP48 RVT47:RVT48 RVX47:RVX48 RWB47:RWB48 RWF47:RWF48 RWJ47:RWJ48 RWN47:RWN48 RWR47:RWR48 RWV47:RWV48 RWZ47:RWZ48 RXD47:RXD48 RXH47:RXH48 RXL47:RXL48 RXP47:RXP48 RXT47:RXT48 RXX47:RXX48 RYB47:RYB48 RYF47:RYF48 RYJ47:RYJ48 RYN47:RYN48 RYR47:RYR48 RYV47:RYV48 RYZ47:RYZ48 RZD47:RZD48 RZH47:RZH48 RZL47:RZL48 RZP47:RZP48 RZT47:RZT48 RZX47:RZX48 SAB47:SAB48 SAF47:SAF48 SAJ47:SAJ48 SAN47:SAN48 SAR47:SAR48 SAV47:SAV48 SAZ47:SAZ48 SBD47:SBD48 SBH47:SBH48 SBL47:SBL48 SBP47:SBP48 SBT47:SBT48 SBX47:SBX48 SCB47:SCB48 SCF47:SCF48 SCJ47:SCJ48 SCN47:SCN48 SCR47:SCR48 SCV47:SCV48 SCZ47:SCZ48 SDD47:SDD48 SDH47:SDH48 SDL47:SDL48 SDP47:SDP48 SDT47:SDT48 SDX47:SDX48 SEB47:SEB48 SEF47:SEF48 SEJ47:SEJ48 SEN47:SEN48 SER47:SER48 SEV47:SEV48 SEZ47:SEZ48 SFD47:SFD48 SFH47:SFH48 SFL47:SFL48 SFP47:SFP48 SFT47:SFT48 SFX47:SFX48 SGB47:SGB48 SGF47:SGF48 SGJ47:SGJ48 SGN47:SGN48 SGR47:SGR48 SGV47:SGV48 SGZ47:SGZ48 SHD47:SHD48 SHH47:SHH48 SHL47:SHL48 SHP47:SHP48 SHT47:SHT48 SHX47:SHX48 SIB47:SIB48 SIF47:SIF48 SIJ47:SIJ48 SIN47:SIN48 SIR47:SIR48 SIV47:SIV48 SIZ47:SIZ48 SJD47:SJD48 SJH47:SJH48 SJL47:SJL48 SJP47:SJP48 SJT47:SJT48 SJX47:SJX48 SKB47:SKB48 SKF47:SKF48 SKJ47:SKJ48 SKN47:SKN48 SKR47:SKR48 SKV47:SKV48 SKZ47:SKZ48 SLD47:SLD48 SLH47:SLH48 SLL47:SLL48 SLP47:SLP48 SLT47:SLT48 SLX47:SLX48 SMB47:SMB48 SMF47:SMF48 SMJ47:SMJ48 SMN47:SMN48 SMR47:SMR48 SMV47:SMV48 SMZ47:SMZ48 SND47:SND48 SNH47:SNH48 SNL47:SNL48 SNP47:SNP48 SNT47:SNT48 SNX47:SNX48 SOB47:SOB48 SOF47:SOF48 SOJ47:SOJ48 SON47:SON48 SOR47:SOR48 SOV47:SOV48 SOZ47:SOZ48 SPD47:SPD48 SPH47:SPH48 SPL47:SPL48 SPP47:SPP48 SPT47:SPT48 SPX47:SPX48 SQB47:SQB48 SQF47:SQF48 SQJ47:SQJ48 SQN47:SQN48 SQR47:SQR48 SQV47:SQV48 SQZ47:SQZ48 SRD47:SRD48 SRH47:SRH48 SRL47:SRL48 SRP47:SRP48 SRT47:SRT48 SRX47:SRX48 SSB47:SSB48 SSF47:SSF48 SSJ47:SSJ48 SSN47:SSN48 SSR47:SSR48 SSV47:SSV48 SSZ47:SSZ48 STD47:STD48 STH47:STH48 STL47:STL48 STP47:STP48 STT47:STT48 STX47:STX48 SUB47:SUB48 SUF47:SUF48 SUJ47:SUJ48 SUN47:SUN48 SUR47:SUR48 SUV47:SUV48 SUZ47:SUZ48 SVD47:SVD48 SVH47:SVH48 SVL47:SVL48 SVP47:SVP48 SVT47:SVT48 SVX47:SVX48 SWB47:SWB48 SWF47:SWF48 SWJ47:SWJ48 SWN47:SWN48 SWR47:SWR48 SWV47:SWV48 SWZ47:SWZ48 SXD47:SXD48 SXH47:SXH48 SXL47:SXL48 SXP47:SXP48 SXT47:SXT48 SXX47:SXX48 SYB47:SYB48 SYF47:SYF48 SYJ47:SYJ48 SYN47:SYN48 SYR47:SYR48 SYV47:SYV48 SYZ47:SYZ48 SZD47:SZD48 SZH47:SZH48 SZL47:SZL48 SZP47:SZP48 SZT47:SZT48 SZX47:SZX48 TAB47:TAB48 TAF47:TAF48 TAJ47:TAJ48 TAN47:TAN48 TAR47:TAR48 TAV47:TAV48 TAZ47:TAZ48 TBD47:TBD48 TBH47:TBH48 TBL47:TBL48 TBP47:TBP48 TBT47:TBT48 TBX47:TBX48 TCB47:TCB48 TCF47:TCF48 TCJ47:TCJ48 TCN47:TCN48 TCR47:TCR48 TCV47:TCV48 TCZ47:TCZ48 TDD47:TDD48 TDH47:TDH48 TDL47:TDL48 TDP47:TDP48 TDT47:TDT48 TDX47:TDX48 TEB47:TEB48 TEF47:TEF48 TEJ47:TEJ48 TEN47:TEN48 TER47:TER48 TEV47:TEV48 TEZ47:TEZ48 TFD47:TFD48 TFH47:TFH48 TFL47:TFL48 TFP47:TFP48 TFT47:TFT48 TFX47:TFX48 TGB47:TGB48 TGF47:TGF48 TGJ47:TGJ48 TGN47:TGN48 TGR47:TGR48 TGV47:TGV48 TGZ47:TGZ48 THD47:THD48 THH47:THH48 THL47:THL48 THP47:THP48 THT47:THT48 THX47:THX48 TIB47:TIB48 TIF47:TIF48 TIJ47:TIJ48 TIN47:TIN48 TIR47:TIR48 TIV47:TIV48 TIZ47:TIZ48 TJD47:TJD48 TJH47:TJH48 TJL47:TJL48 TJP47:TJP48 TJT47:TJT48 TJX47:TJX48 TKB47:TKB48 TKF47:TKF48 TKJ47:TKJ48 TKN47:TKN48 TKR47:TKR48 TKV47:TKV48 TKZ47:TKZ48 TLD47:TLD48 TLH47:TLH48 TLL47:TLL48 TLP47:TLP48 TLT47:TLT48 TLX47:TLX48 TMB47:TMB48 TMF47:TMF48 TMJ47:TMJ48 TMN47:TMN48 TMR47:TMR48 TMV47:TMV48 TMZ47:TMZ48 TND47:TND48 TNH47:TNH48 TNL47:TNL48 TNP47:TNP48 TNT47:TNT48 TNX47:TNX48 TOB47:TOB48 TOF47:TOF48 TOJ47:TOJ48 TON47:TON48 TOR47:TOR48 TOV47:TOV48 TOZ47:TOZ48 TPD47:TPD48 TPH47:TPH48 TPL47:TPL48 TPP47:TPP48 TPT47:TPT48 TPX47:TPX48 TQB47:TQB48 TQF47:TQF48 TQJ47:TQJ48 TQN47:TQN48 TQR47:TQR48 TQV47:TQV48 TQZ47:TQZ48 TRD47:TRD48 TRH47:TRH48 TRL47:TRL48 TRP47:TRP48 TRT47:TRT48 TRX47:TRX48 TSB47:TSB48 TSF47:TSF48 TSJ47:TSJ48 TSN47:TSN48 TSR47:TSR48 TSV47:TSV48 TSZ47:TSZ48 TTD47:TTD48 TTH47:TTH48 TTL47:TTL48 TTP47:TTP48 TTT47:TTT48 TTX47:TTX48 TUB47:TUB48 TUF47:TUF48 TUJ47:TUJ48 TUN47:TUN48 TUR47:TUR48 TUV47:TUV48 TUZ47:TUZ48 TVD47:TVD48 TVH47:TVH48 TVL47:TVL48 TVP47:TVP48 TVT47:TVT48 TVX47:TVX48 TWB47:TWB48 TWF47:TWF48 TWJ47:TWJ48 TWN47:TWN48 TWR47:TWR48 TWV47:TWV48 TWZ47:TWZ48 TXD47:TXD48 TXH47:TXH48 TXL47:TXL48 TXP47:TXP48 TXT47:TXT48 TXX47:TXX48 TYB47:TYB48 TYF47:TYF48 TYJ47:TYJ48 TYN47:TYN48 TYR47:TYR48 TYV47:TYV48 TYZ47:TYZ48 TZD47:TZD48 TZH47:TZH48 TZL47:TZL48 TZP47:TZP48 TZT47:TZT48 TZX47:TZX48 UAB47:UAB48 UAF47:UAF48 UAJ47:UAJ48 UAN47:UAN48 UAR47:UAR48 UAV47:UAV48 UAZ47:UAZ48 UBD47:UBD48 UBH47:UBH48 UBL47:UBL48 UBP47:UBP48 UBT47:UBT48 UBX47:UBX48 UCB47:UCB48 UCF47:UCF48 UCJ47:UCJ48 UCN47:UCN48 UCR47:UCR48 UCV47:UCV48 UCZ47:UCZ48 UDD47:UDD48 UDH47:UDH48 UDL47:UDL48 UDP47:UDP48 UDT47:UDT48 UDX47:UDX48 UEB47:UEB48 UEF47:UEF48 UEJ47:UEJ48 UEN47:UEN48 UER47:UER48 UEV47:UEV48 UEZ47:UEZ48 UFD47:UFD48 UFH47:UFH48 UFL47:UFL48 UFP47:UFP48 UFT47:UFT48 UFX47:UFX48 UGB47:UGB48 UGF47:UGF48 UGJ47:UGJ48 UGN47:UGN48 UGR47:UGR48 UGV47:UGV48 UGZ47:UGZ48 UHD47:UHD48 UHH47:UHH48 UHL47:UHL48 UHP47:UHP48 UHT47:UHT48 UHX47:UHX48 UIB47:UIB48 UIF47:UIF48 UIJ47:UIJ48 UIN47:UIN48 UIR47:UIR48 UIV47:UIV48 UIZ47:UIZ48 UJD47:UJD48 UJH47:UJH48 UJL47:UJL48 UJP47:UJP48 UJT47:UJT48 UJX47:UJX48 UKB47:UKB48 UKF47:UKF48 UKJ47:UKJ48 UKN47:UKN48 UKR47:UKR48 UKV47:UKV48 UKZ47:UKZ48 ULD47:ULD48 ULH47:ULH48 ULL47:ULL48 ULP47:ULP48 ULT47:ULT48 ULX47:ULX48 UMB47:UMB48 UMF47:UMF48 UMJ47:UMJ48 UMN47:UMN48 UMR47:UMR48 UMV47:UMV48 UMZ47:UMZ48 UND47:UND48 UNH47:UNH48 UNL47:UNL48 UNP47:UNP48 UNT47:UNT48 UNX47:UNX48 UOB47:UOB48 UOF47:UOF48 UOJ47:UOJ48 UON47:UON48 UOR47:UOR48 UOV47:UOV48 UOZ47:UOZ48 UPD47:UPD48 UPH47:UPH48 UPL47:UPL48 UPP47:UPP48 UPT47:UPT48 UPX47:UPX48 UQB47:UQB48 UQF47:UQF48 UQJ47:UQJ48 UQN47:UQN48 UQR47:UQR48 UQV47:UQV48 UQZ47:UQZ48 URD47:URD48 URH47:URH48 URL47:URL48 URP47:URP48 URT47:URT48 URX47:URX48 USB47:USB48 USF47:USF48 USJ47:USJ48 USN47:USN48 USR47:USR48 USV47:USV48 USZ47:USZ48 UTD47:UTD48 UTH47:UTH48 UTL47:UTL48 UTP47:UTP48 UTT47:UTT48 UTX47:UTX48 UUB47:UUB48 UUF47:UUF48 UUJ47:UUJ48 UUN47:UUN48 UUR47:UUR48 UUV47:UUV48 UUZ47:UUZ48 UVD47:UVD48 UVH47:UVH48 UVL47:UVL48 UVP47:UVP48 UVT47:UVT48 UVX47:UVX48 UWB47:UWB48 UWF47:UWF48 UWJ47:UWJ48 UWN47:UWN48 UWR47:UWR48 UWV47:UWV48 UWZ47:UWZ48 UXD47:UXD48 UXH47:UXH48 UXL47:UXL48 UXP47:UXP48 UXT47:UXT48 UXX47:UXX48 UYB47:UYB48 UYF47:UYF48 UYJ47:UYJ48 UYN47:UYN48 UYR47:UYR48 UYV47:UYV48 UYZ47:UYZ48 UZD47:UZD48 UZH47:UZH48 UZL47:UZL48 UZP47:UZP48 UZT47:UZT48 UZX47:UZX48 VAB47:VAB48 VAF47:VAF48 VAJ47:VAJ48 VAN47:VAN48 VAR47:VAR48 VAV47:VAV48 VAZ47:VAZ48 VBD47:VBD48 VBH47:VBH48 VBL47:VBL48 VBP47:VBP48 VBT47:VBT48 VBX47:VBX48 VCB47:VCB48 VCF47:VCF48 VCJ47:VCJ48 VCN47:VCN48 VCR47:VCR48 VCV47:VCV48 VCZ47:VCZ48 VDD47:VDD48 VDH47:VDH48 VDL47:VDL48 VDP47:VDP48 VDT47:VDT48 VDX47:VDX48 VEB47:VEB48 VEF47:VEF48 VEJ47:VEJ48 VEN47:VEN48 VER47:VER48 VEV47:VEV48 VEZ47:VEZ48 VFD47:VFD48 VFH47:VFH48 VFL47:VFL48 VFP47:VFP48 VFT47:VFT48 VFX47:VFX48 VGB47:VGB48 VGF47:VGF48 VGJ47:VGJ48 VGN47:VGN48 VGR47:VGR48 VGV47:VGV48 VGZ47:VGZ48 VHD47:VHD48 VHH47:VHH48 VHL47:VHL48 VHP47:VHP48 VHT47:VHT48 VHX47:VHX48 VIB47:VIB48 VIF47:VIF48 VIJ47:VIJ48 VIN47:VIN48 VIR47:VIR48 VIV47:VIV48 VIZ47:VIZ48 VJD47:VJD48 VJH47:VJH48 VJL47:VJL48 VJP47:VJP48 VJT47:VJT48 VJX47:VJX48 VKB47:VKB48 VKF47:VKF48 VKJ47:VKJ48 VKN47:VKN48 VKR47:VKR48 VKV47:VKV48 VKZ47:VKZ48 VLD47:VLD48 VLH47:VLH48 VLL47:VLL48 VLP47:VLP48 VLT47:VLT48 VLX47:VLX48 VMB47:VMB48 VMF47:VMF48 VMJ47:VMJ48 VMN47:VMN48 VMR47:VMR48 VMV47:VMV48 VMZ47:VMZ48 VND47:VND48 VNH47:VNH48 VNL47:VNL48 VNP47:VNP48 VNT47:VNT48 VNX47:VNX48 VOB47:VOB48 VOF47:VOF48 VOJ47:VOJ48 VON47:VON48 VOR47:VOR48 VOV47:VOV48 VOZ47:VOZ48 VPD47:VPD48 VPH47:VPH48 VPL47:VPL48 VPP47:VPP48 VPT47:VPT48 VPX47:VPX48 VQB47:VQB48 VQF47:VQF48 VQJ47:VQJ48 VQN47:VQN48 VQR47:VQR48 VQV47:VQV48 VQZ47:VQZ48 VRD47:VRD48 VRH47:VRH48 VRL47:VRL48 VRP47:VRP48 VRT47:VRT48 VRX47:VRX48 VSB47:VSB48 VSF47:VSF48 VSJ47:VSJ48 VSN47:VSN48 VSR47:VSR48 VSV47:VSV48 VSZ47:VSZ48 VTD47:VTD48 VTH47:VTH48 VTL47:VTL48 VTP47:VTP48 VTT47:VTT48 VTX47:VTX48 VUB47:VUB48 VUF47:VUF48 VUJ47:VUJ48 VUN47:VUN48 VUR47:VUR48 VUV47:VUV48 VUZ47:VUZ48 VVD47:VVD48 VVH47:VVH48 VVL47:VVL48 VVP47:VVP48 VVT47:VVT48 VVX47:VVX48 VWB47:VWB48 VWF47:VWF48 VWJ47:VWJ48 VWN47:VWN48 VWR47:VWR48 VWV47:VWV48 VWZ47:VWZ48 VXD47:VXD48 VXH47:VXH48 VXL47:VXL48 VXP47:VXP48 VXT47:VXT48 VXX47:VXX48 VYB47:VYB48 VYF47:VYF48 VYJ47:VYJ48 VYN47:VYN48 VYR47:VYR48 VYV47:VYV48 VYZ47:VYZ48 VZD47:VZD48 VZH47:VZH48 VZL47:VZL48 VZP47:VZP48 VZT47:VZT48 VZX47:VZX48 WAB47:WAB48 WAF47:WAF48 WAJ47:WAJ48 WAN47:WAN48 WAR47:WAR48 WAV47:WAV48 WAZ47:WAZ48 WBD47:WBD48 WBH47:WBH48 WBL47:WBL48 WBP47:WBP48 WBT47:WBT48 WBX47:WBX48 WCB47:WCB48 WCF47:WCF48 WCJ47:WCJ48 WCN47:WCN48 WCR47:WCR48 WCV47:WCV48 WCZ47:WCZ48 WDD47:WDD48 WDH47:WDH48 WDL47:WDL48 WDP47:WDP48 WDT47:WDT48 WDX47:WDX48 WEB47:WEB48 WEF47:WEF48 WEJ47:WEJ48 WEN47:WEN48 WER47:WER48 WEV47:WEV48 WEZ47:WEZ48 WFD47:WFD48 WFH47:WFH48 WFL47:WFL48 WFP47:WFP48 WFT47:WFT48 WFX47:WFX48 WGB47:WGB48 WGF47:WGF48 WGJ47:WGJ48 WGN47:WGN48 WGR47:WGR48 WGV47:WGV48 WGZ47:WGZ48 WHD47:WHD48 WHH47:WHH48 WHL47:WHL48 WHP47:WHP48 WHT47:WHT48 WHX47:WHX48 WIB47:WIB48 WIF47:WIF48 WIJ47:WIJ48 WIN47:WIN48 WIR47:WIR48 WIV47:WIV48 WIZ47:WIZ48 WJD47:WJD48 WJH47:WJH48 WJL47:WJL48 WJP47:WJP48 WJT47:WJT48 WJX47:WJX48 WKB47:WKB48 WKF47:WKF48 WKJ47:WKJ48 WKN47:WKN48 WKR47:WKR48 WKV47:WKV48 WKZ47:WKZ48 WLD47:WLD48 WLH47:WLH48 WLL47:WLL48 WLP47:WLP48 WLT47:WLT48 WLX47:WLX48 WMB47:WMB48 WMF47:WMF48 WMJ47:WMJ48 WMN47:WMN48 WMR47:WMR48 WMV47:WMV48 WMZ47:WMZ48 WND47:WND48 WNH47:WNH48 WNL47:WNL48 WNP47:WNP48 WNT47:WNT48 WNX47:WNX48 WOB47:WOB48 WOF47:WOF48 WOJ47:WOJ48 WON47:WON48 WOR47:WOR48 WOV47:WOV48 WOZ47:WOZ48 WPD47:WPD48 WPH47:WPH48 WPL47:WPL48 WPP47:WPP48 WPT47:WPT48 WPX47:WPX48 WQB47:WQB48 WQF47:WQF48 WQJ47:WQJ48 WQN47:WQN48 WQR47:WQR48 WQV47:WQV48 WQZ47:WQZ48 WRD47:WRD48 WRH47:WRH48 WRL47:WRL48 WRP47:WRP48 WRT47:WRT48 WRX47:WRX48 WSB47:WSB48 WSF47:WSF48 WSJ47:WSJ48 WSN47:WSN48 WSR47:WSR48 WSV47:WSV48 WSZ47:WSZ48 WTD47:WTD48 WTH47:WTH48 WTL47:WTL48 WTP47:WTP48 WTT47:WTT48 WTX47:WTX48 WUB47:WUB48 WUF47:WUF48 WUJ47:WUJ48 WUN47:WUN48 WUR47:WUR48 WUV47:WUV48 WUZ47:WUZ48 WVD47:WVD48 WVH47:WVH48 WVL47:WVL48 WVP47:WVP48 WVT47:WVT48 WVX47:WVX48 WWB47:WWB48 WWF47:WWF48 WWJ47:WWJ48 WWN47:WWN48 WWR47:WWR48 WWV47:WWV48 WWZ47:WWZ48 WXD47:WXD48 WXH47:WXH48 WXL47:WXL48 WXP47:WXP48 WXT47:WXT48 WXX47:WXX48 WYB47:WYB48 WYF47:WYF48 WYJ47:WYJ48 WYN47:WYN48 WYR47:WYR48 WYV47:WYV48 WYZ47:WYZ48 WZD47:WZD48 WZH47:WZH48 WZL47:WZL48 WZP47:WZP48 WZT47:WZT48 WZX47:WZX48 XAB47:XAB48 XAF47:XAF48 XAJ47:XAJ48 XAN47:XAN48 XAR47:XAR48 XAV47:XAV48 XAZ47:XAZ48 XBD47:XBD48 XBH47:XBH48 XBL47:XBL48 XBP47:XBP48 XBT47:XBT48 XBX47:XBX48 XCB47:XCB48 XCF47:XCF48 XCJ47:XCJ48 XCN47:XCN48 XCR47:XCR48 XCV47:XCV48 XCZ47:XCZ48 XDD47:XDD48 XDH47:XDH48 XDL47:XDL48 XDP47:XDP48 XDT47:XDT48 XDX47:XDX48 XEB47:XEB48 XEF47:XEF48 XEJ47:XEJ48 XEN47:XEN48 XER47:XER48 XEV47:XEV48 XEZ47:XEZ48 XFD47:XFD48</xm:sqref>
        </x14:dataValidation>
        <x14:dataValidation type="list" allowBlank="1" showInputMessage="1" xr:uid="{0CFD0AE9-B445-4CE6-8E7D-77E5C62160FB}">
          <x14:formula1>
            <xm:f>Einstellungen!$B$71:$B$84</xm:f>
          </x14:formula1>
          <xm:sqref>B13 B21 B24:B49 F47:F48 J47:J48 N47:N48 R47:R48 V47:V48 Z47:Z48 AD47:AD48 AH47:AH48 AL47:AL48 AP47:AP48 AT47:AT48 AX47:AX48 BB47:BB48 BF47:BF48 BJ47:BJ48 BN47:BN48 BR47:BR48 BV47:BV48 BZ47:BZ48 CD47:CD48 CH47:CH48 CL47:CL48 CP47:CP48 CT47:CT48 CX47:CX48 DB47:DB48 DF47:DF48 DJ47:DJ48 DN47:DN48 DR47:DR48 DV47:DV48 DZ47:DZ48 ED47:ED48 EH47:EH48 EL47:EL48 EP47:EP48 ET47:ET48 EX47:EX48 FB47:FB48 FF47:FF48 FJ47:FJ48 FN47:FN48 FR47:FR48 FV47:FV48 FZ47:FZ48 GD47:GD48 GH47:GH48 GL47:GL48 GP47:GP48 GT47:GT48 GX47:GX48 HB47:HB48 HF47:HF48 HJ47:HJ48 HN47:HN48 HR47:HR48 HV47:HV48 HZ47:HZ48 ID47:ID48 IH47:IH48 IL47:IL48 IP47:IP48 IT47:IT48 IX47:IX48 JB47:JB48 JF47:JF48 JJ47:JJ48 JN47:JN48 JR47:JR48 JV47:JV48 JZ47:JZ48 KD47:KD48 KH47:KH48 KL47:KL48 KP47:KP48 KT47:KT48 KX47:KX48 LB47:LB48 LF47:LF48 LJ47:LJ48 LN47:LN48 LR47:LR48 LV47:LV48 LZ47:LZ48 MD47:MD48 MH47:MH48 ML47:ML48 MP47:MP48 MT47:MT48 MX47:MX48 NB47:NB48 NF47:NF48 NJ47:NJ48 NN47:NN48 NR47:NR48 NV47:NV48 NZ47:NZ48 OD47:OD48 OH47:OH48 OL47:OL48 OP47:OP48 OT47:OT48 OX47:OX48 PB47:PB48 PF47:PF48 PJ47:PJ48 PN47:PN48 PR47:PR48 PV47:PV48 PZ47:PZ48 QD47:QD48 QH47:QH48 QL47:QL48 QP47:QP48 QT47:QT48 QX47:QX48 RB47:RB48 RF47:RF48 RJ47:RJ48 RN47:RN48 RR47:RR48 RV47:RV48 RZ47:RZ48 SD47:SD48 SH47:SH48 SL47:SL48 SP47:SP48 ST47:ST48 SX47:SX48 TB47:TB48 TF47:TF48 TJ47:TJ48 TN47:TN48 TR47:TR48 TV47:TV48 TZ47:TZ48 UD47:UD48 UH47:UH48 UL47:UL48 UP47:UP48 UT47:UT48 UX47:UX48 VB47:VB48 VF47:VF48 VJ47:VJ48 VN47:VN48 VR47:VR48 VV47:VV48 VZ47:VZ48 WD47:WD48 WH47:WH48 WL47:WL48 WP47:WP48 WT47:WT48 WX47:WX48 XB47:XB48 XF47:XF48 XJ47:XJ48 XN47:XN48 XR47:XR48 XV47:XV48 XZ47:XZ48 YD47:YD48 YH47:YH48 YL47:YL48 YP47:YP48 YT47:YT48 YX47:YX48 ZB47:ZB48 ZF47:ZF48 ZJ47:ZJ48 ZN47:ZN48 ZR47:ZR48 ZV47:ZV48 ZZ47:ZZ48 AAD47:AAD48 AAH47:AAH48 AAL47:AAL48 AAP47:AAP48 AAT47:AAT48 AAX47:AAX48 ABB47:ABB48 ABF47:ABF48 ABJ47:ABJ48 ABN47:ABN48 ABR47:ABR48 ABV47:ABV48 ABZ47:ABZ48 ACD47:ACD48 ACH47:ACH48 ACL47:ACL48 ACP47:ACP48 ACT47:ACT48 ACX47:ACX48 ADB47:ADB48 ADF47:ADF48 ADJ47:ADJ48 ADN47:ADN48 ADR47:ADR48 ADV47:ADV48 ADZ47:ADZ48 AED47:AED48 AEH47:AEH48 AEL47:AEL48 AEP47:AEP48 AET47:AET48 AEX47:AEX48 AFB47:AFB48 AFF47:AFF48 AFJ47:AFJ48 AFN47:AFN48 AFR47:AFR48 AFV47:AFV48 AFZ47:AFZ48 AGD47:AGD48 AGH47:AGH48 AGL47:AGL48 AGP47:AGP48 AGT47:AGT48 AGX47:AGX48 AHB47:AHB48 AHF47:AHF48 AHJ47:AHJ48 AHN47:AHN48 AHR47:AHR48 AHV47:AHV48 AHZ47:AHZ48 AID47:AID48 AIH47:AIH48 AIL47:AIL48 AIP47:AIP48 AIT47:AIT48 AIX47:AIX48 AJB47:AJB48 AJF47:AJF48 AJJ47:AJJ48 AJN47:AJN48 AJR47:AJR48 AJV47:AJV48 AJZ47:AJZ48 AKD47:AKD48 AKH47:AKH48 AKL47:AKL48 AKP47:AKP48 AKT47:AKT48 AKX47:AKX48 ALB47:ALB48 ALF47:ALF48 ALJ47:ALJ48 ALN47:ALN48 ALR47:ALR48 ALV47:ALV48 ALZ47:ALZ48 AMD47:AMD48 AMH47:AMH48 AML47:AML48 AMP47:AMP48 AMT47:AMT48 AMX47:AMX48 ANB47:ANB48 ANF47:ANF48 ANJ47:ANJ48 ANN47:ANN48 ANR47:ANR48 ANV47:ANV48 ANZ47:ANZ48 AOD47:AOD48 AOH47:AOH48 AOL47:AOL48 AOP47:AOP48 AOT47:AOT48 AOX47:AOX48 APB47:APB48 APF47:APF48 APJ47:APJ48 APN47:APN48 APR47:APR48 APV47:APV48 APZ47:APZ48 AQD47:AQD48 AQH47:AQH48 AQL47:AQL48 AQP47:AQP48 AQT47:AQT48 AQX47:AQX48 ARB47:ARB48 ARF47:ARF48 ARJ47:ARJ48 ARN47:ARN48 ARR47:ARR48 ARV47:ARV48 ARZ47:ARZ48 ASD47:ASD48 ASH47:ASH48 ASL47:ASL48 ASP47:ASP48 AST47:AST48 ASX47:ASX48 ATB47:ATB48 ATF47:ATF48 ATJ47:ATJ48 ATN47:ATN48 ATR47:ATR48 ATV47:ATV48 ATZ47:ATZ48 AUD47:AUD48 AUH47:AUH48 AUL47:AUL48 AUP47:AUP48 AUT47:AUT48 AUX47:AUX48 AVB47:AVB48 AVF47:AVF48 AVJ47:AVJ48 AVN47:AVN48 AVR47:AVR48 AVV47:AVV48 AVZ47:AVZ48 AWD47:AWD48 AWH47:AWH48 AWL47:AWL48 AWP47:AWP48 AWT47:AWT48 AWX47:AWX48 AXB47:AXB48 AXF47:AXF48 AXJ47:AXJ48 AXN47:AXN48 AXR47:AXR48 AXV47:AXV48 AXZ47:AXZ48 AYD47:AYD48 AYH47:AYH48 AYL47:AYL48 AYP47:AYP48 AYT47:AYT48 AYX47:AYX48 AZB47:AZB48 AZF47:AZF48 AZJ47:AZJ48 AZN47:AZN48 AZR47:AZR48 AZV47:AZV48 AZZ47:AZZ48 BAD47:BAD48 BAH47:BAH48 BAL47:BAL48 BAP47:BAP48 BAT47:BAT48 BAX47:BAX48 BBB47:BBB48 BBF47:BBF48 BBJ47:BBJ48 BBN47:BBN48 BBR47:BBR48 BBV47:BBV48 BBZ47:BBZ48 BCD47:BCD48 BCH47:BCH48 BCL47:BCL48 BCP47:BCP48 BCT47:BCT48 BCX47:BCX48 BDB47:BDB48 BDF47:BDF48 BDJ47:BDJ48 BDN47:BDN48 BDR47:BDR48 BDV47:BDV48 BDZ47:BDZ48 BED47:BED48 BEH47:BEH48 BEL47:BEL48 BEP47:BEP48 BET47:BET48 BEX47:BEX48 BFB47:BFB48 BFF47:BFF48 BFJ47:BFJ48 BFN47:BFN48 BFR47:BFR48 BFV47:BFV48 BFZ47:BFZ48 BGD47:BGD48 BGH47:BGH48 BGL47:BGL48 BGP47:BGP48 BGT47:BGT48 BGX47:BGX48 BHB47:BHB48 BHF47:BHF48 BHJ47:BHJ48 BHN47:BHN48 BHR47:BHR48 BHV47:BHV48 BHZ47:BHZ48 BID47:BID48 BIH47:BIH48 BIL47:BIL48 BIP47:BIP48 BIT47:BIT48 BIX47:BIX48 BJB47:BJB48 BJF47:BJF48 BJJ47:BJJ48 BJN47:BJN48 BJR47:BJR48 BJV47:BJV48 BJZ47:BJZ48 BKD47:BKD48 BKH47:BKH48 BKL47:BKL48 BKP47:BKP48 BKT47:BKT48 BKX47:BKX48 BLB47:BLB48 BLF47:BLF48 BLJ47:BLJ48 BLN47:BLN48 BLR47:BLR48 BLV47:BLV48 BLZ47:BLZ48 BMD47:BMD48 BMH47:BMH48 BML47:BML48 BMP47:BMP48 BMT47:BMT48 BMX47:BMX48 BNB47:BNB48 BNF47:BNF48 BNJ47:BNJ48 BNN47:BNN48 BNR47:BNR48 BNV47:BNV48 BNZ47:BNZ48 BOD47:BOD48 BOH47:BOH48 BOL47:BOL48 BOP47:BOP48 BOT47:BOT48 BOX47:BOX48 BPB47:BPB48 BPF47:BPF48 BPJ47:BPJ48 BPN47:BPN48 BPR47:BPR48 BPV47:BPV48 BPZ47:BPZ48 BQD47:BQD48 BQH47:BQH48 BQL47:BQL48 BQP47:BQP48 BQT47:BQT48 BQX47:BQX48 BRB47:BRB48 BRF47:BRF48 BRJ47:BRJ48 BRN47:BRN48 BRR47:BRR48 BRV47:BRV48 BRZ47:BRZ48 BSD47:BSD48 BSH47:BSH48 BSL47:BSL48 BSP47:BSP48 BST47:BST48 BSX47:BSX48 BTB47:BTB48 BTF47:BTF48 BTJ47:BTJ48 BTN47:BTN48 BTR47:BTR48 BTV47:BTV48 BTZ47:BTZ48 BUD47:BUD48 BUH47:BUH48 BUL47:BUL48 BUP47:BUP48 BUT47:BUT48 BUX47:BUX48 BVB47:BVB48 BVF47:BVF48 BVJ47:BVJ48 BVN47:BVN48 BVR47:BVR48 BVV47:BVV48 BVZ47:BVZ48 BWD47:BWD48 BWH47:BWH48 BWL47:BWL48 BWP47:BWP48 BWT47:BWT48 BWX47:BWX48 BXB47:BXB48 BXF47:BXF48 BXJ47:BXJ48 BXN47:BXN48 BXR47:BXR48 BXV47:BXV48 BXZ47:BXZ48 BYD47:BYD48 BYH47:BYH48 BYL47:BYL48 BYP47:BYP48 BYT47:BYT48 BYX47:BYX48 BZB47:BZB48 BZF47:BZF48 BZJ47:BZJ48 BZN47:BZN48 BZR47:BZR48 BZV47:BZV48 BZZ47:BZZ48 CAD47:CAD48 CAH47:CAH48 CAL47:CAL48 CAP47:CAP48 CAT47:CAT48 CAX47:CAX48 CBB47:CBB48 CBF47:CBF48 CBJ47:CBJ48 CBN47:CBN48 CBR47:CBR48 CBV47:CBV48 CBZ47:CBZ48 CCD47:CCD48 CCH47:CCH48 CCL47:CCL48 CCP47:CCP48 CCT47:CCT48 CCX47:CCX48 CDB47:CDB48 CDF47:CDF48 CDJ47:CDJ48 CDN47:CDN48 CDR47:CDR48 CDV47:CDV48 CDZ47:CDZ48 CED47:CED48 CEH47:CEH48 CEL47:CEL48 CEP47:CEP48 CET47:CET48 CEX47:CEX48 CFB47:CFB48 CFF47:CFF48 CFJ47:CFJ48 CFN47:CFN48 CFR47:CFR48 CFV47:CFV48 CFZ47:CFZ48 CGD47:CGD48 CGH47:CGH48 CGL47:CGL48 CGP47:CGP48 CGT47:CGT48 CGX47:CGX48 CHB47:CHB48 CHF47:CHF48 CHJ47:CHJ48 CHN47:CHN48 CHR47:CHR48 CHV47:CHV48 CHZ47:CHZ48 CID47:CID48 CIH47:CIH48 CIL47:CIL48 CIP47:CIP48 CIT47:CIT48 CIX47:CIX48 CJB47:CJB48 CJF47:CJF48 CJJ47:CJJ48 CJN47:CJN48 CJR47:CJR48 CJV47:CJV48 CJZ47:CJZ48 CKD47:CKD48 CKH47:CKH48 CKL47:CKL48 CKP47:CKP48 CKT47:CKT48 CKX47:CKX48 CLB47:CLB48 CLF47:CLF48 CLJ47:CLJ48 CLN47:CLN48 CLR47:CLR48 CLV47:CLV48 CLZ47:CLZ48 CMD47:CMD48 CMH47:CMH48 CML47:CML48 CMP47:CMP48 CMT47:CMT48 CMX47:CMX48 CNB47:CNB48 CNF47:CNF48 CNJ47:CNJ48 CNN47:CNN48 CNR47:CNR48 CNV47:CNV48 CNZ47:CNZ48 COD47:COD48 COH47:COH48 COL47:COL48 COP47:COP48 COT47:COT48 COX47:COX48 CPB47:CPB48 CPF47:CPF48 CPJ47:CPJ48 CPN47:CPN48 CPR47:CPR48 CPV47:CPV48 CPZ47:CPZ48 CQD47:CQD48 CQH47:CQH48 CQL47:CQL48 CQP47:CQP48 CQT47:CQT48 CQX47:CQX48 CRB47:CRB48 CRF47:CRF48 CRJ47:CRJ48 CRN47:CRN48 CRR47:CRR48 CRV47:CRV48 CRZ47:CRZ48 CSD47:CSD48 CSH47:CSH48 CSL47:CSL48 CSP47:CSP48 CST47:CST48 CSX47:CSX48 CTB47:CTB48 CTF47:CTF48 CTJ47:CTJ48 CTN47:CTN48 CTR47:CTR48 CTV47:CTV48 CTZ47:CTZ48 CUD47:CUD48 CUH47:CUH48 CUL47:CUL48 CUP47:CUP48 CUT47:CUT48 CUX47:CUX48 CVB47:CVB48 CVF47:CVF48 CVJ47:CVJ48 CVN47:CVN48 CVR47:CVR48 CVV47:CVV48 CVZ47:CVZ48 CWD47:CWD48 CWH47:CWH48 CWL47:CWL48 CWP47:CWP48 CWT47:CWT48 CWX47:CWX48 CXB47:CXB48 CXF47:CXF48 CXJ47:CXJ48 CXN47:CXN48 CXR47:CXR48 CXV47:CXV48 CXZ47:CXZ48 CYD47:CYD48 CYH47:CYH48 CYL47:CYL48 CYP47:CYP48 CYT47:CYT48 CYX47:CYX48 CZB47:CZB48 CZF47:CZF48 CZJ47:CZJ48 CZN47:CZN48 CZR47:CZR48 CZV47:CZV48 CZZ47:CZZ48 DAD47:DAD48 DAH47:DAH48 DAL47:DAL48 DAP47:DAP48 DAT47:DAT48 DAX47:DAX48 DBB47:DBB48 DBF47:DBF48 DBJ47:DBJ48 DBN47:DBN48 DBR47:DBR48 DBV47:DBV48 DBZ47:DBZ48 DCD47:DCD48 DCH47:DCH48 DCL47:DCL48 DCP47:DCP48 DCT47:DCT48 DCX47:DCX48 DDB47:DDB48 DDF47:DDF48 DDJ47:DDJ48 DDN47:DDN48 DDR47:DDR48 DDV47:DDV48 DDZ47:DDZ48 DED47:DED48 DEH47:DEH48 DEL47:DEL48 DEP47:DEP48 DET47:DET48 DEX47:DEX48 DFB47:DFB48 DFF47:DFF48 DFJ47:DFJ48 DFN47:DFN48 DFR47:DFR48 DFV47:DFV48 DFZ47:DFZ48 DGD47:DGD48 DGH47:DGH48 DGL47:DGL48 DGP47:DGP48 DGT47:DGT48 DGX47:DGX48 DHB47:DHB48 DHF47:DHF48 DHJ47:DHJ48 DHN47:DHN48 DHR47:DHR48 DHV47:DHV48 DHZ47:DHZ48 DID47:DID48 DIH47:DIH48 DIL47:DIL48 DIP47:DIP48 DIT47:DIT48 DIX47:DIX48 DJB47:DJB48 DJF47:DJF48 DJJ47:DJJ48 DJN47:DJN48 DJR47:DJR48 DJV47:DJV48 DJZ47:DJZ48 DKD47:DKD48 DKH47:DKH48 DKL47:DKL48 DKP47:DKP48 DKT47:DKT48 DKX47:DKX48 DLB47:DLB48 DLF47:DLF48 DLJ47:DLJ48 DLN47:DLN48 DLR47:DLR48 DLV47:DLV48 DLZ47:DLZ48 DMD47:DMD48 DMH47:DMH48 DML47:DML48 DMP47:DMP48 DMT47:DMT48 DMX47:DMX48 DNB47:DNB48 DNF47:DNF48 DNJ47:DNJ48 DNN47:DNN48 DNR47:DNR48 DNV47:DNV48 DNZ47:DNZ48 DOD47:DOD48 DOH47:DOH48 DOL47:DOL48 DOP47:DOP48 DOT47:DOT48 DOX47:DOX48 DPB47:DPB48 DPF47:DPF48 DPJ47:DPJ48 DPN47:DPN48 DPR47:DPR48 DPV47:DPV48 DPZ47:DPZ48 DQD47:DQD48 DQH47:DQH48 DQL47:DQL48 DQP47:DQP48 DQT47:DQT48 DQX47:DQX48 DRB47:DRB48 DRF47:DRF48 DRJ47:DRJ48 DRN47:DRN48 DRR47:DRR48 DRV47:DRV48 DRZ47:DRZ48 DSD47:DSD48 DSH47:DSH48 DSL47:DSL48 DSP47:DSP48 DST47:DST48 DSX47:DSX48 DTB47:DTB48 DTF47:DTF48 DTJ47:DTJ48 DTN47:DTN48 DTR47:DTR48 DTV47:DTV48 DTZ47:DTZ48 DUD47:DUD48 DUH47:DUH48 DUL47:DUL48 DUP47:DUP48 DUT47:DUT48 DUX47:DUX48 DVB47:DVB48 DVF47:DVF48 DVJ47:DVJ48 DVN47:DVN48 DVR47:DVR48 DVV47:DVV48 DVZ47:DVZ48 DWD47:DWD48 DWH47:DWH48 DWL47:DWL48 DWP47:DWP48 DWT47:DWT48 DWX47:DWX48 DXB47:DXB48 DXF47:DXF48 DXJ47:DXJ48 DXN47:DXN48 DXR47:DXR48 DXV47:DXV48 DXZ47:DXZ48 DYD47:DYD48 DYH47:DYH48 DYL47:DYL48 DYP47:DYP48 DYT47:DYT48 DYX47:DYX48 DZB47:DZB48 DZF47:DZF48 DZJ47:DZJ48 DZN47:DZN48 DZR47:DZR48 DZV47:DZV48 DZZ47:DZZ48 EAD47:EAD48 EAH47:EAH48 EAL47:EAL48 EAP47:EAP48 EAT47:EAT48 EAX47:EAX48 EBB47:EBB48 EBF47:EBF48 EBJ47:EBJ48 EBN47:EBN48 EBR47:EBR48 EBV47:EBV48 EBZ47:EBZ48 ECD47:ECD48 ECH47:ECH48 ECL47:ECL48 ECP47:ECP48 ECT47:ECT48 ECX47:ECX48 EDB47:EDB48 EDF47:EDF48 EDJ47:EDJ48 EDN47:EDN48 EDR47:EDR48 EDV47:EDV48 EDZ47:EDZ48 EED47:EED48 EEH47:EEH48 EEL47:EEL48 EEP47:EEP48 EET47:EET48 EEX47:EEX48 EFB47:EFB48 EFF47:EFF48 EFJ47:EFJ48 EFN47:EFN48 EFR47:EFR48 EFV47:EFV48 EFZ47:EFZ48 EGD47:EGD48 EGH47:EGH48 EGL47:EGL48 EGP47:EGP48 EGT47:EGT48 EGX47:EGX48 EHB47:EHB48 EHF47:EHF48 EHJ47:EHJ48 EHN47:EHN48 EHR47:EHR48 EHV47:EHV48 EHZ47:EHZ48 EID47:EID48 EIH47:EIH48 EIL47:EIL48 EIP47:EIP48 EIT47:EIT48 EIX47:EIX48 EJB47:EJB48 EJF47:EJF48 EJJ47:EJJ48 EJN47:EJN48 EJR47:EJR48 EJV47:EJV48 EJZ47:EJZ48 EKD47:EKD48 EKH47:EKH48 EKL47:EKL48 EKP47:EKP48 EKT47:EKT48 EKX47:EKX48 ELB47:ELB48 ELF47:ELF48 ELJ47:ELJ48 ELN47:ELN48 ELR47:ELR48 ELV47:ELV48 ELZ47:ELZ48 EMD47:EMD48 EMH47:EMH48 EML47:EML48 EMP47:EMP48 EMT47:EMT48 EMX47:EMX48 ENB47:ENB48 ENF47:ENF48 ENJ47:ENJ48 ENN47:ENN48 ENR47:ENR48 ENV47:ENV48 ENZ47:ENZ48 EOD47:EOD48 EOH47:EOH48 EOL47:EOL48 EOP47:EOP48 EOT47:EOT48 EOX47:EOX48 EPB47:EPB48 EPF47:EPF48 EPJ47:EPJ48 EPN47:EPN48 EPR47:EPR48 EPV47:EPV48 EPZ47:EPZ48 EQD47:EQD48 EQH47:EQH48 EQL47:EQL48 EQP47:EQP48 EQT47:EQT48 EQX47:EQX48 ERB47:ERB48 ERF47:ERF48 ERJ47:ERJ48 ERN47:ERN48 ERR47:ERR48 ERV47:ERV48 ERZ47:ERZ48 ESD47:ESD48 ESH47:ESH48 ESL47:ESL48 ESP47:ESP48 EST47:EST48 ESX47:ESX48 ETB47:ETB48 ETF47:ETF48 ETJ47:ETJ48 ETN47:ETN48 ETR47:ETR48 ETV47:ETV48 ETZ47:ETZ48 EUD47:EUD48 EUH47:EUH48 EUL47:EUL48 EUP47:EUP48 EUT47:EUT48 EUX47:EUX48 EVB47:EVB48 EVF47:EVF48 EVJ47:EVJ48 EVN47:EVN48 EVR47:EVR48 EVV47:EVV48 EVZ47:EVZ48 EWD47:EWD48 EWH47:EWH48 EWL47:EWL48 EWP47:EWP48 EWT47:EWT48 EWX47:EWX48 EXB47:EXB48 EXF47:EXF48 EXJ47:EXJ48 EXN47:EXN48 EXR47:EXR48 EXV47:EXV48 EXZ47:EXZ48 EYD47:EYD48 EYH47:EYH48 EYL47:EYL48 EYP47:EYP48 EYT47:EYT48 EYX47:EYX48 EZB47:EZB48 EZF47:EZF48 EZJ47:EZJ48 EZN47:EZN48 EZR47:EZR48 EZV47:EZV48 EZZ47:EZZ48 FAD47:FAD48 FAH47:FAH48 FAL47:FAL48 FAP47:FAP48 FAT47:FAT48 FAX47:FAX48 FBB47:FBB48 FBF47:FBF48 FBJ47:FBJ48 FBN47:FBN48 FBR47:FBR48 FBV47:FBV48 FBZ47:FBZ48 FCD47:FCD48 FCH47:FCH48 FCL47:FCL48 FCP47:FCP48 FCT47:FCT48 FCX47:FCX48 FDB47:FDB48 FDF47:FDF48 FDJ47:FDJ48 FDN47:FDN48 FDR47:FDR48 FDV47:FDV48 FDZ47:FDZ48 FED47:FED48 FEH47:FEH48 FEL47:FEL48 FEP47:FEP48 FET47:FET48 FEX47:FEX48 FFB47:FFB48 FFF47:FFF48 FFJ47:FFJ48 FFN47:FFN48 FFR47:FFR48 FFV47:FFV48 FFZ47:FFZ48 FGD47:FGD48 FGH47:FGH48 FGL47:FGL48 FGP47:FGP48 FGT47:FGT48 FGX47:FGX48 FHB47:FHB48 FHF47:FHF48 FHJ47:FHJ48 FHN47:FHN48 FHR47:FHR48 FHV47:FHV48 FHZ47:FHZ48 FID47:FID48 FIH47:FIH48 FIL47:FIL48 FIP47:FIP48 FIT47:FIT48 FIX47:FIX48 FJB47:FJB48 FJF47:FJF48 FJJ47:FJJ48 FJN47:FJN48 FJR47:FJR48 FJV47:FJV48 FJZ47:FJZ48 FKD47:FKD48 FKH47:FKH48 FKL47:FKL48 FKP47:FKP48 FKT47:FKT48 FKX47:FKX48 FLB47:FLB48 FLF47:FLF48 FLJ47:FLJ48 FLN47:FLN48 FLR47:FLR48 FLV47:FLV48 FLZ47:FLZ48 FMD47:FMD48 FMH47:FMH48 FML47:FML48 FMP47:FMP48 FMT47:FMT48 FMX47:FMX48 FNB47:FNB48 FNF47:FNF48 FNJ47:FNJ48 FNN47:FNN48 FNR47:FNR48 FNV47:FNV48 FNZ47:FNZ48 FOD47:FOD48 FOH47:FOH48 FOL47:FOL48 FOP47:FOP48 FOT47:FOT48 FOX47:FOX48 FPB47:FPB48 FPF47:FPF48 FPJ47:FPJ48 FPN47:FPN48 FPR47:FPR48 FPV47:FPV48 FPZ47:FPZ48 FQD47:FQD48 FQH47:FQH48 FQL47:FQL48 FQP47:FQP48 FQT47:FQT48 FQX47:FQX48 FRB47:FRB48 FRF47:FRF48 FRJ47:FRJ48 FRN47:FRN48 FRR47:FRR48 FRV47:FRV48 FRZ47:FRZ48 FSD47:FSD48 FSH47:FSH48 FSL47:FSL48 FSP47:FSP48 FST47:FST48 FSX47:FSX48 FTB47:FTB48 FTF47:FTF48 FTJ47:FTJ48 FTN47:FTN48 FTR47:FTR48 FTV47:FTV48 FTZ47:FTZ48 FUD47:FUD48 FUH47:FUH48 FUL47:FUL48 FUP47:FUP48 FUT47:FUT48 FUX47:FUX48 FVB47:FVB48 FVF47:FVF48 FVJ47:FVJ48 FVN47:FVN48 FVR47:FVR48 FVV47:FVV48 FVZ47:FVZ48 FWD47:FWD48 FWH47:FWH48 FWL47:FWL48 FWP47:FWP48 FWT47:FWT48 FWX47:FWX48 FXB47:FXB48 FXF47:FXF48 FXJ47:FXJ48 FXN47:FXN48 FXR47:FXR48 FXV47:FXV48 FXZ47:FXZ48 FYD47:FYD48 FYH47:FYH48 FYL47:FYL48 FYP47:FYP48 FYT47:FYT48 FYX47:FYX48 FZB47:FZB48 FZF47:FZF48 FZJ47:FZJ48 FZN47:FZN48 FZR47:FZR48 FZV47:FZV48 FZZ47:FZZ48 GAD47:GAD48 GAH47:GAH48 GAL47:GAL48 GAP47:GAP48 GAT47:GAT48 GAX47:GAX48 GBB47:GBB48 GBF47:GBF48 GBJ47:GBJ48 GBN47:GBN48 GBR47:GBR48 GBV47:GBV48 GBZ47:GBZ48 GCD47:GCD48 GCH47:GCH48 GCL47:GCL48 GCP47:GCP48 GCT47:GCT48 GCX47:GCX48 GDB47:GDB48 GDF47:GDF48 GDJ47:GDJ48 GDN47:GDN48 GDR47:GDR48 GDV47:GDV48 GDZ47:GDZ48 GED47:GED48 GEH47:GEH48 GEL47:GEL48 GEP47:GEP48 GET47:GET48 GEX47:GEX48 GFB47:GFB48 GFF47:GFF48 GFJ47:GFJ48 GFN47:GFN48 GFR47:GFR48 GFV47:GFV48 GFZ47:GFZ48 GGD47:GGD48 GGH47:GGH48 GGL47:GGL48 GGP47:GGP48 GGT47:GGT48 GGX47:GGX48 GHB47:GHB48 GHF47:GHF48 GHJ47:GHJ48 GHN47:GHN48 GHR47:GHR48 GHV47:GHV48 GHZ47:GHZ48 GID47:GID48 GIH47:GIH48 GIL47:GIL48 GIP47:GIP48 GIT47:GIT48 GIX47:GIX48 GJB47:GJB48 GJF47:GJF48 GJJ47:GJJ48 GJN47:GJN48 GJR47:GJR48 GJV47:GJV48 GJZ47:GJZ48 GKD47:GKD48 GKH47:GKH48 GKL47:GKL48 GKP47:GKP48 GKT47:GKT48 GKX47:GKX48 GLB47:GLB48 GLF47:GLF48 GLJ47:GLJ48 GLN47:GLN48 GLR47:GLR48 GLV47:GLV48 GLZ47:GLZ48 GMD47:GMD48 GMH47:GMH48 GML47:GML48 GMP47:GMP48 GMT47:GMT48 GMX47:GMX48 GNB47:GNB48 GNF47:GNF48 GNJ47:GNJ48 GNN47:GNN48 GNR47:GNR48 GNV47:GNV48 GNZ47:GNZ48 GOD47:GOD48 GOH47:GOH48 GOL47:GOL48 GOP47:GOP48 GOT47:GOT48 GOX47:GOX48 GPB47:GPB48 GPF47:GPF48 GPJ47:GPJ48 GPN47:GPN48 GPR47:GPR48 GPV47:GPV48 GPZ47:GPZ48 GQD47:GQD48 GQH47:GQH48 GQL47:GQL48 GQP47:GQP48 GQT47:GQT48 GQX47:GQX48 GRB47:GRB48 GRF47:GRF48 GRJ47:GRJ48 GRN47:GRN48 GRR47:GRR48 GRV47:GRV48 GRZ47:GRZ48 GSD47:GSD48 GSH47:GSH48 GSL47:GSL48 GSP47:GSP48 GST47:GST48 GSX47:GSX48 GTB47:GTB48 GTF47:GTF48 GTJ47:GTJ48 GTN47:GTN48 GTR47:GTR48 GTV47:GTV48 GTZ47:GTZ48 GUD47:GUD48 GUH47:GUH48 GUL47:GUL48 GUP47:GUP48 GUT47:GUT48 GUX47:GUX48 GVB47:GVB48 GVF47:GVF48 GVJ47:GVJ48 GVN47:GVN48 GVR47:GVR48 GVV47:GVV48 GVZ47:GVZ48 GWD47:GWD48 GWH47:GWH48 GWL47:GWL48 GWP47:GWP48 GWT47:GWT48 GWX47:GWX48 GXB47:GXB48 GXF47:GXF48 GXJ47:GXJ48 GXN47:GXN48 GXR47:GXR48 GXV47:GXV48 GXZ47:GXZ48 GYD47:GYD48 GYH47:GYH48 GYL47:GYL48 GYP47:GYP48 GYT47:GYT48 GYX47:GYX48 GZB47:GZB48 GZF47:GZF48 GZJ47:GZJ48 GZN47:GZN48 GZR47:GZR48 GZV47:GZV48 GZZ47:GZZ48 HAD47:HAD48 HAH47:HAH48 HAL47:HAL48 HAP47:HAP48 HAT47:HAT48 HAX47:HAX48 HBB47:HBB48 HBF47:HBF48 HBJ47:HBJ48 HBN47:HBN48 HBR47:HBR48 HBV47:HBV48 HBZ47:HBZ48 HCD47:HCD48 HCH47:HCH48 HCL47:HCL48 HCP47:HCP48 HCT47:HCT48 HCX47:HCX48 HDB47:HDB48 HDF47:HDF48 HDJ47:HDJ48 HDN47:HDN48 HDR47:HDR48 HDV47:HDV48 HDZ47:HDZ48 HED47:HED48 HEH47:HEH48 HEL47:HEL48 HEP47:HEP48 HET47:HET48 HEX47:HEX48 HFB47:HFB48 HFF47:HFF48 HFJ47:HFJ48 HFN47:HFN48 HFR47:HFR48 HFV47:HFV48 HFZ47:HFZ48 HGD47:HGD48 HGH47:HGH48 HGL47:HGL48 HGP47:HGP48 HGT47:HGT48 HGX47:HGX48 HHB47:HHB48 HHF47:HHF48 HHJ47:HHJ48 HHN47:HHN48 HHR47:HHR48 HHV47:HHV48 HHZ47:HHZ48 HID47:HID48 HIH47:HIH48 HIL47:HIL48 HIP47:HIP48 HIT47:HIT48 HIX47:HIX48 HJB47:HJB48 HJF47:HJF48 HJJ47:HJJ48 HJN47:HJN48 HJR47:HJR48 HJV47:HJV48 HJZ47:HJZ48 HKD47:HKD48 HKH47:HKH48 HKL47:HKL48 HKP47:HKP48 HKT47:HKT48 HKX47:HKX48 HLB47:HLB48 HLF47:HLF48 HLJ47:HLJ48 HLN47:HLN48 HLR47:HLR48 HLV47:HLV48 HLZ47:HLZ48 HMD47:HMD48 HMH47:HMH48 HML47:HML48 HMP47:HMP48 HMT47:HMT48 HMX47:HMX48 HNB47:HNB48 HNF47:HNF48 HNJ47:HNJ48 HNN47:HNN48 HNR47:HNR48 HNV47:HNV48 HNZ47:HNZ48 HOD47:HOD48 HOH47:HOH48 HOL47:HOL48 HOP47:HOP48 HOT47:HOT48 HOX47:HOX48 HPB47:HPB48 HPF47:HPF48 HPJ47:HPJ48 HPN47:HPN48 HPR47:HPR48 HPV47:HPV48 HPZ47:HPZ48 HQD47:HQD48 HQH47:HQH48 HQL47:HQL48 HQP47:HQP48 HQT47:HQT48 HQX47:HQX48 HRB47:HRB48 HRF47:HRF48 HRJ47:HRJ48 HRN47:HRN48 HRR47:HRR48 HRV47:HRV48 HRZ47:HRZ48 HSD47:HSD48 HSH47:HSH48 HSL47:HSL48 HSP47:HSP48 HST47:HST48 HSX47:HSX48 HTB47:HTB48 HTF47:HTF48 HTJ47:HTJ48 HTN47:HTN48 HTR47:HTR48 HTV47:HTV48 HTZ47:HTZ48 HUD47:HUD48 HUH47:HUH48 HUL47:HUL48 HUP47:HUP48 HUT47:HUT48 HUX47:HUX48 HVB47:HVB48 HVF47:HVF48 HVJ47:HVJ48 HVN47:HVN48 HVR47:HVR48 HVV47:HVV48 HVZ47:HVZ48 HWD47:HWD48 HWH47:HWH48 HWL47:HWL48 HWP47:HWP48 HWT47:HWT48 HWX47:HWX48 HXB47:HXB48 HXF47:HXF48 HXJ47:HXJ48 HXN47:HXN48 HXR47:HXR48 HXV47:HXV48 HXZ47:HXZ48 HYD47:HYD48 HYH47:HYH48 HYL47:HYL48 HYP47:HYP48 HYT47:HYT48 HYX47:HYX48 HZB47:HZB48 HZF47:HZF48 HZJ47:HZJ48 HZN47:HZN48 HZR47:HZR48 HZV47:HZV48 HZZ47:HZZ48 IAD47:IAD48 IAH47:IAH48 IAL47:IAL48 IAP47:IAP48 IAT47:IAT48 IAX47:IAX48 IBB47:IBB48 IBF47:IBF48 IBJ47:IBJ48 IBN47:IBN48 IBR47:IBR48 IBV47:IBV48 IBZ47:IBZ48 ICD47:ICD48 ICH47:ICH48 ICL47:ICL48 ICP47:ICP48 ICT47:ICT48 ICX47:ICX48 IDB47:IDB48 IDF47:IDF48 IDJ47:IDJ48 IDN47:IDN48 IDR47:IDR48 IDV47:IDV48 IDZ47:IDZ48 IED47:IED48 IEH47:IEH48 IEL47:IEL48 IEP47:IEP48 IET47:IET48 IEX47:IEX48 IFB47:IFB48 IFF47:IFF48 IFJ47:IFJ48 IFN47:IFN48 IFR47:IFR48 IFV47:IFV48 IFZ47:IFZ48 IGD47:IGD48 IGH47:IGH48 IGL47:IGL48 IGP47:IGP48 IGT47:IGT48 IGX47:IGX48 IHB47:IHB48 IHF47:IHF48 IHJ47:IHJ48 IHN47:IHN48 IHR47:IHR48 IHV47:IHV48 IHZ47:IHZ48 IID47:IID48 IIH47:IIH48 IIL47:IIL48 IIP47:IIP48 IIT47:IIT48 IIX47:IIX48 IJB47:IJB48 IJF47:IJF48 IJJ47:IJJ48 IJN47:IJN48 IJR47:IJR48 IJV47:IJV48 IJZ47:IJZ48 IKD47:IKD48 IKH47:IKH48 IKL47:IKL48 IKP47:IKP48 IKT47:IKT48 IKX47:IKX48 ILB47:ILB48 ILF47:ILF48 ILJ47:ILJ48 ILN47:ILN48 ILR47:ILR48 ILV47:ILV48 ILZ47:ILZ48 IMD47:IMD48 IMH47:IMH48 IML47:IML48 IMP47:IMP48 IMT47:IMT48 IMX47:IMX48 INB47:INB48 INF47:INF48 INJ47:INJ48 INN47:INN48 INR47:INR48 INV47:INV48 INZ47:INZ48 IOD47:IOD48 IOH47:IOH48 IOL47:IOL48 IOP47:IOP48 IOT47:IOT48 IOX47:IOX48 IPB47:IPB48 IPF47:IPF48 IPJ47:IPJ48 IPN47:IPN48 IPR47:IPR48 IPV47:IPV48 IPZ47:IPZ48 IQD47:IQD48 IQH47:IQH48 IQL47:IQL48 IQP47:IQP48 IQT47:IQT48 IQX47:IQX48 IRB47:IRB48 IRF47:IRF48 IRJ47:IRJ48 IRN47:IRN48 IRR47:IRR48 IRV47:IRV48 IRZ47:IRZ48 ISD47:ISD48 ISH47:ISH48 ISL47:ISL48 ISP47:ISP48 IST47:IST48 ISX47:ISX48 ITB47:ITB48 ITF47:ITF48 ITJ47:ITJ48 ITN47:ITN48 ITR47:ITR48 ITV47:ITV48 ITZ47:ITZ48 IUD47:IUD48 IUH47:IUH48 IUL47:IUL48 IUP47:IUP48 IUT47:IUT48 IUX47:IUX48 IVB47:IVB48 IVF47:IVF48 IVJ47:IVJ48 IVN47:IVN48 IVR47:IVR48 IVV47:IVV48 IVZ47:IVZ48 IWD47:IWD48 IWH47:IWH48 IWL47:IWL48 IWP47:IWP48 IWT47:IWT48 IWX47:IWX48 IXB47:IXB48 IXF47:IXF48 IXJ47:IXJ48 IXN47:IXN48 IXR47:IXR48 IXV47:IXV48 IXZ47:IXZ48 IYD47:IYD48 IYH47:IYH48 IYL47:IYL48 IYP47:IYP48 IYT47:IYT48 IYX47:IYX48 IZB47:IZB48 IZF47:IZF48 IZJ47:IZJ48 IZN47:IZN48 IZR47:IZR48 IZV47:IZV48 IZZ47:IZZ48 JAD47:JAD48 JAH47:JAH48 JAL47:JAL48 JAP47:JAP48 JAT47:JAT48 JAX47:JAX48 JBB47:JBB48 JBF47:JBF48 JBJ47:JBJ48 JBN47:JBN48 JBR47:JBR48 JBV47:JBV48 JBZ47:JBZ48 JCD47:JCD48 JCH47:JCH48 JCL47:JCL48 JCP47:JCP48 JCT47:JCT48 JCX47:JCX48 JDB47:JDB48 JDF47:JDF48 JDJ47:JDJ48 JDN47:JDN48 JDR47:JDR48 JDV47:JDV48 JDZ47:JDZ48 JED47:JED48 JEH47:JEH48 JEL47:JEL48 JEP47:JEP48 JET47:JET48 JEX47:JEX48 JFB47:JFB48 JFF47:JFF48 JFJ47:JFJ48 JFN47:JFN48 JFR47:JFR48 JFV47:JFV48 JFZ47:JFZ48 JGD47:JGD48 JGH47:JGH48 JGL47:JGL48 JGP47:JGP48 JGT47:JGT48 JGX47:JGX48 JHB47:JHB48 JHF47:JHF48 JHJ47:JHJ48 JHN47:JHN48 JHR47:JHR48 JHV47:JHV48 JHZ47:JHZ48 JID47:JID48 JIH47:JIH48 JIL47:JIL48 JIP47:JIP48 JIT47:JIT48 JIX47:JIX48 JJB47:JJB48 JJF47:JJF48 JJJ47:JJJ48 JJN47:JJN48 JJR47:JJR48 JJV47:JJV48 JJZ47:JJZ48 JKD47:JKD48 JKH47:JKH48 JKL47:JKL48 JKP47:JKP48 JKT47:JKT48 JKX47:JKX48 JLB47:JLB48 JLF47:JLF48 JLJ47:JLJ48 JLN47:JLN48 JLR47:JLR48 JLV47:JLV48 JLZ47:JLZ48 JMD47:JMD48 JMH47:JMH48 JML47:JML48 JMP47:JMP48 JMT47:JMT48 JMX47:JMX48 JNB47:JNB48 JNF47:JNF48 JNJ47:JNJ48 JNN47:JNN48 JNR47:JNR48 JNV47:JNV48 JNZ47:JNZ48 JOD47:JOD48 JOH47:JOH48 JOL47:JOL48 JOP47:JOP48 JOT47:JOT48 JOX47:JOX48 JPB47:JPB48 JPF47:JPF48 JPJ47:JPJ48 JPN47:JPN48 JPR47:JPR48 JPV47:JPV48 JPZ47:JPZ48 JQD47:JQD48 JQH47:JQH48 JQL47:JQL48 JQP47:JQP48 JQT47:JQT48 JQX47:JQX48 JRB47:JRB48 JRF47:JRF48 JRJ47:JRJ48 JRN47:JRN48 JRR47:JRR48 JRV47:JRV48 JRZ47:JRZ48 JSD47:JSD48 JSH47:JSH48 JSL47:JSL48 JSP47:JSP48 JST47:JST48 JSX47:JSX48 JTB47:JTB48 JTF47:JTF48 JTJ47:JTJ48 JTN47:JTN48 JTR47:JTR48 JTV47:JTV48 JTZ47:JTZ48 JUD47:JUD48 JUH47:JUH48 JUL47:JUL48 JUP47:JUP48 JUT47:JUT48 JUX47:JUX48 JVB47:JVB48 JVF47:JVF48 JVJ47:JVJ48 JVN47:JVN48 JVR47:JVR48 JVV47:JVV48 JVZ47:JVZ48 JWD47:JWD48 JWH47:JWH48 JWL47:JWL48 JWP47:JWP48 JWT47:JWT48 JWX47:JWX48 JXB47:JXB48 JXF47:JXF48 JXJ47:JXJ48 JXN47:JXN48 JXR47:JXR48 JXV47:JXV48 JXZ47:JXZ48 JYD47:JYD48 JYH47:JYH48 JYL47:JYL48 JYP47:JYP48 JYT47:JYT48 JYX47:JYX48 JZB47:JZB48 JZF47:JZF48 JZJ47:JZJ48 JZN47:JZN48 JZR47:JZR48 JZV47:JZV48 JZZ47:JZZ48 KAD47:KAD48 KAH47:KAH48 KAL47:KAL48 KAP47:KAP48 KAT47:KAT48 KAX47:KAX48 KBB47:KBB48 KBF47:KBF48 KBJ47:KBJ48 KBN47:KBN48 KBR47:KBR48 KBV47:KBV48 KBZ47:KBZ48 KCD47:KCD48 KCH47:KCH48 KCL47:KCL48 KCP47:KCP48 KCT47:KCT48 KCX47:KCX48 KDB47:KDB48 KDF47:KDF48 KDJ47:KDJ48 KDN47:KDN48 KDR47:KDR48 KDV47:KDV48 KDZ47:KDZ48 KED47:KED48 KEH47:KEH48 KEL47:KEL48 KEP47:KEP48 KET47:KET48 KEX47:KEX48 KFB47:KFB48 KFF47:KFF48 KFJ47:KFJ48 KFN47:KFN48 KFR47:KFR48 KFV47:KFV48 KFZ47:KFZ48 KGD47:KGD48 KGH47:KGH48 KGL47:KGL48 KGP47:KGP48 KGT47:KGT48 KGX47:KGX48 KHB47:KHB48 KHF47:KHF48 KHJ47:KHJ48 KHN47:KHN48 KHR47:KHR48 KHV47:KHV48 KHZ47:KHZ48 KID47:KID48 KIH47:KIH48 KIL47:KIL48 KIP47:KIP48 KIT47:KIT48 KIX47:KIX48 KJB47:KJB48 KJF47:KJF48 KJJ47:KJJ48 KJN47:KJN48 KJR47:KJR48 KJV47:KJV48 KJZ47:KJZ48 KKD47:KKD48 KKH47:KKH48 KKL47:KKL48 KKP47:KKP48 KKT47:KKT48 KKX47:KKX48 KLB47:KLB48 KLF47:KLF48 KLJ47:KLJ48 KLN47:KLN48 KLR47:KLR48 KLV47:KLV48 KLZ47:KLZ48 KMD47:KMD48 KMH47:KMH48 KML47:KML48 KMP47:KMP48 KMT47:KMT48 KMX47:KMX48 KNB47:KNB48 KNF47:KNF48 KNJ47:KNJ48 KNN47:KNN48 KNR47:KNR48 KNV47:KNV48 KNZ47:KNZ48 KOD47:KOD48 KOH47:KOH48 KOL47:KOL48 KOP47:KOP48 KOT47:KOT48 KOX47:KOX48 KPB47:KPB48 KPF47:KPF48 KPJ47:KPJ48 KPN47:KPN48 KPR47:KPR48 KPV47:KPV48 KPZ47:KPZ48 KQD47:KQD48 KQH47:KQH48 KQL47:KQL48 KQP47:KQP48 KQT47:KQT48 KQX47:KQX48 KRB47:KRB48 KRF47:KRF48 KRJ47:KRJ48 KRN47:KRN48 KRR47:KRR48 KRV47:KRV48 KRZ47:KRZ48 KSD47:KSD48 KSH47:KSH48 KSL47:KSL48 KSP47:KSP48 KST47:KST48 KSX47:KSX48 KTB47:KTB48 KTF47:KTF48 KTJ47:KTJ48 KTN47:KTN48 KTR47:KTR48 KTV47:KTV48 KTZ47:KTZ48 KUD47:KUD48 KUH47:KUH48 KUL47:KUL48 KUP47:KUP48 KUT47:KUT48 KUX47:KUX48 KVB47:KVB48 KVF47:KVF48 KVJ47:KVJ48 KVN47:KVN48 KVR47:KVR48 KVV47:KVV48 KVZ47:KVZ48 KWD47:KWD48 KWH47:KWH48 KWL47:KWL48 KWP47:KWP48 KWT47:KWT48 KWX47:KWX48 KXB47:KXB48 KXF47:KXF48 KXJ47:KXJ48 KXN47:KXN48 KXR47:KXR48 KXV47:KXV48 KXZ47:KXZ48 KYD47:KYD48 KYH47:KYH48 KYL47:KYL48 KYP47:KYP48 KYT47:KYT48 KYX47:KYX48 KZB47:KZB48 KZF47:KZF48 KZJ47:KZJ48 KZN47:KZN48 KZR47:KZR48 KZV47:KZV48 KZZ47:KZZ48 LAD47:LAD48 LAH47:LAH48 LAL47:LAL48 LAP47:LAP48 LAT47:LAT48 LAX47:LAX48 LBB47:LBB48 LBF47:LBF48 LBJ47:LBJ48 LBN47:LBN48 LBR47:LBR48 LBV47:LBV48 LBZ47:LBZ48 LCD47:LCD48 LCH47:LCH48 LCL47:LCL48 LCP47:LCP48 LCT47:LCT48 LCX47:LCX48 LDB47:LDB48 LDF47:LDF48 LDJ47:LDJ48 LDN47:LDN48 LDR47:LDR48 LDV47:LDV48 LDZ47:LDZ48 LED47:LED48 LEH47:LEH48 LEL47:LEL48 LEP47:LEP48 LET47:LET48 LEX47:LEX48 LFB47:LFB48 LFF47:LFF48 LFJ47:LFJ48 LFN47:LFN48 LFR47:LFR48 LFV47:LFV48 LFZ47:LFZ48 LGD47:LGD48 LGH47:LGH48 LGL47:LGL48 LGP47:LGP48 LGT47:LGT48 LGX47:LGX48 LHB47:LHB48 LHF47:LHF48 LHJ47:LHJ48 LHN47:LHN48 LHR47:LHR48 LHV47:LHV48 LHZ47:LHZ48 LID47:LID48 LIH47:LIH48 LIL47:LIL48 LIP47:LIP48 LIT47:LIT48 LIX47:LIX48 LJB47:LJB48 LJF47:LJF48 LJJ47:LJJ48 LJN47:LJN48 LJR47:LJR48 LJV47:LJV48 LJZ47:LJZ48 LKD47:LKD48 LKH47:LKH48 LKL47:LKL48 LKP47:LKP48 LKT47:LKT48 LKX47:LKX48 LLB47:LLB48 LLF47:LLF48 LLJ47:LLJ48 LLN47:LLN48 LLR47:LLR48 LLV47:LLV48 LLZ47:LLZ48 LMD47:LMD48 LMH47:LMH48 LML47:LML48 LMP47:LMP48 LMT47:LMT48 LMX47:LMX48 LNB47:LNB48 LNF47:LNF48 LNJ47:LNJ48 LNN47:LNN48 LNR47:LNR48 LNV47:LNV48 LNZ47:LNZ48 LOD47:LOD48 LOH47:LOH48 LOL47:LOL48 LOP47:LOP48 LOT47:LOT48 LOX47:LOX48 LPB47:LPB48 LPF47:LPF48 LPJ47:LPJ48 LPN47:LPN48 LPR47:LPR48 LPV47:LPV48 LPZ47:LPZ48 LQD47:LQD48 LQH47:LQH48 LQL47:LQL48 LQP47:LQP48 LQT47:LQT48 LQX47:LQX48 LRB47:LRB48 LRF47:LRF48 LRJ47:LRJ48 LRN47:LRN48 LRR47:LRR48 LRV47:LRV48 LRZ47:LRZ48 LSD47:LSD48 LSH47:LSH48 LSL47:LSL48 LSP47:LSP48 LST47:LST48 LSX47:LSX48 LTB47:LTB48 LTF47:LTF48 LTJ47:LTJ48 LTN47:LTN48 LTR47:LTR48 LTV47:LTV48 LTZ47:LTZ48 LUD47:LUD48 LUH47:LUH48 LUL47:LUL48 LUP47:LUP48 LUT47:LUT48 LUX47:LUX48 LVB47:LVB48 LVF47:LVF48 LVJ47:LVJ48 LVN47:LVN48 LVR47:LVR48 LVV47:LVV48 LVZ47:LVZ48 LWD47:LWD48 LWH47:LWH48 LWL47:LWL48 LWP47:LWP48 LWT47:LWT48 LWX47:LWX48 LXB47:LXB48 LXF47:LXF48 LXJ47:LXJ48 LXN47:LXN48 LXR47:LXR48 LXV47:LXV48 LXZ47:LXZ48 LYD47:LYD48 LYH47:LYH48 LYL47:LYL48 LYP47:LYP48 LYT47:LYT48 LYX47:LYX48 LZB47:LZB48 LZF47:LZF48 LZJ47:LZJ48 LZN47:LZN48 LZR47:LZR48 LZV47:LZV48 LZZ47:LZZ48 MAD47:MAD48 MAH47:MAH48 MAL47:MAL48 MAP47:MAP48 MAT47:MAT48 MAX47:MAX48 MBB47:MBB48 MBF47:MBF48 MBJ47:MBJ48 MBN47:MBN48 MBR47:MBR48 MBV47:MBV48 MBZ47:MBZ48 MCD47:MCD48 MCH47:MCH48 MCL47:MCL48 MCP47:MCP48 MCT47:MCT48 MCX47:MCX48 MDB47:MDB48 MDF47:MDF48 MDJ47:MDJ48 MDN47:MDN48 MDR47:MDR48 MDV47:MDV48 MDZ47:MDZ48 MED47:MED48 MEH47:MEH48 MEL47:MEL48 MEP47:MEP48 MET47:MET48 MEX47:MEX48 MFB47:MFB48 MFF47:MFF48 MFJ47:MFJ48 MFN47:MFN48 MFR47:MFR48 MFV47:MFV48 MFZ47:MFZ48 MGD47:MGD48 MGH47:MGH48 MGL47:MGL48 MGP47:MGP48 MGT47:MGT48 MGX47:MGX48 MHB47:MHB48 MHF47:MHF48 MHJ47:MHJ48 MHN47:MHN48 MHR47:MHR48 MHV47:MHV48 MHZ47:MHZ48 MID47:MID48 MIH47:MIH48 MIL47:MIL48 MIP47:MIP48 MIT47:MIT48 MIX47:MIX48 MJB47:MJB48 MJF47:MJF48 MJJ47:MJJ48 MJN47:MJN48 MJR47:MJR48 MJV47:MJV48 MJZ47:MJZ48 MKD47:MKD48 MKH47:MKH48 MKL47:MKL48 MKP47:MKP48 MKT47:MKT48 MKX47:MKX48 MLB47:MLB48 MLF47:MLF48 MLJ47:MLJ48 MLN47:MLN48 MLR47:MLR48 MLV47:MLV48 MLZ47:MLZ48 MMD47:MMD48 MMH47:MMH48 MML47:MML48 MMP47:MMP48 MMT47:MMT48 MMX47:MMX48 MNB47:MNB48 MNF47:MNF48 MNJ47:MNJ48 MNN47:MNN48 MNR47:MNR48 MNV47:MNV48 MNZ47:MNZ48 MOD47:MOD48 MOH47:MOH48 MOL47:MOL48 MOP47:MOP48 MOT47:MOT48 MOX47:MOX48 MPB47:MPB48 MPF47:MPF48 MPJ47:MPJ48 MPN47:MPN48 MPR47:MPR48 MPV47:MPV48 MPZ47:MPZ48 MQD47:MQD48 MQH47:MQH48 MQL47:MQL48 MQP47:MQP48 MQT47:MQT48 MQX47:MQX48 MRB47:MRB48 MRF47:MRF48 MRJ47:MRJ48 MRN47:MRN48 MRR47:MRR48 MRV47:MRV48 MRZ47:MRZ48 MSD47:MSD48 MSH47:MSH48 MSL47:MSL48 MSP47:MSP48 MST47:MST48 MSX47:MSX48 MTB47:MTB48 MTF47:MTF48 MTJ47:MTJ48 MTN47:MTN48 MTR47:MTR48 MTV47:MTV48 MTZ47:MTZ48 MUD47:MUD48 MUH47:MUH48 MUL47:MUL48 MUP47:MUP48 MUT47:MUT48 MUX47:MUX48 MVB47:MVB48 MVF47:MVF48 MVJ47:MVJ48 MVN47:MVN48 MVR47:MVR48 MVV47:MVV48 MVZ47:MVZ48 MWD47:MWD48 MWH47:MWH48 MWL47:MWL48 MWP47:MWP48 MWT47:MWT48 MWX47:MWX48 MXB47:MXB48 MXF47:MXF48 MXJ47:MXJ48 MXN47:MXN48 MXR47:MXR48 MXV47:MXV48 MXZ47:MXZ48 MYD47:MYD48 MYH47:MYH48 MYL47:MYL48 MYP47:MYP48 MYT47:MYT48 MYX47:MYX48 MZB47:MZB48 MZF47:MZF48 MZJ47:MZJ48 MZN47:MZN48 MZR47:MZR48 MZV47:MZV48 MZZ47:MZZ48 NAD47:NAD48 NAH47:NAH48 NAL47:NAL48 NAP47:NAP48 NAT47:NAT48 NAX47:NAX48 NBB47:NBB48 NBF47:NBF48 NBJ47:NBJ48 NBN47:NBN48 NBR47:NBR48 NBV47:NBV48 NBZ47:NBZ48 NCD47:NCD48 NCH47:NCH48 NCL47:NCL48 NCP47:NCP48 NCT47:NCT48 NCX47:NCX48 NDB47:NDB48 NDF47:NDF48 NDJ47:NDJ48 NDN47:NDN48 NDR47:NDR48 NDV47:NDV48 NDZ47:NDZ48 NED47:NED48 NEH47:NEH48 NEL47:NEL48 NEP47:NEP48 NET47:NET48 NEX47:NEX48 NFB47:NFB48 NFF47:NFF48 NFJ47:NFJ48 NFN47:NFN48 NFR47:NFR48 NFV47:NFV48 NFZ47:NFZ48 NGD47:NGD48 NGH47:NGH48 NGL47:NGL48 NGP47:NGP48 NGT47:NGT48 NGX47:NGX48 NHB47:NHB48 NHF47:NHF48 NHJ47:NHJ48 NHN47:NHN48 NHR47:NHR48 NHV47:NHV48 NHZ47:NHZ48 NID47:NID48 NIH47:NIH48 NIL47:NIL48 NIP47:NIP48 NIT47:NIT48 NIX47:NIX48 NJB47:NJB48 NJF47:NJF48 NJJ47:NJJ48 NJN47:NJN48 NJR47:NJR48 NJV47:NJV48 NJZ47:NJZ48 NKD47:NKD48 NKH47:NKH48 NKL47:NKL48 NKP47:NKP48 NKT47:NKT48 NKX47:NKX48 NLB47:NLB48 NLF47:NLF48 NLJ47:NLJ48 NLN47:NLN48 NLR47:NLR48 NLV47:NLV48 NLZ47:NLZ48 NMD47:NMD48 NMH47:NMH48 NML47:NML48 NMP47:NMP48 NMT47:NMT48 NMX47:NMX48 NNB47:NNB48 NNF47:NNF48 NNJ47:NNJ48 NNN47:NNN48 NNR47:NNR48 NNV47:NNV48 NNZ47:NNZ48 NOD47:NOD48 NOH47:NOH48 NOL47:NOL48 NOP47:NOP48 NOT47:NOT48 NOX47:NOX48 NPB47:NPB48 NPF47:NPF48 NPJ47:NPJ48 NPN47:NPN48 NPR47:NPR48 NPV47:NPV48 NPZ47:NPZ48 NQD47:NQD48 NQH47:NQH48 NQL47:NQL48 NQP47:NQP48 NQT47:NQT48 NQX47:NQX48 NRB47:NRB48 NRF47:NRF48 NRJ47:NRJ48 NRN47:NRN48 NRR47:NRR48 NRV47:NRV48 NRZ47:NRZ48 NSD47:NSD48 NSH47:NSH48 NSL47:NSL48 NSP47:NSP48 NST47:NST48 NSX47:NSX48 NTB47:NTB48 NTF47:NTF48 NTJ47:NTJ48 NTN47:NTN48 NTR47:NTR48 NTV47:NTV48 NTZ47:NTZ48 NUD47:NUD48 NUH47:NUH48 NUL47:NUL48 NUP47:NUP48 NUT47:NUT48 NUX47:NUX48 NVB47:NVB48 NVF47:NVF48 NVJ47:NVJ48 NVN47:NVN48 NVR47:NVR48 NVV47:NVV48 NVZ47:NVZ48 NWD47:NWD48 NWH47:NWH48 NWL47:NWL48 NWP47:NWP48 NWT47:NWT48 NWX47:NWX48 NXB47:NXB48 NXF47:NXF48 NXJ47:NXJ48 NXN47:NXN48 NXR47:NXR48 NXV47:NXV48 NXZ47:NXZ48 NYD47:NYD48 NYH47:NYH48 NYL47:NYL48 NYP47:NYP48 NYT47:NYT48 NYX47:NYX48 NZB47:NZB48 NZF47:NZF48 NZJ47:NZJ48 NZN47:NZN48 NZR47:NZR48 NZV47:NZV48 NZZ47:NZZ48 OAD47:OAD48 OAH47:OAH48 OAL47:OAL48 OAP47:OAP48 OAT47:OAT48 OAX47:OAX48 OBB47:OBB48 OBF47:OBF48 OBJ47:OBJ48 OBN47:OBN48 OBR47:OBR48 OBV47:OBV48 OBZ47:OBZ48 OCD47:OCD48 OCH47:OCH48 OCL47:OCL48 OCP47:OCP48 OCT47:OCT48 OCX47:OCX48 ODB47:ODB48 ODF47:ODF48 ODJ47:ODJ48 ODN47:ODN48 ODR47:ODR48 ODV47:ODV48 ODZ47:ODZ48 OED47:OED48 OEH47:OEH48 OEL47:OEL48 OEP47:OEP48 OET47:OET48 OEX47:OEX48 OFB47:OFB48 OFF47:OFF48 OFJ47:OFJ48 OFN47:OFN48 OFR47:OFR48 OFV47:OFV48 OFZ47:OFZ48 OGD47:OGD48 OGH47:OGH48 OGL47:OGL48 OGP47:OGP48 OGT47:OGT48 OGX47:OGX48 OHB47:OHB48 OHF47:OHF48 OHJ47:OHJ48 OHN47:OHN48 OHR47:OHR48 OHV47:OHV48 OHZ47:OHZ48 OID47:OID48 OIH47:OIH48 OIL47:OIL48 OIP47:OIP48 OIT47:OIT48 OIX47:OIX48 OJB47:OJB48 OJF47:OJF48 OJJ47:OJJ48 OJN47:OJN48 OJR47:OJR48 OJV47:OJV48 OJZ47:OJZ48 OKD47:OKD48 OKH47:OKH48 OKL47:OKL48 OKP47:OKP48 OKT47:OKT48 OKX47:OKX48 OLB47:OLB48 OLF47:OLF48 OLJ47:OLJ48 OLN47:OLN48 OLR47:OLR48 OLV47:OLV48 OLZ47:OLZ48 OMD47:OMD48 OMH47:OMH48 OML47:OML48 OMP47:OMP48 OMT47:OMT48 OMX47:OMX48 ONB47:ONB48 ONF47:ONF48 ONJ47:ONJ48 ONN47:ONN48 ONR47:ONR48 ONV47:ONV48 ONZ47:ONZ48 OOD47:OOD48 OOH47:OOH48 OOL47:OOL48 OOP47:OOP48 OOT47:OOT48 OOX47:OOX48 OPB47:OPB48 OPF47:OPF48 OPJ47:OPJ48 OPN47:OPN48 OPR47:OPR48 OPV47:OPV48 OPZ47:OPZ48 OQD47:OQD48 OQH47:OQH48 OQL47:OQL48 OQP47:OQP48 OQT47:OQT48 OQX47:OQX48 ORB47:ORB48 ORF47:ORF48 ORJ47:ORJ48 ORN47:ORN48 ORR47:ORR48 ORV47:ORV48 ORZ47:ORZ48 OSD47:OSD48 OSH47:OSH48 OSL47:OSL48 OSP47:OSP48 OST47:OST48 OSX47:OSX48 OTB47:OTB48 OTF47:OTF48 OTJ47:OTJ48 OTN47:OTN48 OTR47:OTR48 OTV47:OTV48 OTZ47:OTZ48 OUD47:OUD48 OUH47:OUH48 OUL47:OUL48 OUP47:OUP48 OUT47:OUT48 OUX47:OUX48 OVB47:OVB48 OVF47:OVF48 OVJ47:OVJ48 OVN47:OVN48 OVR47:OVR48 OVV47:OVV48 OVZ47:OVZ48 OWD47:OWD48 OWH47:OWH48 OWL47:OWL48 OWP47:OWP48 OWT47:OWT48 OWX47:OWX48 OXB47:OXB48 OXF47:OXF48 OXJ47:OXJ48 OXN47:OXN48 OXR47:OXR48 OXV47:OXV48 OXZ47:OXZ48 OYD47:OYD48 OYH47:OYH48 OYL47:OYL48 OYP47:OYP48 OYT47:OYT48 OYX47:OYX48 OZB47:OZB48 OZF47:OZF48 OZJ47:OZJ48 OZN47:OZN48 OZR47:OZR48 OZV47:OZV48 OZZ47:OZZ48 PAD47:PAD48 PAH47:PAH48 PAL47:PAL48 PAP47:PAP48 PAT47:PAT48 PAX47:PAX48 PBB47:PBB48 PBF47:PBF48 PBJ47:PBJ48 PBN47:PBN48 PBR47:PBR48 PBV47:PBV48 PBZ47:PBZ48 PCD47:PCD48 PCH47:PCH48 PCL47:PCL48 PCP47:PCP48 PCT47:PCT48 PCX47:PCX48 PDB47:PDB48 PDF47:PDF48 PDJ47:PDJ48 PDN47:PDN48 PDR47:PDR48 PDV47:PDV48 PDZ47:PDZ48 PED47:PED48 PEH47:PEH48 PEL47:PEL48 PEP47:PEP48 PET47:PET48 PEX47:PEX48 PFB47:PFB48 PFF47:PFF48 PFJ47:PFJ48 PFN47:PFN48 PFR47:PFR48 PFV47:PFV48 PFZ47:PFZ48 PGD47:PGD48 PGH47:PGH48 PGL47:PGL48 PGP47:PGP48 PGT47:PGT48 PGX47:PGX48 PHB47:PHB48 PHF47:PHF48 PHJ47:PHJ48 PHN47:PHN48 PHR47:PHR48 PHV47:PHV48 PHZ47:PHZ48 PID47:PID48 PIH47:PIH48 PIL47:PIL48 PIP47:PIP48 PIT47:PIT48 PIX47:PIX48 PJB47:PJB48 PJF47:PJF48 PJJ47:PJJ48 PJN47:PJN48 PJR47:PJR48 PJV47:PJV48 PJZ47:PJZ48 PKD47:PKD48 PKH47:PKH48 PKL47:PKL48 PKP47:PKP48 PKT47:PKT48 PKX47:PKX48 PLB47:PLB48 PLF47:PLF48 PLJ47:PLJ48 PLN47:PLN48 PLR47:PLR48 PLV47:PLV48 PLZ47:PLZ48 PMD47:PMD48 PMH47:PMH48 PML47:PML48 PMP47:PMP48 PMT47:PMT48 PMX47:PMX48 PNB47:PNB48 PNF47:PNF48 PNJ47:PNJ48 PNN47:PNN48 PNR47:PNR48 PNV47:PNV48 PNZ47:PNZ48 POD47:POD48 POH47:POH48 POL47:POL48 POP47:POP48 POT47:POT48 POX47:POX48 PPB47:PPB48 PPF47:PPF48 PPJ47:PPJ48 PPN47:PPN48 PPR47:PPR48 PPV47:PPV48 PPZ47:PPZ48 PQD47:PQD48 PQH47:PQH48 PQL47:PQL48 PQP47:PQP48 PQT47:PQT48 PQX47:PQX48 PRB47:PRB48 PRF47:PRF48 PRJ47:PRJ48 PRN47:PRN48 PRR47:PRR48 PRV47:PRV48 PRZ47:PRZ48 PSD47:PSD48 PSH47:PSH48 PSL47:PSL48 PSP47:PSP48 PST47:PST48 PSX47:PSX48 PTB47:PTB48 PTF47:PTF48 PTJ47:PTJ48 PTN47:PTN48 PTR47:PTR48 PTV47:PTV48 PTZ47:PTZ48 PUD47:PUD48 PUH47:PUH48 PUL47:PUL48 PUP47:PUP48 PUT47:PUT48 PUX47:PUX48 PVB47:PVB48 PVF47:PVF48 PVJ47:PVJ48 PVN47:PVN48 PVR47:PVR48 PVV47:PVV48 PVZ47:PVZ48 PWD47:PWD48 PWH47:PWH48 PWL47:PWL48 PWP47:PWP48 PWT47:PWT48 PWX47:PWX48 PXB47:PXB48 PXF47:PXF48 PXJ47:PXJ48 PXN47:PXN48 PXR47:PXR48 PXV47:PXV48 PXZ47:PXZ48 PYD47:PYD48 PYH47:PYH48 PYL47:PYL48 PYP47:PYP48 PYT47:PYT48 PYX47:PYX48 PZB47:PZB48 PZF47:PZF48 PZJ47:PZJ48 PZN47:PZN48 PZR47:PZR48 PZV47:PZV48 PZZ47:PZZ48 QAD47:QAD48 QAH47:QAH48 QAL47:QAL48 QAP47:QAP48 QAT47:QAT48 QAX47:QAX48 QBB47:QBB48 QBF47:QBF48 QBJ47:QBJ48 QBN47:QBN48 QBR47:QBR48 QBV47:QBV48 QBZ47:QBZ48 QCD47:QCD48 QCH47:QCH48 QCL47:QCL48 QCP47:QCP48 QCT47:QCT48 QCX47:QCX48 QDB47:QDB48 QDF47:QDF48 QDJ47:QDJ48 QDN47:QDN48 QDR47:QDR48 QDV47:QDV48 QDZ47:QDZ48 QED47:QED48 QEH47:QEH48 QEL47:QEL48 QEP47:QEP48 QET47:QET48 QEX47:QEX48 QFB47:QFB48 QFF47:QFF48 QFJ47:QFJ48 QFN47:QFN48 QFR47:QFR48 QFV47:QFV48 QFZ47:QFZ48 QGD47:QGD48 QGH47:QGH48 QGL47:QGL48 QGP47:QGP48 QGT47:QGT48 QGX47:QGX48 QHB47:QHB48 QHF47:QHF48 QHJ47:QHJ48 QHN47:QHN48 QHR47:QHR48 QHV47:QHV48 QHZ47:QHZ48 QID47:QID48 QIH47:QIH48 QIL47:QIL48 QIP47:QIP48 QIT47:QIT48 QIX47:QIX48 QJB47:QJB48 QJF47:QJF48 QJJ47:QJJ48 QJN47:QJN48 QJR47:QJR48 QJV47:QJV48 QJZ47:QJZ48 QKD47:QKD48 QKH47:QKH48 QKL47:QKL48 QKP47:QKP48 QKT47:QKT48 QKX47:QKX48 QLB47:QLB48 QLF47:QLF48 QLJ47:QLJ48 QLN47:QLN48 QLR47:QLR48 QLV47:QLV48 QLZ47:QLZ48 QMD47:QMD48 QMH47:QMH48 QML47:QML48 QMP47:QMP48 QMT47:QMT48 QMX47:QMX48 QNB47:QNB48 QNF47:QNF48 QNJ47:QNJ48 QNN47:QNN48 QNR47:QNR48 QNV47:QNV48 QNZ47:QNZ48 QOD47:QOD48 QOH47:QOH48 QOL47:QOL48 QOP47:QOP48 QOT47:QOT48 QOX47:QOX48 QPB47:QPB48 QPF47:QPF48 QPJ47:QPJ48 QPN47:QPN48 QPR47:QPR48 QPV47:QPV48 QPZ47:QPZ48 QQD47:QQD48 QQH47:QQH48 QQL47:QQL48 QQP47:QQP48 QQT47:QQT48 QQX47:QQX48 QRB47:QRB48 QRF47:QRF48 QRJ47:QRJ48 QRN47:QRN48 QRR47:QRR48 QRV47:QRV48 QRZ47:QRZ48 QSD47:QSD48 QSH47:QSH48 QSL47:QSL48 QSP47:QSP48 QST47:QST48 QSX47:QSX48 QTB47:QTB48 QTF47:QTF48 QTJ47:QTJ48 QTN47:QTN48 QTR47:QTR48 QTV47:QTV48 QTZ47:QTZ48 QUD47:QUD48 QUH47:QUH48 QUL47:QUL48 QUP47:QUP48 QUT47:QUT48 QUX47:QUX48 QVB47:QVB48 QVF47:QVF48 QVJ47:QVJ48 QVN47:QVN48 QVR47:QVR48 QVV47:QVV48 QVZ47:QVZ48 QWD47:QWD48 QWH47:QWH48 QWL47:QWL48 QWP47:QWP48 QWT47:QWT48 QWX47:QWX48 QXB47:QXB48 QXF47:QXF48 QXJ47:QXJ48 QXN47:QXN48 QXR47:QXR48 QXV47:QXV48 QXZ47:QXZ48 QYD47:QYD48 QYH47:QYH48 QYL47:QYL48 QYP47:QYP48 QYT47:QYT48 QYX47:QYX48 QZB47:QZB48 QZF47:QZF48 QZJ47:QZJ48 QZN47:QZN48 QZR47:QZR48 QZV47:QZV48 QZZ47:QZZ48 RAD47:RAD48 RAH47:RAH48 RAL47:RAL48 RAP47:RAP48 RAT47:RAT48 RAX47:RAX48 RBB47:RBB48 RBF47:RBF48 RBJ47:RBJ48 RBN47:RBN48 RBR47:RBR48 RBV47:RBV48 RBZ47:RBZ48 RCD47:RCD48 RCH47:RCH48 RCL47:RCL48 RCP47:RCP48 RCT47:RCT48 RCX47:RCX48 RDB47:RDB48 RDF47:RDF48 RDJ47:RDJ48 RDN47:RDN48 RDR47:RDR48 RDV47:RDV48 RDZ47:RDZ48 RED47:RED48 REH47:REH48 REL47:REL48 REP47:REP48 RET47:RET48 REX47:REX48 RFB47:RFB48 RFF47:RFF48 RFJ47:RFJ48 RFN47:RFN48 RFR47:RFR48 RFV47:RFV48 RFZ47:RFZ48 RGD47:RGD48 RGH47:RGH48 RGL47:RGL48 RGP47:RGP48 RGT47:RGT48 RGX47:RGX48 RHB47:RHB48 RHF47:RHF48 RHJ47:RHJ48 RHN47:RHN48 RHR47:RHR48 RHV47:RHV48 RHZ47:RHZ48 RID47:RID48 RIH47:RIH48 RIL47:RIL48 RIP47:RIP48 RIT47:RIT48 RIX47:RIX48 RJB47:RJB48 RJF47:RJF48 RJJ47:RJJ48 RJN47:RJN48 RJR47:RJR48 RJV47:RJV48 RJZ47:RJZ48 RKD47:RKD48 RKH47:RKH48 RKL47:RKL48 RKP47:RKP48 RKT47:RKT48 RKX47:RKX48 RLB47:RLB48 RLF47:RLF48 RLJ47:RLJ48 RLN47:RLN48 RLR47:RLR48 RLV47:RLV48 RLZ47:RLZ48 RMD47:RMD48 RMH47:RMH48 RML47:RML48 RMP47:RMP48 RMT47:RMT48 RMX47:RMX48 RNB47:RNB48 RNF47:RNF48 RNJ47:RNJ48 RNN47:RNN48 RNR47:RNR48 RNV47:RNV48 RNZ47:RNZ48 ROD47:ROD48 ROH47:ROH48 ROL47:ROL48 ROP47:ROP48 ROT47:ROT48 ROX47:ROX48 RPB47:RPB48 RPF47:RPF48 RPJ47:RPJ48 RPN47:RPN48 RPR47:RPR48 RPV47:RPV48 RPZ47:RPZ48 RQD47:RQD48 RQH47:RQH48 RQL47:RQL48 RQP47:RQP48 RQT47:RQT48 RQX47:RQX48 RRB47:RRB48 RRF47:RRF48 RRJ47:RRJ48 RRN47:RRN48 RRR47:RRR48 RRV47:RRV48 RRZ47:RRZ48 RSD47:RSD48 RSH47:RSH48 RSL47:RSL48 RSP47:RSP48 RST47:RST48 RSX47:RSX48 RTB47:RTB48 RTF47:RTF48 RTJ47:RTJ48 RTN47:RTN48 RTR47:RTR48 RTV47:RTV48 RTZ47:RTZ48 RUD47:RUD48 RUH47:RUH48 RUL47:RUL48 RUP47:RUP48 RUT47:RUT48 RUX47:RUX48 RVB47:RVB48 RVF47:RVF48 RVJ47:RVJ48 RVN47:RVN48 RVR47:RVR48 RVV47:RVV48 RVZ47:RVZ48 RWD47:RWD48 RWH47:RWH48 RWL47:RWL48 RWP47:RWP48 RWT47:RWT48 RWX47:RWX48 RXB47:RXB48 RXF47:RXF48 RXJ47:RXJ48 RXN47:RXN48 RXR47:RXR48 RXV47:RXV48 RXZ47:RXZ48 RYD47:RYD48 RYH47:RYH48 RYL47:RYL48 RYP47:RYP48 RYT47:RYT48 RYX47:RYX48 RZB47:RZB48 RZF47:RZF48 RZJ47:RZJ48 RZN47:RZN48 RZR47:RZR48 RZV47:RZV48 RZZ47:RZZ48 SAD47:SAD48 SAH47:SAH48 SAL47:SAL48 SAP47:SAP48 SAT47:SAT48 SAX47:SAX48 SBB47:SBB48 SBF47:SBF48 SBJ47:SBJ48 SBN47:SBN48 SBR47:SBR48 SBV47:SBV48 SBZ47:SBZ48 SCD47:SCD48 SCH47:SCH48 SCL47:SCL48 SCP47:SCP48 SCT47:SCT48 SCX47:SCX48 SDB47:SDB48 SDF47:SDF48 SDJ47:SDJ48 SDN47:SDN48 SDR47:SDR48 SDV47:SDV48 SDZ47:SDZ48 SED47:SED48 SEH47:SEH48 SEL47:SEL48 SEP47:SEP48 SET47:SET48 SEX47:SEX48 SFB47:SFB48 SFF47:SFF48 SFJ47:SFJ48 SFN47:SFN48 SFR47:SFR48 SFV47:SFV48 SFZ47:SFZ48 SGD47:SGD48 SGH47:SGH48 SGL47:SGL48 SGP47:SGP48 SGT47:SGT48 SGX47:SGX48 SHB47:SHB48 SHF47:SHF48 SHJ47:SHJ48 SHN47:SHN48 SHR47:SHR48 SHV47:SHV48 SHZ47:SHZ48 SID47:SID48 SIH47:SIH48 SIL47:SIL48 SIP47:SIP48 SIT47:SIT48 SIX47:SIX48 SJB47:SJB48 SJF47:SJF48 SJJ47:SJJ48 SJN47:SJN48 SJR47:SJR48 SJV47:SJV48 SJZ47:SJZ48 SKD47:SKD48 SKH47:SKH48 SKL47:SKL48 SKP47:SKP48 SKT47:SKT48 SKX47:SKX48 SLB47:SLB48 SLF47:SLF48 SLJ47:SLJ48 SLN47:SLN48 SLR47:SLR48 SLV47:SLV48 SLZ47:SLZ48 SMD47:SMD48 SMH47:SMH48 SML47:SML48 SMP47:SMP48 SMT47:SMT48 SMX47:SMX48 SNB47:SNB48 SNF47:SNF48 SNJ47:SNJ48 SNN47:SNN48 SNR47:SNR48 SNV47:SNV48 SNZ47:SNZ48 SOD47:SOD48 SOH47:SOH48 SOL47:SOL48 SOP47:SOP48 SOT47:SOT48 SOX47:SOX48 SPB47:SPB48 SPF47:SPF48 SPJ47:SPJ48 SPN47:SPN48 SPR47:SPR48 SPV47:SPV48 SPZ47:SPZ48 SQD47:SQD48 SQH47:SQH48 SQL47:SQL48 SQP47:SQP48 SQT47:SQT48 SQX47:SQX48 SRB47:SRB48 SRF47:SRF48 SRJ47:SRJ48 SRN47:SRN48 SRR47:SRR48 SRV47:SRV48 SRZ47:SRZ48 SSD47:SSD48 SSH47:SSH48 SSL47:SSL48 SSP47:SSP48 SST47:SST48 SSX47:SSX48 STB47:STB48 STF47:STF48 STJ47:STJ48 STN47:STN48 STR47:STR48 STV47:STV48 STZ47:STZ48 SUD47:SUD48 SUH47:SUH48 SUL47:SUL48 SUP47:SUP48 SUT47:SUT48 SUX47:SUX48 SVB47:SVB48 SVF47:SVF48 SVJ47:SVJ48 SVN47:SVN48 SVR47:SVR48 SVV47:SVV48 SVZ47:SVZ48 SWD47:SWD48 SWH47:SWH48 SWL47:SWL48 SWP47:SWP48 SWT47:SWT48 SWX47:SWX48 SXB47:SXB48 SXF47:SXF48 SXJ47:SXJ48 SXN47:SXN48 SXR47:SXR48 SXV47:SXV48 SXZ47:SXZ48 SYD47:SYD48 SYH47:SYH48 SYL47:SYL48 SYP47:SYP48 SYT47:SYT48 SYX47:SYX48 SZB47:SZB48 SZF47:SZF48 SZJ47:SZJ48 SZN47:SZN48 SZR47:SZR48 SZV47:SZV48 SZZ47:SZZ48 TAD47:TAD48 TAH47:TAH48 TAL47:TAL48 TAP47:TAP48 TAT47:TAT48 TAX47:TAX48 TBB47:TBB48 TBF47:TBF48 TBJ47:TBJ48 TBN47:TBN48 TBR47:TBR48 TBV47:TBV48 TBZ47:TBZ48 TCD47:TCD48 TCH47:TCH48 TCL47:TCL48 TCP47:TCP48 TCT47:TCT48 TCX47:TCX48 TDB47:TDB48 TDF47:TDF48 TDJ47:TDJ48 TDN47:TDN48 TDR47:TDR48 TDV47:TDV48 TDZ47:TDZ48 TED47:TED48 TEH47:TEH48 TEL47:TEL48 TEP47:TEP48 TET47:TET48 TEX47:TEX48 TFB47:TFB48 TFF47:TFF48 TFJ47:TFJ48 TFN47:TFN48 TFR47:TFR48 TFV47:TFV48 TFZ47:TFZ48 TGD47:TGD48 TGH47:TGH48 TGL47:TGL48 TGP47:TGP48 TGT47:TGT48 TGX47:TGX48 THB47:THB48 THF47:THF48 THJ47:THJ48 THN47:THN48 THR47:THR48 THV47:THV48 THZ47:THZ48 TID47:TID48 TIH47:TIH48 TIL47:TIL48 TIP47:TIP48 TIT47:TIT48 TIX47:TIX48 TJB47:TJB48 TJF47:TJF48 TJJ47:TJJ48 TJN47:TJN48 TJR47:TJR48 TJV47:TJV48 TJZ47:TJZ48 TKD47:TKD48 TKH47:TKH48 TKL47:TKL48 TKP47:TKP48 TKT47:TKT48 TKX47:TKX48 TLB47:TLB48 TLF47:TLF48 TLJ47:TLJ48 TLN47:TLN48 TLR47:TLR48 TLV47:TLV48 TLZ47:TLZ48 TMD47:TMD48 TMH47:TMH48 TML47:TML48 TMP47:TMP48 TMT47:TMT48 TMX47:TMX48 TNB47:TNB48 TNF47:TNF48 TNJ47:TNJ48 TNN47:TNN48 TNR47:TNR48 TNV47:TNV48 TNZ47:TNZ48 TOD47:TOD48 TOH47:TOH48 TOL47:TOL48 TOP47:TOP48 TOT47:TOT48 TOX47:TOX48 TPB47:TPB48 TPF47:TPF48 TPJ47:TPJ48 TPN47:TPN48 TPR47:TPR48 TPV47:TPV48 TPZ47:TPZ48 TQD47:TQD48 TQH47:TQH48 TQL47:TQL48 TQP47:TQP48 TQT47:TQT48 TQX47:TQX48 TRB47:TRB48 TRF47:TRF48 TRJ47:TRJ48 TRN47:TRN48 TRR47:TRR48 TRV47:TRV48 TRZ47:TRZ48 TSD47:TSD48 TSH47:TSH48 TSL47:TSL48 TSP47:TSP48 TST47:TST48 TSX47:TSX48 TTB47:TTB48 TTF47:TTF48 TTJ47:TTJ48 TTN47:TTN48 TTR47:TTR48 TTV47:TTV48 TTZ47:TTZ48 TUD47:TUD48 TUH47:TUH48 TUL47:TUL48 TUP47:TUP48 TUT47:TUT48 TUX47:TUX48 TVB47:TVB48 TVF47:TVF48 TVJ47:TVJ48 TVN47:TVN48 TVR47:TVR48 TVV47:TVV48 TVZ47:TVZ48 TWD47:TWD48 TWH47:TWH48 TWL47:TWL48 TWP47:TWP48 TWT47:TWT48 TWX47:TWX48 TXB47:TXB48 TXF47:TXF48 TXJ47:TXJ48 TXN47:TXN48 TXR47:TXR48 TXV47:TXV48 TXZ47:TXZ48 TYD47:TYD48 TYH47:TYH48 TYL47:TYL48 TYP47:TYP48 TYT47:TYT48 TYX47:TYX48 TZB47:TZB48 TZF47:TZF48 TZJ47:TZJ48 TZN47:TZN48 TZR47:TZR48 TZV47:TZV48 TZZ47:TZZ48 UAD47:UAD48 UAH47:UAH48 UAL47:UAL48 UAP47:UAP48 UAT47:UAT48 UAX47:UAX48 UBB47:UBB48 UBF47:UBF48 UBJ47:UBJ48 UBN47:UBN48 UBR47:UBR48 UBV47:UBV48 UBZ47:UBZ48 UCD47:UCD48 UCH47:UCH48 UCL47:UCL48 UCP47:UCP48 UCT47:UCT48 UCX47:UCX48 UDB47:UDB48 UDF47:UDF48 UDJ47:UDJ48 UDN47:UDN48 UDR47:UDR48 UDV47:UDV48 UDZ47:UDZ48 UED47:UED48 UEH47:UEH48 UEL47:UEL48 UEP47:UEP48 UET47:UET48 UEX47:UEX48 UFB47:UFB48 UFF47:UFF48 UFJ47:UFJ48 UFN47:UFN48 UFR47:UFR48 UFV47:UFV48 UFZ47:UFZ48 UGD47:UGD48 UGH47:UGH48 UGL47:UGL48 UGP47:UGP48 UGT47:UGT48 UGX47:UGX48 UHB47:UHB48 UHF47:UHF48 UHJ47:UHJ48 UHN47:UHN48 UHR47:UHR48 UHV47:UHV48 UHZ47:UHZ48 UID47:UID48 UIH47:UIH48 UIL47:UIL48 UIP47:UIP48 UIT47:UIT48 UIX47:UIX48 UJB47:UJB48 UJF47:UJF48 UJJ47:UJJ48 UJN47:UJN48 UJR47:UJR48 UJV47:UJV48 UJZ47:UJZ48 UKD47:UKD48 UKH47:UKH48 UKL47:UKL48 UKP47:UKP48 UKT47:UKT48 UKX47:UKX48 ULB47:ULB48 ULF47:ULF48 ULJ47:ULJ48 ULN47:ULN48 ULR47:ULR48 ULV47:ULV48 ULZ47:ULZ48 UMD47:UMD48 UMH47:UMH48 UML47:UML48 UMP47:UMP48 UMT47:UMT48 UMX47:UMX48 UNB47:UNB48 UNF47:UNF48 UNJ47:UNJ48 UNN47:UNN48 UNR47:UNR48 UNV47:UNV48 UNZ47:UNZ48 UOD47:UOD48 UOH47:UOH48 UOL47:UOL48 UOP47:UOP48 UOT47:UOT48 UOX47:UOX48 UPB47:UPB48 UPF47:UPF48 UPJ47:UPJ48 UPN47:UPN48 UPR47:UPR48 UPV47:UPV48 UPZ47:UPZ48 UQD47:UQD48 UQH47:UQH48 UQL47:UQL48 UQP47:UQP48 UQT47:UQT48 UQX47:UQX48 URB47:URB48 URF47:URF48 URJ47:URJ48 URN47:URN48 URR47:URR48 URV47:URV48 URZ47:URZ48 USD47:USD48 USH47:USH48 USL47:USL48 USP47:USP48 UST47:UST48 USX47:USX48 UTB47:UTB48 UTF47:UTF48 UTJ47:UTJ48 UTN47:UTN48 UTR47:UTR48 UTV47:UTV48 UTZ47:UTZ48 UUD47:UUD48 UUH47:UUH48 UUL47:UUL48 UUP47:UUP48 UUT47:UUT48 UUX47:UUX48 UVB47:UVB48 UVF47:UVF48 UVJ47:UVJ48 UVN47:UVN48 UVR47:UVR48 UVV47:UVV48 UVZ47:UVZ48 UWD47:UWD48 UWH47:UWH48 UWL47:UWL48 UWP47:UWP48 UWT47:UWT48 UWX47:UWX48 UXB47:UXB48 UXF47:UXF48 UXJ47:UXJ48 UXN47:UXN48 UXR47:UXR48 UXV47:UXV48 UXZ47:UXZ48 UYD47:UYD48 UYH47:UYH48 UYL47:UYL48 UYP47:UYP48 UYT47:UYT48 UYX47:UYX48 UZB47:UZB48 UZF47:UZF48 UZJ47:UZJ48 UZN47:UZN48 UZR47:UZR48 UZV47:UZV48 UZZ47:UZZ48 VAD47:VAD48 VAH47:VAH48 VAL47:VAL48 VAP47:VAP48 VAT47:VAT48 VAX47:VAX48 VBB47:VBB48 VBF47:VBF48 VBJ47:VBJ48 VBN47:VBN48 VBR47:VBR48 VBV47:VBV48 VBZ47:VBZ48 VCD47:VCD48 VCH47:VCH48 VCL47:VCL48 VCP47:VCP48 VCT47:VCT48 VCX47:VCX48 VDB47:VDB48 VDF47:VDF48 VDJ47:VDJ48 VDN47:VDN48 VDR47:VDR48 VDV47:VDV48 VDZ47:VDZ48 VED47:VED48 VEH47:VEH48 VEL47:VEL48 VEP47:VEP48 VET47:VET48 VEX47:VEX48 VFB47:VFB48 VFF47:VFF48 VFJ47:VFJ48 VFN47:VFN48 VFR47:VFR48 VFV47:VFV48 VFZ47:VFZ48 VGD47:VGD48 VGH47:VGH48 VGL47:VGL48 VGP47:VGP48 VGT47:VGT48 VGX47:VGX48 VHB47:VHB48 VHF47:VHF48 VHJ47:VHJ48 VHN47:VHN48 VHR47:VHR48 VHV47:VHV48 VHZ47:VHZ48 VID47:VID48 VIH47:VIH48 VIL47:VIL48 VIP47:VIP48 VIT47:VIT48 VIX47:VIX48 VJB47:VJB48 VJF47:VJF48 VJJ47:VJJ48 VJN47:VJN48 VJR47:VJR48 VJV47:VJV48 VJZ47:VJZ48 VKD47:VKD48 VKH47:VKH48 VKL47:VKL48 VKP47:VKP48 VKT47:VKT48 VKX47:VKX48 VLB47:VLB48 VLF47:VLF48 VLJ47:VLJ48 VLN47:VLN48 VLR47:VLR48 VLV47:VLV48 VLZ47:VLZ48 VMD47:VMD48 VMH47:VMH48 VML47:VML48 VMP47:VMP48 VMT47:VMT48 VMX47:VMX48 VNB47:VNB48 VNF47:VNF48 VNJ47:VNJ48 VNN47:VNN48 VNR47:VNR48 VNV47:VNV48 VNZ47:VNZ48 VOD47:VOD48 VOH47:VOH48 VOL47:VOL48 VOP47:VOP48 VOT47:VOT48 VOX47:VOX48 VPB47:VPB48 VPF47:VPF48 VPJ47:VPJ48 VPN47:VPN48 VPR47:VPR48 VPV47:VPV48 VPZ47:VPZ48 VQD47:VQD48 VQH47:VQH48 VQL47:VQL48 VQP47:VQP48 VQT47:VQT48 VQX47:VQX48 VRB47:VRB48 VRF47:VRF48 VRJ47:VRJ48 VRN47:VRN48 VRR47:VRR48 VRV47:VRV48 VRZ47:VRZ48 VSD47:VSD48 VSH47:VSH48 VSL47:VSL48 VSP47:VSP48 VST47:VST48 VSX47:VSX48 VTB47:VTB48 VTF47:VTF48 VTJ47:VTJ48 VTN47:VTN48 VTR47:VTR48 VTV47:VTV48 VTZ47:VTZ48 VUD47:VUD48 VUH47:VUH48 VUL47:VUL48 VUP47:VUP48 VUT47:VUT48 VUX47:VUX48 VVB47:VVB48 VVF47:VVF48 VVJ47:VVJ48 VVN47:VVN48 VVR47:VVR48 VVV47:VVV48 VVZ47:VVZ48 VWD47:VWD48 VWH47:VWH48 VWL47:VWL48 VWP47:VWP48 VWT47:VWT48 VWX47:VWX48 VXB47:VXB48 VXF47:VXF48 VXJ47:VXJ48 VXN47:VXN48 VXR47:VXR48 VXV47:VXV48 VXZ47:VXZ48 VYD47:VYD48 VYH47:VYH48 VYL47:VYL48 VYP47:VYP48 VYT47:VYT48 VYX47:VYX48 VZB47:VZB48 VZF47:VZF48 VZJ47:VZJ48 VZN47:VZN48 VZR47:VZR48 VZV47:VZV48 VZZ47:VZZ48 WAD47:WAD48 WAH47:WAH48 WAL47:WAL48 WAP47:WAP48 WAT47:WAT48 WAX47:WAX48 WBB47:WBB48 WBF47:WBF48 WBJ47:WBJ48 WBN47:WBN48 WBR47:WBR48 WBV47:WBV48 WBZ47:WBZ48 WCD47:WCD48 WCH47:WCH48 WCL47:WCL48 WCP47:WCP48 WCT47:WCT48 WCX47:WCX48 WDB47:WDB48 WDF47:WDF48 WDJ47:WDJ48 WDN47:WDN48 WDR47:WDR48 WDV47:WDV48 WDZ47:WDZ48 WED47:WED48 WEH47:WEH48 WEL47:WEL48 WEP47:WEP48 WET47:WET48 WEX47:WEX48 WFB47:WFB48 WFF47:WFF48 WFJ47:WFJ48 WFN47:WFN48 WFR47:WFR48 WFV47:WFV48 WFZ47:WFZ48 WGD47:WGD48 WGH47:WGH48 WGL47:WGL48 WGP47:WGP48 WGT47:WGT48 WGX47:WGX48 WHB47:WHB48 WHF47:WHF48 WHJ47:WHJ48 WHN47:WHN48 WHR47:WHR48 WHV47:WHV48 WHZ47:WHZ48 WID47:WID48 WIH47:WIH48 WIL47:WIL48 WIP47:WIP48 WIT47:WIT48 WIX47:WIX48 WJB47:WJB48 WJF47:WJF48 WJJ47:WJJ48 WJN47:WJN48 WJR47:WJR48 WJV47:WJV48 WJZ47:WJZ48 WKD47:WKD48 WKH47:WKH48 WKL47:WKL48 WKP47:WKP48 WKT47:WKT48 WKX47:WKX48 WLB47:WLB48 WLF47:WLF48 WLJ47:WLJ48 WLN47:WLN48 WLR47:WLR48 WLV47:WLV48 WLZ47:WLZ48 WMD47:WMD48 WMH47:WMH48 WML47:WML48 WMP47:WMP48 WMT47:WMT48 WMX47:WMX48 WNB47:WNB48 WNF47:WNF48 WNJ47:WNJ48 WNN47:WNN48 WNR47:WNR48 WNV47:WNV48 WNZ47:WNZ48 WOD47:WOD48 WOH47:WOH48 WOL47:WOL48 WOP47:WOP48 WOT47:WOT48 WOX47:WOX48 WPB47:WPB48 WPF47:WPF48 WPJ47:WPJ48 WPN47:WPN48 WPR47:WPR48 WPV47:WPV48 WPZ47:WPZ48 WQD47:WQD48 WQH47:WQH48 WQL47:WQL48 WQP47:WQP48 WQT47:WQT48 WQX47:WQX48 WRB47:WRB48 WRF47:WRF48 WRJ47:WRJ48 WRN47:WRN48 WRR47:WRR48 WRV47:WRV48 WRZ47:WRZ48 WSD47:WSD48 WSH47:WSH48 WSL47:WSL48 WSP47:WSP48 WST47:WST48 WSX47:WSX48 WTB47:WTB48 WTF47:WTF48 WTJ47:WTJ48 WTN47:WTN48 WTR47:WTR48 WTV47:WTV48 WTZ47:WTZ48 WUD47:WUD48 WUH47:WUH48 WUL47:WUL48 WUP47:WUP48 WUT47:WUT48 WUX47:WUX48 WVB47:WVB48 WVF47:WVF48 WVJ47:WVJ48 WVN47:WVN48 WVR47:WVR48 WVV47:WVV48 WVZ47:WVZ48 WWD47:WWD48 WWH47:WWH48 WWL47:WWL48 WWP47:WWP48 WWT47:WWT48 WWX47:WWX48 WXB47:WXB48 WXF47:WXF48 WXJ47:WXJ48 WXN47:WXN48 WXR47:WXR48 WXV47:WXV48 WXZ47:WXZ48 WYD47:WYD48 WYH47:WYH48 WYL47:WYL48 WYP47:WYP48 WYT47:WYT48 WYX47:WYX48 WZB47:WZB48 WZF47:WZF48 WZJ47:WZJ48 WZN47:WZN48 WZR47:WZR48 WZV47:WZV48 WZZ47:WZZ48 XAD47:XAD48 XAH47:XAH48 XAL47:XAL48 XAP47:XAP48 XAT47:XAT48 XAX47:XAX48 XBB47:XBB48 XBF47:XBF48 XBJ47:XBJ48 XBN47:XBN48 XBR47:XBR48 XBV47:XBV48 XBZ47:XBZ48 XCD47:XCD48 XCH47:XCH48 XCL47:XCL48 XCP47:XCP48 XCT47:XCT48 XCX47:XCX48 XDB47:XDB48 XDF47:XDF48 XDJ47:XDJ48 XDN47:XDN48 XDR47:XDR48 XDV47:XDV48 XDZ47:XDZ48 XED47:XED48 XEH47:XEH48 XEL47:XEL48 XEP47:XEP48 XET47:XET48 XEX47:XEX48 XFB47:XFB48</xm:sqref>
        </x14:dataValidation>
        <x14:dataValidation type="list" allowBlank="1" showInputMessage="1" xr:uid="{4BE48900-378D-4F63-9117-055C46A12094}">
          <x14:formula1>
            <xm:f>Einstellungen!$K$71:$K$75</xm:f>
          </x14:formula1>
          <xm:sqref>C62 C13:C49 G47:G48 K47:K48 O47:O48 S47:S48 W47:W48 AA47:AA48 AE47:AE48 AI47:AI48 AM47:AM48 AQ47:AQ48 AU47:AU48 AY47:AY48 BC47:BC48 BG47:BG48 BK47:BK48 BO47:BO48 BS47:BS48 BW47:BW48 CA47:CA48 CE47:CE48 CI47:CI48 CM47:CM48 CQ47:CQ48 CU47:CU48 CY47:CY48 DC47:DC48 DG47:DG48 DK47:DK48 DO47:DO48 DS47:DS48 DW47:DW48 EA47:EA48 EE47:EE48 EI47:EI48 EM47:EM48 EQ47:EQ48 EU47:EU48 EY47:EY48 FC47:FC48 FG47:FG48 FK47:FK48 FO47:FO48 FS47:FS48 FW47:FW48 GA47:GA48 GE47:GE48 GI47:GI48 GM47:GM48 GQ47:GQ48 GU47:GU48 GY47:GY48 HC47:HC48 HG47:HG48 HK47:HK48 HO47:HO48 HS47:HS48 HW47:HW48 IA47:IA48 IE47:IE48 II47:II48 IM47:IM48 IQ47:IQ48 IU47:IU48 IY47:IY48 JC47:JC48 JG47:JG48 JK47:JK48 JO47:JO48 JS47:JS48 JW47:JW48 KA47:KA48 KE47:KE48 KI47:KI48 KM47:KM48 KQ47:KQ48 KU47:KU48 KY47:KY48 LC47:LC48 LG47:LG48 LK47:LK48 LO47:LO48 LS47:LS48 LW47:LW48 MA47:MA48 ME47:ME48 MI47:MI48 MM47:MM48 MQ47:MQ48 MU47:MU48 MY47:MY48 NC47:NC48 NG47:NG48 NK47:NK48 NO47:NO48 NS47:NS48 NW47:NW48 OA47:OA48 OE47:OE48 OI47:OI48 OM47:OM48 OQ47:OQ48 OU47:OU48 OY47:OY48 PC47:PC48 PG47:PG48 PK47:PK48 PO47:PO48 PS47:PS48 PW47:PW48 QA47:QA48 QE47:QE48 QI47:QI48 QM47:QM48 QQ47:QQ48 QU47:QU48 QY47:QY48 RC47:RC48 RG47:RG48 RK47:RK48 RO47:RO48 RS47:RS48 RW47:RW48 SA47:SA48 SE47:SE48 SI47:SI48 SM47:SM48 SQ47:SQ48 SU47:SU48 SY47:SY48 TC47:TC48 TG47:TG48 TK47:TK48 TO47:TO48 TS47:TS48 TW47:TW48 UA47:UA48 UE47:UE48 UI47:UI48 UM47:UM48 UQ47:UQ48 UU47:UU48 UY47:UY48 VC47:VC48 VG47:VG48 VK47:VK48 VO47:VO48 VS47:VS48 VW47:VW48 WA47:WA48 WE47:WE48 WI47:WI48 WM47:WM48 WQ47:WQ48 WU47:WU48 WY47:WY48 XC47:XC48 XG47:XG48 XK47:XK48 XO47:XO48 XS47:XS48 XW47:XW48 YA47:YA48 YE47:YE48 YI47:YI48 YM47:YM48 YQ47:YQ48 YU47:YU48 YY47:YY48 ZC47:ZC48 ZG47:ZG48 ZK47:ZK48 ZO47:ZO48 ZS47:ZS48 ZW47:ZW48 AAA47:AAA48 AAE47:AAE48 AAI47:AAI48 AAM47:AAM48 AAQ47:AAQ48 AAU47:AAU48 AAY47:AAY48 ABC47:ABC48 ABG47:ABG48 ABK47:ABK48 ABO47:ABO48 ABS47:ABS48 ABW47:ABW48 ACA47:ACA48 ACE47:ACE48 ACI47:ACI48 ACM47:ACM48 ACQ47:ACQ48 ACU47:ACU48 ACY47:ACY48 ADC47:ADC48 ADG47:ADG48 ADK47:ADK48 ADO47:ADO48 ADS47:ADS48 ADW47:ADW48 AEA47:AEA48 AEE47:AEE48 AEI47:AEI48 AEM47:AEM48 AEQ47:AEQ48 AEU47:AEU48 AEY47:AEY48 AFC47:AFC48 AFG47:AFG48 AFK47:AFK48 AFO47:AFO48 AFS47:AFS48 AFW47:AFW48 AGA47:AGA48 AGE47:AGE48 AGI47:AGI48 AGM47:AGM48 AGQ47:AGQ48 AGU47:AGU48 AGY47:AGY48 AHC47:AHC48 AHG47:AHG48 AHK47:AHK48 AHO47:AHO48 AHS47:AHS48 AHW47:AHW48 AIA47:AIA48 AIE47:AIE48 AII47:AII48 AIM47:AIM48 AIQ47:AIQ48 AIU47:AIU48 AIY47:AIY48 AJC47:AJC48 AJG47:AJG48 AJK47:AJK48 AJO47:AJO48 AJS47:AJS48 AJW47:AJW48 AKA47:AKA48 AKE47:AKE48 AKI47:AKI48 AKM47:AKM48 AKQ47:AKQ48 AKU47:AKU48 AKY47:AKY48 ALC47:ALC48 ALG47:ALG48 ALK47:ALK48 ALO47:ALO48 ALS47:ALS48 ALW47:ALW48 AMA47:AMA48 AME47:AME48 AMI47:AMI48 AMM47:AMM48 AMQ47:AMQ48 AMU47:AMU48 AMY47:AMY48 ANC47:ANC48 ANG47:ANG48 ANK47:ANK48 ANO47:ANO48 ANS47:ANS48 ANW47:ANW48 AOA47:AOA48 AOE47:AOE48 AOI47:AOI48 AOM47:AOM48 AOQ47:AOQ48 AOU47:AOU48 AOY47:AOY48 APC47:APC48 APG47:APG48 APK47:APK48 APO47:APO48 APS47:APS48 APW47:APW48 AQA47:AQA48 AQE47:AQE48 AQI47:AQI48 AQM47:AQM48 AQQ47:AQQ48 AQU47:AQU48 AQY47:AQY48 ARC47:ARC48 ARG47:ARG48 ARK47:ARK48 ARO47:ARO48 ARS47:ARS48 ARW47:ARW48 ASA47:ASA48 ASE47:ASE48 ASI47:ASI48 ASM47:ASM48 ASQ47:ASQ48 ASU47:ASU48 ASY47:ASY48 ATC47:ATC48 ATG47:ATG48 ATK47:ATK48 ATO47:ATO48 ATS47:ATS48 ATW47:ATW48 AUA47:AUA48 AUE47:AUE48 AUI47:AUI48 AUM47:AUM48 AUQ47:AUQ48 AUU47:AUU48 AUY47:AUY48 AVC47:AVC48 AVG47:AVG48 AVK47:AVK48 AVO47:AVO48 AVS47:AVS48 AVW47:AVW48 AWA47:AWA48 AWE47:AWE48 AWI47:AWI48 AWM47:AWM48 AWQ47:AWQ48 AWU47:AWU48 AWY47:AWY48 AXC47:AXC48 AXG47:AXG48 AXK47:AXK48 AXO47:AXO48 AXS47:AXS48 AXW47:AXW48 AYA47:AYA48 AYE47:AYE48 AYI47:AYI48 AYM47:AYM48 AYQ47:AYQ48 AYU47:AYU48 AYY47:AYY48 AZC47:AZC48 AZG47:AZG48 AZK47:AZK48 AZO47:AZO48 AZS47:AZS48 AZW47:AZW48 BAA47:BAA48 BAE47:BAE48 BAI47:BAI48 BAM47:BAM48 BAQ47:BAQ48 BAU47:BAU48 BAY47:BAY48 BBC47:BBC48 BBG47:BBG48 BBK47:BBK48 BBO47:BBO48 BBS47:BBS48 BBW47:BBW48 BCA47:BCA48 BCE47:BCE48 BCI47:BCI48 BCM47:BCM48 BCQ47:BCQ48 BCU47:BCU48 BCY47:BCY48 BDC47:BDC48 BDG47:BDG48 BDK47:BDK48 BDO47:BDO48 BDS47:BDS48 BDW47:BDW48 BEA47:BEA48 BEE47:BEE48 BEI47:BEI48 BEM47:BEM48 BEQ47:BEQ48 BEU47:BEU48 BEY47:BEY48 BFC47:BFC48 BFG47:BFG48 BFK47:BFK48 BFO47:BFO48 BFS47:BFS48 BFW47:BFW48 BGA47:BGA48 BGE47:BGE48 BGI47:BGI48 BGM47:BGM48 BGQ47:BGQ48 BGU47:BGU48 BGY47:BGY48 BHC47:BHC48 BHG47:BHG48 BHK47:BHK48 BHO47:BHO48 BHS47:BHS48 BHW47:BHW48 BIA47:BIA48 BIE47:BIE48 BII47:BII48 BIM47:BIM48 BIQ47:BIQ48 BIU47:BIU48 BIY47:BIY48 BJC47:BJC48 BJG47:BJG48 BJK47:BJK48 BJO47:BJO48 BJS47:BJS48 BJW47:BJW48 BKA47:BKA48 BKE47:BKE48 BKI47:BKI48 BKM47:BKM48 BKQ47:BKQ48 BKU47:BKU48 BKY47:BKY48 BLC47:BLC48 BLG47:BLG48 BLK47:BLK48 BLO47:BLO48 BLS47:BLS48 BLW47:BLW48 BMA47:BMA48 BME47:BME48 BMI47:BMI48 BMM47:BMM48 BMQ47:BMQ48 BMU47:BMU48 BMY47:BMY48 BNC47:BNC48 BNG47:BNG48 BNK47:BNK48 BNO47:BNO48 BNS47:BNS48 BNW47:BNW48 BOA47:BOA48 BOE47:BOE48 BOI47:BOI48 BOM47:BOM48 BOQ47:BOQ48 BOU47:BOU48 BOY47:BOY48 BPC47:BPC48 BPG47:BPG48 BPK47:BPK48 BPO47:BPO48 BPS47:BPS48 BPW47:BPW48 BQA47:BQA48 BQE47:BQE48 BQI47:BQI48 BQM47:BQM48 BQQ47:BQQ48 BQU47:BQU48 BQY47:BQY48 BRC47:BRC48 BRG47:BRG48 BRK47:BRK48 BRO47:BRO48 BRS47:BRS48 BRW47:BRW48 BSA47:BSA48 BSE47:BSE48 BSI47:BSI48 BSM47:BSM48 BSQ47:BSQ48 BSU47:BSU48 BSY47:BSY48 BTC47:BTC48 BTG47:BTG48 BTK47:BTK48 BTO47:BTO48 BTS47:BTS48 BTW47:BTW48 BUA47:BUA48 BUE47:BUE48 BUI47:BUI48 BUM47:BUM48 BUQ47:BUQ48 BUU47:BUU48 BUY47:BUY48 BVC47:BVC48 BVG47:BVG48 BVK47:BVK48 BVO47:BVO48 BVS47:BVS48 BVW47:BVW48 BWA47:BWA48 BWE47:BWE48 BWI47:BWI48 BWM47:BWM48 BWQ47:BWQ48 BWU47:BWU48 BWY47:BWY48 BXC47:BXC48 BXG47:BXG48 BXK47:BXK48 BXO47:BXO48 BXS47:BXS48 BXW47:BXW48 BYA47:BYA48 BYE47:BYE48 BYI47:BYI48 BYM47:BYM48 BYQ47:BYQ48 BYU47:BYU48 BYY47:BYY48 BZC47:BZC48 BZG47:BZG48 BZK47:BZK48 BZO47:BZO48 BZS47:BZS48 BZW47:BZW48 CAA47:CAA48 CAE47:CAE48 CAI47:CAI48 CAM47:CAM48 CAQ47:CAQ48 CAU47:CAU48 CAY47:CAY48 CBC47:CBC48 CBG47:CBG48 CBK47:CBK48 CBO47:CBO48 CBS47:CBS48 CBW47:CBW48 CCA47:CCA48 CCE47:CCE48 CCI47:CCI48 CCM47:CCM48 CCQ47:CCQ48 CCU47:CCU48 CCY47:CCY48 CDC47:CDC48 CDG47:CDG48 CDK47:CDK48 CDO47:CDO48 CDS47:CDS48 CDW47:CDW48 CEA47:CEA48 CEE47:CEE48 CEI47:CEI48 CEM47:CEM48 CEQ47:CEQ48 CEU47:CEU48 CEY47:CEY48 CFC47:CFC48 CFG47:CFG48 CFK47:CFK48 CFO47:CFO48 CFS47:CFS48 CFW47:CFW48 CGA47:CGA48 CGE47:CGE48 CGI47:CGI48 CGM47:CGM48 CGQ47:CGQ48 CGU47:CGU48 CGY47:CGY48 CHC47:CHC48 CHG47:CHG48 CHK47:CHK48 CHO47:CHO48 CHS47:CHS48 CHW47:CHW48 CIA47:CIA48 CIE47:CIE48 CII47:CII48 CIM47:CIM48 CIQ47:CIQ48 CIU47:CIU48 CIY47:CIY48 CJC47:CJC48 CJG47:CJG48 CJK47:CJK48 CJO47:CJO48 CJS47:CJS48 CJW47:CJW48 CKA47:CKA48 CKE47:CKE48 CKI47:CKI48 CKM47:CKM48 CKQ47:CKQ48 CKU47:CKU48 CKY47:CKY48 CLC47:CLC48 CLG47:CLG48 CLK47:CLK48 CLO47:CLO48 CLS47:CLS48 CLW47:CLW48 CMA47:CMA48 CME47:CME48 CMI47:CMI48 CMM47:CMM48 CMQ47:CMQ48 CMU47:CMU48 CMY47:CMY48 CNC47:CNC48 CNG47:CNG48 CNK47:CNK48 CNO47:CNO48 CNS47:CNS48 CNW47:CNW48 COA47:COA48 COE47:COE48 COI47:COI48 COM47:COM48 COQ47:COQ48 COU47:COU48 COY47:COY48 CPC47:CPC48 CPG47:CPG48 CPK47:CPK48 CPO47:CPO48 CPS47:CPS48 CPW47:CPW48 CQA47:CQA48 CQE47:CQE48 CQI47:CQI48 CQM47:CQM48 CQQ47:CQQ48 CQU47:CQU48 CQY47:CQY48 CRC47:CRC48 CRG47:CRG48 CRK47:CRK48 CRO47:CRO48 CRS47:CRS48 CRW47:CRW48 CSA47:CSA48 CSE47:CSE48 CSI47:CSI48 CSM47:CSM48 CSQ47:CSQ48 CSU47:CSU48 CSY47:CSY48 CTC47:CTC48 CTG47:CTG48 CTK47:CTK48 CTO47:CTO48 CTS47:CTS48 CTW47:CTW48 CUA47:CUA48 CUE47:CUE48 CUI47:CUI48 CUM47:CUM48 CUQ47:CUQ48 CUU47:CUU48 CUY47:CUY48 CVC47:CVC48 CVG47:CVG48 CVK47:CVK48 CVO47:CVO48 CVS47:CVS48 CVW47:CVW48 CWA47:CWA48 CWE47:CWE48 CWI47:CWI48 CWM47:CWM48 CWQ47:CWQ48 CWU47:CWU48 CWY47:CWY48 CXC47:CXC48 CXG47:CXG48 CXK47:CXK48 CXO47:CXO48 CXS47:CXS48 CXW47:CXW48 CYA47:CYA48 CYE47:CYE48 CYI47:CYI48 CYM47:CYM48 CYQ47:CYQ48 CYU47:CYU48 CYY47:CYY48 CZC47:CZC48 CZG47:CZG48 CZK47:CZK48 CZO47:CZO48 CZS47:CZS48 CZW47:CZW48 DAA47:DAA48 DAE47:DAE48 DAI47:DAI48 DAM47:DAM48 DAQ47:DAQ48 DAU47:DAU48 DAY47:DAY48 DBC47:DBC48 DBG47:DBG48 DBK47:DBK48 DBO47:DBO48 DBS47:DBS48 DBW47:DBW48 DCA47:DCA48 DCE47:DCE48 DCI47:DCI48 DCM47:DCM48 DCQ47:DCQ48 DCU47:DCU48 DCY47:DCY48 DDC47:DDC48 DDG47:DDG48 DDK47:DDK48 DDO47:DDO48 DDS47:DDS48 DDW47:DDW48 DEA47:DEA48 DEE47:DEE48 DEI47:DEI48 DEM47:DEM48 DEQ47:DEQ48 DEU47:DEU48 DEY47:DEY48 DFC47:DFC48 DFG47:DFG48 DFK47:DFK48 DFO47:DFO48 DFS47:DFS48 DFW47:DFW48 DGA47:DGA48 DGE47:DGE48 DGI47:DGI48 DGM47:DGM48 DGQ47:DGQ48 DGU47:DGU48 DGY47:DGY48 DHC47:DHC48 DHG47:DHG48 DHK47:DHK48 DHO47:DHO48 DHS47:DHS48 DHW47:DHW48 DIA47:DIA48 DIE47:DIE48 DII47:DII48 DIM47:DIM48 DIQ47:DIQ48 DIU47:DIU48 DIY47:DIY48 DJC47:DJC48 DJG47:DJG48 DJK47:DJK48 DJO47:DJO48 DJS47:DJS48 DJW47:DJW48 DKA47:DKA48 DKE47:DKE48 DKI47:DKI48 DKM47:DKM48 DKQ47:DKQ48 DKU47:DKU48 DKY47:DKY48 DLC47:DLC48 DLG47:DLG48 DLK47:DLK48 DLO47:DLO48 DLS47:DLS48 DLW47:DLW48 DMA47:DMA48 DME47:DME48 DMI47:DMI48 DMM47:DMM48 DMQ47:DMQ48 DMU47:DMU48 DMY47:DMY48 DNC47:DNC48 DNG47:DNG48 DNK47:DNK48 DNO47:DNO48 DNS47:DNS48 DNW47:DNW48 DOA47:DOA48 DOE47:DOE48 DOI47:DOI48 DOM47:DOM48 DOQ47:DOQ48 DOU47:DOU48 DOY47:DOY48 DPC47:DPC48 DPG47:DPG48 DPK47:DPK48 DPO47:DPO48 DPS47:DPS48 DPW47:DPW48 DQA47:DQA48 DQE47:DQE48 DQI47:DQI48 DQM47:DQM48 DQQ47:DQQ48 DQU47:DQU48 DQY47:DQY48 DRC47:DRC48 DRG47:DRG48 DRK47:DRK48 DRO47:DRO48 DRS47:DRS48 DRW47:DRW48 DSA47:DSA48 DSE47:DSE48 DSI47:DSI48 DSM47:DSM48 DSQ47:DSQ48 DSU47:DSU48 DSY47:DSY48 DTC47:DTC48 DTG47:DTG48 DTK47:DTK48 DTO47:DTO48 DTS47:DTS48 DTW47:DTW48 DUA47:DUA48 DUE47:DUE48 DUI47:DUI48 DUM47:DUM48 DUQ47:DUQ48 DUU47:DUU48 DUY47:DUY48 DVC47:DVC48 DVG47:DVG48 DVK47:DVK48 DVO47:DVO48 DVS47:DVS48 DVW47:DVW48 DWA47:DWA48 DWE47:DWE48 DWI47:DWI48 DWM47:DWM48 DWQ47:DWQ48 DWU47:DWU48 DWY47:DWY48 DXC47:DXC48 DXG47:DXG48 DXK47:DXK48 DXO47:DXO48 DXS47:DXS48 DXW47:DXW48 DYA47:DYA48 DYE47:DYE48 DYI47:DYI48 DYM47:DYM48 DYQ47:DYQ48 DYU47:DYU48 DYY47:DYY48 DZC47:DZC48 DZG47:DZG48 DZK47:DZK48 DZO47:DZO48 DZS47:DZS48 DZW47:DZW48 EAA47:EAA48 EAE47:EAE48 EAI47:EAI48 EAM47:EAM48 EAQ47:EAQ48 EAU47:EAU48 EAY47:EAY48 EBC47:EBC48 EBG47:EBG48 EBK47:EBK48 EBO47:EBO48 EBS47:EBS48 EBW47:EBW48 ECA47:ECA48 ECE47:ECE48 ECI47:ECI48 ECM47:ECM48 ECQ47:ECQ48 ECU47:ECU48 ECY47:ECY48 EDC47:EDC48 EDG47:EDG48 EDK47:EDK48 EDO47:EDO48 EDS47:EDS48 EDW47:EDW48 EEA47:EEA48 EEE47:EEE48 EEI47:EEI48 EEM47:EEM48 EEQ47:EEQ48 EEU47:EEU48 EEY47:EEY48 EFC47:EFC48 EFG47:EFG48 EFK47:EFK48 EFO47:EFO48 EFS47:EFS48 EFW47:EFW48 EGA47:EGA48 EGE47:EGE48 EGI47:EGI48 EGM47:EGM48 EGQ47:EGQ48 EGU47:EGU48 EGY47:EGY48 EHC47:EHC48 EHG47:EHG48 EHK47:EHK48 EHO47:EHO48 EHS47:EHS48 EHW47:EHW48 EIA47:EIA48 EIE47:EIE48 EII47:EII48 EIM47:EIM48 EIQ47:EIQ48 EIU47:EIU48 EIY47:EIY48 EJC47:EJC48 EJG47:EJG48 EJK47:EJK48 EJO47:EJO48 EJS47:EJS48 EJW47:EJW48 EKA47:EKA48 EKE47:EKE48 EKI47:EKI48 EKM47:EKM48 EKQ47:EKQ48 EKU47:EKU48 EKY47:EKY48 ELC47:ELC48 ELG47:ELG48 ELK47:ELK48 ELO47:ELO48 ELS47:ELS48 ELW47:ELW48 EMA47:EMA48 EME47:EME48 EMI47:EMI48 EMM47:EMM48 EMQ47:EMQ48 EMU47:EMU48 EMY47:EMY48 ENC47:ENC48 ENG47:ENG48 ENK47:ENK48 ENO47:ENO48 ENS47:ENS48 ENW47:ENW48 EOA47:EOA48 EOE47:EOE48 EOI47:EOI48 EOM47:EOM48 EOQ47:EOQ48 EOU47:EOU48 EOY47:EOY48 EPC47:EPC48 EPG47:EPG48 EPK47:EPK48 EPO47:EPO48 EPS47:EPS48 EPW47:EPW48 EQA47:EQA48 EQE47:EQE48 EQI47:EQI48 EQM47:EQM48 EQQ47:EQQ48 EQU47:EQU48 EQY47:EQY48 ERC47:ERC48 ERG47:ERG48 ERK47:ERK48 ERO47:ERO48 ERS47:ERS48 ERW47:ERW48 ESA47:ESA48 ESE47:ESE48 ESI47:ESI48 ESM47:ESM48 ESQ47:ESQ48 ESU47:ESU48 ESY47:ESY48 ETC47:ETC48 ETG47:ETG48 ETK47:ETK48 ETO47:ETO48 ETS47:ETS48 ETW47:ETW48 EUA47:EUA48 EUE47:EUE48 EUI47:EUI48 EUM47:EUM48 EUQ47:EUQ48 EUU47:EUU48 EUY47:EUY48 EVC47:EVC48 EVG47:EVG48 EVK47:EVK48 EVO47:EVO48 EVS47:EVS48 EVW47:EVW48 EWA47:EWA48 EWE47:EWE48 EWI47:EWI48 EWM47:EWM48 EWQ47:EWQ48 EWU47:EWU48 EWY47:EWY48 EXC47:EXC48 EXG47:EXG48 EXK47:EXK48 EXO47:EXO48 EXS47:EXS48 EXW47:EXW48 EYA47:EYA48 EYE47:EYE48 EYI47:EYI48 EYM47:EYM48 EYQ47:EYQ48 EYU47:EYU48 EYY47:EYY48 EZC47:EZC48 EZG47:EZG48 EZK47:EZK48 EZO47:EZO48 EZS47:EZS48 EZW47:EZW48 FAA47:FAA48 FAE47:FAE48 FAI47:FAI48 FAM47:FAM48 FAQ47:FAQ48 FAU47:FAU48 FAY47:FAY48 FBC47:FBC48 FBG47:FBG48 FBK47:FBK48 FBO47:FBO48 FBS47:FBS48 FBW47:FBW48 FCA47:FCA48 FCE47:FCE48 FCI47:FCI48 FCM47:FCM48 FCQ47:FCQ48 FCU47:FCU48 FCY47:FCY48 FDC47:FDC48 FDG47:FDG48 FDK47:FDK48 FDO47:FDO48 FDS47:FDS48 FDW47:FDW48 FEA47:FEA48 FEE47:FEE48 FEI47:FEI48 FEM47:FEM48 FEQ47:FEQ48 FEU47:FEU48 FEY47:FEY48 FFC47:FFC48 FFG47:FFG48 FFK47:FFK48 FFO47:FFO48 FFS47:FFS48 FFW47:FFW48 FGA47:FGA48 FGE47:FGE48 FGI47:FGI48 FGM47:FGM48 FGQ47:FGQ48 FGU47:FGU48 FGY47:FGY48 FHC47:FHC48 FHG47:FHG48 FHK47:FHK48 FHO47:FHO48 FHS47:FHS48 FHW47:FHW48 FIA47:FIA48 FIE47:FIE48 FII47:FII48 FIM47:FIM48 FIQ47:FIQ48 FIU47:FIU48 FIY47:FIY48 FJC47:FJC48 FJG47:FJG48 FJK47:FJK48 FJO47:FJO48 FJS47:FJS48 FJW47:FJW48 FKA47:FKA48 FKE47:FKE48 FKI47:FKI48 FKM47:FKM48 FKQ47:FKQ48 FKU47:FKU48 FKY47:FKY48 FLC47:FLC48 FLG47:FLG48 FLK47:FLK48 FLO47:FLO48 FLS47:FLS48 FLW47:FLW48 FMA47:FMA48 FME47:FME48 FMI47:FMI48 FMM47:FMM48 FMQ47:FMQ48 FMU47:FMU48 FMY47:FMY48 FNC47:FNC48 FNG47:FNG48 FNK47:FNK48 FNO47:FNO48 FNS47:FNS48 FNW47:FNW48 FOA47:FOA48 FOE47:FOE48 FOI47:FOI48 FOM47:FOM48 FOQ47:FOQ48 FOU47:FOU48 FOY47:FOY48 FPC47:FPC48 FPG47:FPG48 FPK47:FPK48 FPO47:FPO48 FPS47:FPS48 FPW47:FPW48 FQA47:FQA48 FQE47:FQE48 FQI47:FQI48 FQM47:FQM48 FQQ47:FQQ48 FQU47:FQU48 FQY47:FQY48 FRC47:FRC48 FRG47:FRG48 FRK47:FRK48 FRO47:FRO48 FRS47:FRS48 FRW47:FRW48 FSA47:FSA48 FSE47:FSE48 FSI47:FSI48 FSM47:FSM48 FSQ47:FSQ48 FSU47:FSU48 FSY47:FSY48 FTC47:FTC48 FTG47:FTG48 FTK47:FTK48 FTO47:FTO48 FTS47:FTS48 FTW47:FTW48 FUA47:FUA48 FUE47:FUE48 FUI47:FUI48 FUM47:FUM48 FUQ47:FUQ48 FUU47:FUU48 FUY47:FUY48 FVC47:FVC48 FVG47:FVG48 FVK47:FVK48 FVO47:FVO48 FVS47:FVS48 FVW47:FVW48 FWA47:FWA48 FWE47:FWE48 FWI47:FWI48 FWM47:FWM48 FWQ47:FWQ48 FWU47:FWU48 FWY47:FWY48 FXC47:FXC48 FXG47:FXG48 FXK47:FXK48 FXO47:FXO48 FXS47:FXS48 FXW47:FXW48 FYA47:FYA48 FYE47:FYE48 FYI47:FYI48 FYM47:FYM48 FYQ47:FYQ48 FYU47:FYU48 FYY47:FYY48 FZC47:FZC48 FZG47:FZG48 FZK47:FZK48 FZO47:FZO48 FZS47:FZS48 FZW47:FZW48 GAA47:GAA48 GAE47:GAE48 GAI47:GAI48 GAM47:GAM48 GAQ47:GAQ48 GAU47:GAU48 GAY47:GAY48 GBC47:GBC48 GBG47:GBG48 GBK47:GBK48 GBO47:GBO48 GBS47:GBS48 GBW47:GBW48 GCA47:GCA48 GCE47:GCE48 GCI47:GCI48 GCM47:GCM48 GCQ47:GCQ48 GCU47:GCU48 GCY47:GCY48 GDC47:GDC48 GDG47:GDG48 GDK47:GDK48 GDO47:GDO48 GDS47:GDS48 GDW47:GDW48 GEA47:GEA48 GEE47:GEE48 GEI47:GEI48 GEM47:GEM48 GEQ47:GEQ48 GEU47:GEU48 GEY47:GEY48 GFC47:GFC48 GFG47:GFG48 GFK47:GFK48 GFO47:GFO48 GFS47:GFS48 GFW47:GFW48 GGA47:GGA48 GGE47:GGE48 GGI47:GGI48 GGM47:GGM48 GGQ47:GGQ48 GGU47:GGU48 GGY47:GGY48 GHC47:GHC48 GHG47:GHG48 GHK47:GHK48 GHO47:GHO48 GHS47:GHS48 GHW47:GHW48 GIA47:GIA48 GIE47:GIE48 GII47:GII48 GIM47:GIM48 GIQ47:GIQ48 GIU47:GIU48 GIY47:GIY48 GJC47:GJC48 GJG47:GJG48 GJK47:GJK48 GJO47:GJO48 GJS47:GJS48 GJW47:GJW48 GKA47:GKA48 GKE47:GKE48 GKI47:GKI48 GKM47:GKM48 GKQ47:GKQ48 GKU47:GKU48 GKY47:GKY48 GLC47:GLC48 GLG47:GLG48 GLK47:GLK48 GLO47:GLO48 GLS47:GLS48 GLW47:GLW48 GMA47:GMA48 GME47:GME48 GMI47:GMI48 GMM47:GMM48 GMQ47:GMQ48 GMU47:GMU48 GMY47:GMY48 GNC47:GNC48 GNG47:GNG48 GNK47:GNK48 GNO47:GNO48 GNS47:GNS48 GNW47:GNW48 GOA47:GOA48 GOE47:GOE48 GOI47:GOI48 GOM47:GOM48 GOQ47:GOQ48 GOU47:GOU48 GOY47:GOY48 GPC47:GPC48 GPG47:GPG48 GPK47:GPK48 GPO47:GPO48 GPS47:GPS48 GPW47:GPW48 GQA47:GQA48 GQE47:GQE48 GQI47:GQI48 GQM47:GQM48 GQQ47:GQQ48 GQU47:GQU48 GQY47:GQY48 GRC47:GRC48 GRG47:GRG48 GRK47:GRK48 GRO47:GRO48 GRS47:GRS48 GRW47:GRW48 GSA47:GSA48 GSE47:GSE48 GSI47:GSI48 GSM47:GSM48 GSQ47:GSQ48 GSU47:GSU48 GSY47:GSY48 GTC47:GTC48 GTG47:GTG48 GTK47:GTK48 GTO47:GTO48 GTS47:GTS48 GTW47:GTW48 GUA47:GUA48 GUE47:GUE48 GUI47:GUI48 GUM47:GUM48 GUQ47:GUQ48 GUU47:GUU48 GUY47:GUY48 GVC47:GVC48 GVG47:GVG48 GVK47:GVK48 GVO47:GVO48 GVS47:GVS48 GVW47:GVW48 GWA47:GWA48 GWE47:GWE48 GWI47:GWI48 GWM47:GWM48 GWQ47:GWQ48 GWU47:GWU48 GWY47:GWY48 GXC47:GXC48 GXG47:GXG48 GXK47:GXK48 GXO47:GXO48 GXS47:GXS48 GXW47:GXW48 GYA47:GYA48 GYE47:GYE48 GYI47:GYI48 GYM47:GYM48 GYQ47:GYQ48 GYU47:GYU48 GYY47:GYY48 GZC47:GZC48 GZG47:GZG48 GZK47:GZK48 GZO47:GZO48 GZS47:GZS48 GZW47:GZW48 HAA47:HAA48 HAE47:HAE48 HAI47:HAI48 HAM47:HAM48 HAQ47:HAQ48 HAU47:HAU48 HAY47:HAY48 HBC47:HBC48 HBG47:HBG48 HBK47:HBK48 HBO47:HBO48 HBS47:HBS48 HBW47:HBW48 HCA47:HCA48 HCE47:HCE48 HCI47:HCI48 HCM47:HCM48 HCQ47:HCQ48 HCU47:HCU48 HCY47:HCY48 HDC47:HDC48 HDG47:HDG48 HDK47:HDK48 HDO47:HDO48 HDS47:HDS48 HDW47:HDW48 HEA47:HEA48 HEE47:HEE48 HEI47:HEI48 HEM47:HEM48 HEQ47:HEQ48 HEU47:HEU48 HEY47:HEY48 HFC47:HFC48 HFG47:HFG48 HFK47:HFK48 HFO47:HFO48 HFS47:HFS48 HFW47:HFW48 HGA47:HGA48 HGE47:HGE48 HGI47:HGI48 HGM47:HGM48 HGQ47:HGQ48 HGU47:HGU48 HGY47:HGY48 HHC47:HHC48 HHG47:HHG48 HHK47:HHK48 HHO47:HHO48 HHS47:HHS48 HHW47:HHW48 HIA47:HIA48 HIE47:HIE48 HII47:HII48 HIM47:HIM48 HIQ47:HIQ48 HIU47:HIU48 HIY47:HIY48 HJC47:HJC48 HJG47:HJG48 HJK47:HJK48 HJO47:HJO48 HJS47:HJS48 HJW47:HJW48 HKA47:HKA48 HKE47:HKE48 HKI47:HKI48 HKM47:HKM48 HKQ47:HKQ48 HKU47:HKU48 HKY47:HKY48 HLC47:HLC48 HLG47:HLG48 HLK47:HLK48 HLO47:HLO48 HLS47:HLS48 HLW47:HLW48 HMA47:HMA48 HME47:HME48 HMI47:HMI48 HMM47:HMM48 HMQ47:HMQ48 HMU47:HMU48 HMY47:HMY48 HNC47:HNC48 HNG47:HNG48 HNK47:HNK48 HNO47:HNO48 HNS47:HNS48 HNW47:HNW48 HOA47:HOA48 HOE47:HOE48 HOI47:HOI48 HOM47:HOM48 HOQ47:HOQ48 HOU47:HOU48 HOY47:HOY48 HPC47:HPC48 HPG47:HPG48 HPK47:HPK48 HPO47:HPO48 HPS47:HPS48 HPW47:HPW48 HQA47:HQA48 HQE47:HQE48 HQI47:HQI48 HQM47:HQM48 HQQ47:HQQ48 HQU47:HQU48 HQY47:HQY48 HRC47:HRC48 HRG47:HRG48 HRK47:HRK48 HRO47:HRO48 HRS47:HRS48 HRW47:HRW48 HSA47:HSA48 HSE47:HSE48 HSI47:HSI48 HSM47:HSM48 HSQ47:HSQ48 HSU47:HSU48 HSY47:HSY48 HTC47:HTC48 HTG47:HTG48 HTK47:HTK48 HTO47:HTO48 HTS47:HTS48 HTW47:HTW48 HUA47:HUA48 HUE47:HUE48 HUI47:HUI48 HUM47:HUM48 HUQ47:HUQ48 HUU47:HUU48 HUY47:HUY48 HVC47:HVC48 HVG47:HVG48 HVK47:HVK48 HVO47:HVO48 HVS47:HVS48 HVW47:HVW48 HWA47:HWA48 HWE47:HWE48 HWI47:HWI48 HWM47:HWM48 HWQ47:HWQ48 HWU47:HWU48 HWY47:HWY48 HXC47:HXC48 HXG47:HXG48 HXK47:HXK48 HXO47:HXO48 HXS47:HXS48 HXW47:HXW48 HYA47:HYA48 HYE47:HYE48 HYI47:HYI48 HYM47:HYM48 HYQ47:HYQ48 HYU47:HYU48 HYY47:HYY48 HZC47:HZC48 HZG47:HZG48 HZK47:HZK48 HZO47:HZO48 HZS47:HZS48 HZW47:HZW48 IAA47:IAA48 IAE47:IAE48 IAI47:IAI48 IAM47:IAM48 IAQ47:IAQ48 IAU47:IAU48 IAY47:IAY48 IBC47:IBC48 IBG47:IBG48 IBK47:IBK48 IBO47:IBO48 IBS47:IBS48 IBW47:IBW48 ICA47:ICA48 ICE47:ICE48 ICI47:ICI48 ICM47:ICM48 ICQ47:ICQ48 ICU47:ICU48 ICY47:ICY48 IDC47:IDC48 IDG47:IDG48 IDK47:IDK48 IDO47:IDO48 IDS47:IDS48 IDW47:IDW48 IEA47:IEA48 IEE47:IEE48 IEI47:IEI48 IEM47:IEM48 IEQ47:IEQ48 IEU47:IEU48 IEY47:IEY48 IFC47:IFC48 IFG47:IFG48 IFK47:IFK48 IFO47:IFO48 IFS47:IFS48 IFW47:IFW48 IGA47:IGA48 IGE47:IGE48 IGI47:IGI48 IGM47:IGM48 IGQ47:IGQ48 IGU47:IGU48 IGY47:IGY48 IHC47:IHC48 IHG47:IHG48 IHK47:IHK48 IHO47:IHO48 IHS47:IHS48 IHW47:IHW48 IIA47:IIA48 IIE47:IIE48 III47:III48 IIM47:IIM48 IIQ47:IIQ48 IIU47:IIU48 IIY47:IIY48 IJC47:IJC48 IJG47:IJG48 IJK47:IJK48 IJO47:IJO48 IJS47:IJS48 IJW47:IJW48 IKA47:IKA48 IKE47:IKE48 IKI47:IKI48 IKM47:IKM48 IKQ47:IKQ48 IKU47:IKU48 IKY47:IKY48 ILC47:ILC48 ILG47:ILG48 ILK47:ILK48 ILO47:ILO48 ILS47:ILS48 ILW47:ILW48 IMA47:IMA48 IME47:IME48 IMI47:IMI48 IMM47:IMM48 IMQ47:IMQ48 IMU47:IMU48 IMY47:IMY48 INC47:INC48 ING47:ING48 INK47:INK48 INO47:INO48 INS47:INS48 INW47:INW48 IOA47:IOA48 IOE47:IOE48 IOI47:IOI48 IOM47:IOM48 IOQ47:IOQ48 IOU47:IOU48 IOY47:IOY48 IPC47:IPC48 IPG47:IPG48 IPK47:IPK48 IPO47:IPO48 IPS47:IPS48 IPW47:IPW48 IQA47:IQA48 IQE47:IQE48 IQI47:IQI48 IQM47:IQM48 IQQ47:IQQ48 IQU47:IQU48 IQY47:IQY48 IRC47:IRC48 IRG47:IRG48 IRK47:IRK48 IRO47:IRO48 IRS47:IRS48 IRW47:IRW48 ISA47:ISA48 ISE47:ISE48 ISI47:ISI48 ISM47:ISM48 ISQ47:ISQ48 ISU47:ISU48 ISY47:ISY48 ITC47:ITC48 ITG47:ITG48 ITK47:ITK48 ITO47:ITO48 ITS47:ITS48 ITW47:ITW48 IUA47:IUA48 IUE47:IUE48 IUI47:IUI48 IUM47:IUM48 IUQ47:IUQ48 IUU47:IUU48 IUY47:IUY48 IVC47:IVC48 IVG47:IVG48 IVK47:IVK48 IVO47:IVO48 IVS47:IVS48 IVW47:IVW48 IWA47:IWA48 IWE47:IWE48 IWI47:IWI48 IWM47:IWM48 IWQ47:IWQ48 IWU47:IWU48 IWY47:IWY48 IXC47:IXC48 IXG47:IXG48 IXK47:IXK48 IXO47:IXO48 IXS47:IXS48 IXW47:IXW48 IYA47:IYA48 IYE47:IYE48 IYI47:IYI48 IYM47:IYM48 IYQ47:IYQ48 IYU47:IYU48 IYY47:IYY48 IZC47:IZC48 IZG47:IZG48 IZK47:IZK48 IZO47:IZO48 IZS47:IZS48 IZW47:IZW48 JAA47:JAA48 JAE47:JAE48 JAI47:JAI48 JAM47:JAM48 JAQ47:JAQ48 JAU47:JAU48 JAY47:JAY48 JBC47:JBC48 JBG47:JBG48 JBK47:JBK48 JBO47:JBO48 JBS47:JBS48 JBW47:JBW48 JCA47:JCA48 JCE47:JCE48 JCI47:JCI48 JCM47:JCM48 JCQ47:JCQ48 JCU47:JCU48 JCY47:JCY48 JDC47:JDC48 JDG47:JDG48 JDK47:JDK48 JDO47:JDO48 JDS47:JDS48 JDW47:JDW48 JEA47:JEA48 JEE47:JEE48 JEI47:JEI48 JEM47:JEM48 JEQ47:JEQ48 JEU47:JEU48 JEY47:JEY48 JFC47:JFC48 JFG47:JFG48 JFK47:JFK48 JFO47:JFO48 JFS47:JFS48 JFW47:JFW48 JGA47:JGA48 JGE47:JGE48 JGI47:JGI48 JGM47:JGM48 JGQ47:JGQ48 JGU47:JGU48 JGY47:JGY48 JHC47:JHC48 JHG47:JHG48 JHK47:JHK48 JHO47:JHO48 JHS47:JHS48 JHW47:JHW48 JIA47:JIA48 JIE47:JIE48 JII47:JII48 JIM47:JIM48 JIQ47:JIQ48 JIU47:JIU48 JIY47:JIY48 JJC47:JJC48 JJG47:JJG48 JJK47:JJK48 JJO47:JJO48 JJS47:JJS48 JJW47:JJW48 JKA47:JKA48 JKE47:JKE48 JKI47:JKI48 JKM47:JKM48 JKQ47:JKQ48 JKU47:JKU48 JKY47:JKY48 JLC47:JLC48 JLG47:JLG48 JLK47:JLK48 JLO47:JLO48 JLS47:JLS48 JLW47:JLW48 JMA47:JMA48 JME47:JME48 JMI47:JMI48 JMM47:JMM48 JMQ47:JMQ48 JMU47:JMU48 JMY47:JMY48 JNC47:JNC48 JNG47:JNG48 JNK47:JNK48 JNO47:JNO48 JNS47:JNS48 JNW47:JNW48 JOA47:JOA48 JOE47:JOE48 JOI47:JOI48 JOM47:JOM48 JOQ47:JOQ48 JOU47:JOU48 JOY47:JOY48 JPC47:JPC48 JPG47:JPG48 JPK47:JPK48 JPO47:JPO48 JPS47:JPS48 JPW47:JPW48 JQA47:JQA48 JQE47:JQE48 JQI47:JQI48 JQM47:JQM48 JQQ47:JQQ48 JQU47:JQU48 JQY47:JQY48 JRC47:JRC48 JRG47:JRG48 JRK47:JRK48 JRO47:JRO48 JRS47:JRS48 JRW47:JRW48 JSA47:JSA48 JSE47:JSE48 JSI47:JSI48 JSM47:JSM48 JSQ47:JSQ48 JSU47:JSU48 JSY47:JSY48 JTC47:JTC48 JTG47:JTG48 JTK47:JTK48 JTO47:JTO48 JTS47:JTS48 JTW47:JTW48 JUA47:JUA48 JUE47:JUE48 JUI47:JUI48 JUM47:JUM48 JUQ47:JUQ48 JUU47:JUU48 JUY47:JUY48 JVC47:JVC48 JVG47:JVG48 JVK47:JVK48 JVO47:JVO48 JVS47:JVS48 JVW47:JVW48 JWA47:JWA48 JWE47:JWE48 JWI47:JWI48 JWM47:JWM48 JWQ47:JWQ48 JWU47:JWU48 JWY47:JWY48 JXC47:JXC48 JXG47:JXG48 JXK47:JXK48 JXO47:JXO48 JXS47:JXS48 JXW47:JXW48 JYA47:JYA48 JYE47:JYE48 JYI47:JYI48 JYM47:JYM48 JYQ47:JYQ48 JYU47:JYU48 JYY47:JYY48 JZC47:JZC48 JZG47:JZG48 JZK47:JZK48 JZO47:JZO48 JZS47:JZS48 JZW47:JZW48 KAA47:KAA48 KAE47:KAE48 KAI47:KAI48 KAM47:KAM48 KAQ47:KAQ48 KAU47:KAU48 KAY47:KAY48 KBC47:KBC48 KBG47:KBG48 KBK47:KBK48 KBO47:KBO48 KBS47:KBS48 KBW47:KBW48 KCA47:KCA48 KCE47:KCE48 KCI47:KCI48 KCM47:KCM48 KCQ47:KCQ48 KCU47:KCU48 KCY47:KCY48 KDC47:KDC48 KDG47:KDG48 KDK47:KDK48 KDO47:KDO48 KDS47:KDS48 KDW47:KDW48 KEA47:KEA48 KEE47:KEE48 KEI47:KEI48 KEM47:KEM48 KEQ47:KEQ48 KEU47:KEU48 KEY47:KEY48 KFC47:KFC48 KFG47:KFG48 KFK47:KFK48 KFO47:KFO48 KFS47:KFS48 KFW47:KFW48 KGA47:KGA48 KGE47:KGE48 KGI47:KGI48 KGM47:KGM48 KGQ47:KGQ48 KGU47:KGU48 KGY47:KGY48 KHC47:KHC48 KHG47:KHG48 KHK47:KHK48 KHO47:KHO48 KHS47:KHS48 KHW47:KHW48 KIA47:KIA48 KIE47:KIE48 KII47:KII48 KIM47:KIM48 KIQ47:KIQ48 KIU47:KIU48 KIY47:KIY48 KJC47:KJC48 KJG47:KJG48 KJK47:KJK48 KJO47:KJO48 KJS47:KJS48 KJW47:KJW48 KKA47:KKA48 KKE47:KKE48 KKI47:KKI48 KKM47:KKM48 KKQ47:KKQ48 KKU47:KKU48 KKY47:KKY48 KLC47:KLC48 KLG47:KLG48 KLK47:KLK48 KLO47:KLO48 KLS47:KLS48 KLW47:KLW48 KMA47:KMA48 KME47:KME48 KMI47:KMI48 KMM47:KMM48 KMQ47:KMQ48 KMU47:KMU48 KMY47:KMY48 KNC47:KNC48 KNG47:KNG48 KNK47:KNK48 KNO47:KNO48 KNS47:KNS48 KNW47:KNW48 KOA47:KOA48 KOE47:KOE48 KOI47:KOI48 KOM47:KOM48 KOQ47:KOQ48 KOU47:KOU48 KOY47:KOY48 KPC47:KPC48 KPG47:KPG48 KPK47:KPK48 KPO47:KPO48 KPS47:KPS48 KPW47:KPW48 KQA47:KQA48 KQE47:KQE48 KQI47:KQI48 KQM47:KQM48 KQQ47:KQQ48 KQU47:KQU48 KQY47:KQY48 KRC47:KRC48 KRG47:KRG48 KRK47:KRK48 KRO47:KRO48 KRS47:KRS48 KRW47:KRW48 KSA47:KSA48 KSE47:KSE48 KSI47:KSI48 KSM47:KSM48 KSQ47:KSQ48 KSU47:KSU48 KSY47:KSY48 KTC47:KTC48 KTG47:KTG48 KTK47:KTK48 KTO47:KTO48 KTS47:KTS48 KTW47:KTW48 KUA47:KUA48 KUE47:KUE48 KUI47:KUI48 KUM47:KUM48 KUQ47:KUQ48 KUU47:KUU48 KUY47:KUY48 KVC47:KVC48 KVG47:KVG48 KVK47:KVK48 KVO47:KVO48 KVS47:KVS48 KVW47:KVW48 KWA47:KWA48 KWE47:KWE48 KWI47:KWI48 KWM47:KWM48 KWQ47:KWQ48 KWU47:KWU48 KWY47:KWY48 KXC47:KXC48 KXG47:KXG48 KXK47:KXK48 KXO47:KXO48 KXS47:KXS48 KXW47:KXW48 KYA47:KYA48 KYE47:KYE48 KYI47:KYI48 KYM47:KYM48 KYQ47:KYQ48 KYU47:KYU48 KYY47:KYY48 KZC47:KZC48 KZG47:KZG48 KZK47:KZK48 KZO47:KZO48 KZS47:KZS48 KZW47:KZW48 LAA47:LAA48 LAE47:LAE48 LAI47:LAI48 LAM47:LAM48 LAQ47:LAQ48 LAU47:LAU48 LAY47:LAY48 LBC47:LBC48 LBG47:LBG48 LBK47:LBK48 LBO47:LBO48 LBS47:LBS48 LBW47:LBW48 LCA47:LCA48 LCE47:LCE48 LCI47:LCI48 LCM47:LCM48 LCQ47:LCQ48 LCU47:LCU48 LCY47:LCY48 LDC47:LDC48 LDG47:LDG48 LDK47:LDK48 LDO47:LDO48 LDS47:LDS48 LDW47:LDW48 LEA47:LEA48 LEE47:LEE48 LEI47:LEI48 LEM47:LEM48 LEQ47:LEQ48 LEU47:LEU48 LEY47:LEY48 LFC47:LFC48 LFG47:LFG48 LFK47:LFK48 LFO47:LFO48 LFS47:LFS48 LFW47:LFW48 LGA47:LGA48 LGE47:LGE48 LGI47:LGI48 LGM47:LGM48 LGQ47:LGQ48 LGU47:LGU48 LGY47:LGY48 LHC47:LHC48 LHG47:LHG48 LHK47:LHK48 LHO47:LHO48 LHS47:LHS48 LHW47:LHW48 LIA47:LIA48 LIE47:LIE48 LII47:LII48 LIM47:LIM48 LIQ47:LIQ48 LIU47:LIU48 LIY47:LIY48 LJC47:LJC48 LJG47:LJG48 LJK47:LJK48 LJO47:LJO48 LJS47:LJS48 LJW47:LJW48 LKA47:LKA48 LKE47:LKE48 LKI47:LKI48 LKM47:LKM48 LKQ47:LKQ48 LKU47:LKU48 LKY47:LKY48 LLC47:LLC48 LLG47:LLG48 LLK47:LLK48 LLO47:LLO48 LLS47:LLS48 LLW47:LLW48 LMA47:LMA48 LME47:LME48 LMI47:LMI48 LMM47:LMM48 LMQ47:LMQ48 LMU47:LMU48 LMY47:LMY48 LNC47:LNC48 LNG47:LNG48 LNK47:LNK48 LNO47:LNO48 LNS47:LNS48 LNW47:LNW48 LOA47:LOA48 LOE47:LOE48 LOI47:LOI48 LOM47:LOM48 LOQ47:LOQ48 LOU47:LOU48 LOY47:LOY48 LPC47:LPC48 LPG47:LPG48 LPK47:LPK48 LPO47:LPO48 LPS47:LPS48 LPW47:LPW48 LQA47:LQA48 LQE47:LQE48 LQI47:LQI48 LQM47:LQM48 LQQ47:LQQ48 LQU47:LQU48 LQY47:LQY48 LRC47:LRC48 LRG47:LRG48 LRK47:LRK48 LRO47:LRO48 LRS47:LRS48 LRW47:LRW48 LSA47:LSA48 LSE47:LSE48 LSI47:LSI48 LSM47:LSM48 LSQ47:LSQ48 LSU47:LSU48 LSY47:LSY48 LTC47:LTC48 LTG47:LTG48 LTK47:LTK48 LTO47:LTO48 LTS47:LTS48 LTW47:LTW48 LUA47:LUA48 LUE47:LUE48 LUI47:LUI48 LUM47:LUM48 LUQ47:LUQ48 LUU47:LUU48 LUY47:LUY48 LVC47:LVC48 LVG47:LVG48 LVK47:LVK48 LVO47:LVO48 LVS47:LVS48 LVW47:LVW48 LWA47:LWA48 LWE47:LWE48 LWI47:LWI48 LWM47:LWM48 LWQ47:LWQ48 LWU47:LWU48 LWY47:LWY48 LXC47:LXC48 LXG47:LXG48 LXK47:LXK48 LXO47:LXO48 LXS47:LXS48 LXW47:LXW48 LYA47:LYA48 LYE47:LYE48 LYI47:LYI48 LYM47:LYM48 LYQ47:LYQ48 LYU47:LYU48 LYY47:LYY48 LZC47:LZC48 LZG47:LZG48 LZK47:LZK48 LZO47:LZO48 LZS47:LZS48 LZW47:LZW48 MAA47:MAA48 MAE47:MAE48 MAI47:MAI48 MAM47:MAM48 MAQ47:MAQ48 MAU47:MAU48 MAY47:MAY48 MBC47:MBC48 MBG47:MBG48 MBK47:MBK48 MBO47:MBO48 MBS47:MBS48 MBW47:MBW48 MCA47:MCA48 MCE47:MCE48 MCI47:MCI48 MCM47:MCM48 MCQ47:MCQ48 MCU47:MCU48 MCY47:MCY48 MDC47:MDC48 MDG47:MDG48 MDK47:MDK48 MDO47:MDO48 MDS47:MDS48 MDW47:MDW48 MEA47:MEA48 MEE47:MEE48 MEI47:MEI48 MEM47:MEM48 MEQ47:MEQ48 MEU47:MEU48 MEY47:MEY48 MFC47:MFC48 MFG47:MFG48 MFK47:MFK48 MFO47:MFO48 MFS47:MFS48 MFW47:MFW48 MGA47:MGA48 MGE47:MGE48 MGI47:MGI48 MGM47:MGM48 MGQ47:MGQ48 MGU47:MGU48 MGY47:MGY48 MHC47:MHC48 MHG47:MHG48 MHK47:MHK48 MHO47:MHO48 MHS47:MHS48 MHW47:MHW48 MIA47:MIA48 MIE47:MIE48 MII47:MII48 MIM47:MIM48 MIQ47:MIQ48 MIU47:MIU48 MIY47:MIY48 MJC47:MJC48 MJG47:MJG48 MJK47:MJK48 MJO47:MJO48 MJS47:MJS48 MJW47:MJW48 MKA47:MKA48 MKE47:MKE48 MKI47:MKI48 MKM47:MKM48 MKQ47:MKQ48 MKU47:MKU48 MKY47:MKY48 MLC47:MLC48 MLG47:MLG48 MLK47:MLK48 MLO47:MLO48 MLS47:MLS48 MLW47:MLW48 MMA47:MMA48 MME47:MME48 MMI47:MMI48 MMM47:MMM48 MMQ47:MMQ48 MMU47:MMU48 MMY47:MMY48 MNC47:MNC48 MNG47:MNG48 MNK47:MNK48 MNO47:MNO48 MNS47:MNS48 MNW47:MNW48 MOA47:MOA48 MOE47:MOE48 MOI47:MOI48 MOM47:MOM48 MOQ47:MOQ48 MOU47:MOU48 MOY47:MOY48 MPC47:MPC48 MPG47:MPG48 MPK47:MPK48 MPO47:MPO48 MPS47:MPS48 MPW47:MPW48 MQA47:MQA48 MQE47:MQE48 MQI47:MQI48 MQM47:MQM48 MQQ47:MQQ48 MQU47:MQU48 MQY47:MQY48 MRC47:MRC48 MRG47:MRG48 MRK47:MRK48 MRO47:MRO48 MRS47:MRS48 MRW47:MRW48 MSA47:MSA48 MSE47:MSE48 MSI47:MSI48 MSM47:MSM48 MSQ47:MSQ48 MSU47:MSU48 MSY47:MSY48 MTC47:MTC48 MTG47:MTG48 MTK47:MTK48 MTO47:MTO48 MTS47:MTS48 MTW47:MTW48 MUA47:MUA48 MUE47:MUE48 MUI47:MUI48 MUM47:MUM48 MUQ47:MUQ48 MUU47:MUU48 MUY47:MUY48 MVC47:MVC48 MVG47:MVG48 MVK47:MVK48 MVO47:MVO48 MVS47:MVS48 MVW47:MVW48 MWA47:MWA48 MWE47:MWE48 MWI47:MWI48 MWM47:MWM48 MWQ47:MWQ48 MWU47:MWU48 MWY47:MWY48 MXC47:MXC48 MXG47:MXG48 MXK47:MXK48 MXO47:MXO48 MXS47:MXS48 MXW47:MXW48 MYA47:MYA48 MYE47:MYE48 MYI47:MYI48 MYM47:MYM48 MYQ47:MYQ48 MYU47:MYU48 MYY47:MYY48 MZC47:MZC48 MZG47:MZG48 MZK47:MZK48 MZO47:MZO48 MZS47:MZS48 MZW47:MZW48 NAA47:NAA48 NAE47:NAE48 NAI47:NAI48 NAM47:NAM48 NAQ47:NAQ48 NAU47:NAU48 NAY47:NAY48 NBC47:NBC48 NBG47:NBG48 NBK47:NBK48 NBO47:NBO48 NBS47:NBS48 NBW47:NBW48 NCA47:NCA48 NCE47:NCE48 NCI47:NCI48 NCM47:NCM48 NCQ47:NCQ48 NCU47:NCU48 NCY47:NCY48 NDC47:NDC48 NDG47:NDG48 NDK47:NDK48 NDO47:NDO48 NDS47:NDS48 NDW47:NDW48 NEA47:NEA48 NEE47:NEE48 NEI47:NEI48 NEM47:NEM48 NEQ47:NEQ48 NEU47:NEU48 NEY47:NEY48 NFC47:NFC48 NFG47:NFG48 NFK47:NFK48 NFO47:NFO48 NFS47:NFS48 NFW47:NFW48 NGA47:NGA48 NGE47:NGE48 NGI47:NGI48 NGM47:NGM48 NGQ47:NGQ48 NGU47:NGU48 NGY47:NGY48 NHC47:NHC48 NHG47:NHG48 NHK47:NHK48 NHO47:NHO48 NHS47:NHS48 NHW47:NHW48 NIA47:NIA48 NIE47:NIE48 NII47:NII48 NIM47:NIM48 NIQ47:NIQ48 NIU47:NIU48 NIY47:NIY48 NJC47:NJC48 NJG47:NJG48 NJK47:NJK48 NJO47:NJO48 NJS47:NJS48 NJW47:NJW48 NKA47:NKA48 NKE47:NKE48 NKI47:NKI48 NKM47:NKM48 NKQ47:NKQ48 NKU47:NKU48 NKY47:NKY48 NLC47:NLC48 NLG47:NLG48 NLK47:NLK48 NLO47:NLO48 NLS47:NLS48 NLW47:NLW48 NMA47:NMA48 NME47:NME48 NMI47:NMI48 NMM47:NMM48 NMQ47:NMQ48 NMU47:NMU48 NMY47:NMY48 NNC47:NNC48 NNG47:NNG48 NNK47:NNK48 NNO47:NNO48 NNS47:NNS48 NNW47:NNW48 NOA47:NOA48 NOE47:NOE48 NOI47:NOI48 NOM47:NOM48 NOQ47:NOQ48 NOU47:NOU48 NOY47:NOY48 NPC47:NPC48 NPG47:NPG48 NPK47:NPK48 NPO47:NPO48 NPS47:NPS48 NPW47:NPW48 NQA47:NQA48 NQE47:NQE48 NQI47:NQI48 NQM47:NQM48 NQQ47:NQQ48 NQU47:NQU48 NQY47:NQY48 NRC47:NRC48 NRG47:NRG48 NRK47:NRK48 NRO47:NRO48 NRS47:NRS48 NRW47:NRW48 NSA47:NSA48 NSE47:NSE48 NSI47:NSI48 NSM47:NSM48 NSQ47:NSQ48 NSU47:NSU48 NSY47:NSY48 NTC47:NTC48 NTG47:NTG48 NTK47:NTK48 NTO47:NTO48 NTS47:NTS48 NTW47:NTW48 NUA47:NUA48 NUE47:NUE48 NUI47:NUI48 NUM47:NUM48 NUQ47:NUQ48 NUU47:NUU48 NUY47:NUY48 NVC47:NVC48 NVG47:NVG48 NVK47:NVK48 NVO47:NVO48 NVS47:NVS48 NVW47:NVW48 NWA47:NWA48 NWE47:NWE48 NWI47:NWI48 NWM47:NWM48 NWQ47:NWQ48 NWU47:NWU48 NWY47:NWY48 NXC47:NXC48 NXG47:NXG48 NXK47:NXK48 NXO47:NXO48 NXS47:NXS48 NXW47:NXW48 NYA47:NYA48 NYE47:NYE48 NYI47:NYI48 NYM47:NYM48 NYQ47:NYQ48 NYU47:NYU48 NYY47:NYY48 NZC47:NZC48 NZG47:NZG48 NZK47:NZK48 NZO47:NZO48 NZS47:NZS48 NZW47:NZW48 OAA47:OAA48 OAE47:OAE48 OAI47:OAI48 OAM47:OAM48 OAQ47:OAQ48 OAU47:OAU48 OAY47:OAY48 OBC47:OBC48 OBG47:OBG48 OBK47:OBK48 OBO47:OBO48 OBS47:OBS48 OBW47:OBW48 OCA47:OCA48 OCE47:OCE48 OCI47:OCI48 OCM47:OCM48 OCQ47:OCQ48 OCU47:OCU48 OCY47:OCY48 ODC47:ODC48 ODG47:ODG48 ODK47:ODK48 ODO47:ODO48 ODS47:ODS48 ODW47:ODW48 OEA47:OEA48 OEE47:OEE48 OEI47:OEI48 OEM47:OEM48 OEQ47:OEQ48 OEU47:OEU48 OEY47:OEY48 OFC47:OFC48 OFG47:OFG48 OFK47:OFK48 OFO47:OFO48 OFS47:OFS48 OFW47:OFW48 OGA47:OGA48 OGE47:OGE48 OGI47:OGI48 OGM47:OGM48 OGQ47:OGQ48 OGU47:OGU48 OGY47:OGY48 OHC47:OHC48 OHG47:OHG48 OHK47:OHK48 OHO47:OHO48 OHS47:OHS48 OHW47:OHW48 OIA47:OIA48 OIE47:OIE48 OII47:OII48 OIM47:OIM48 OIQ47:OIQ48 OIU47:OIU48 OIY47:OIY48 OJC47:OJC48 OJG47:OJG48 OJK47:OJK48 OJO47:OJO48 OJS47:OJS48 OJW47:OJW48 OKA47:OKA48 OKE47:OKE48 OKI47:OKI48 OKM47:OKM48 OKQ47:OKQ48 OKU47:OKU48 OKY47:OKY48 OLC47:OLC48 OLG47:OLG48 OLK47:OLK48 OLO47:OLO48 OLS47:OLS48 OLW47:OLW48 OMA47:OMA48 OME47:OME48 OMI47:OMI48 OMM47:OMM48 OMQ47:OMQ48 OMU47:OMU48 OMY47:OMY48 ONC47:ONC48 ONG47:ONG48 ONK47:ONK48 ONO47:ONO48 ONS47:ONS48 ONW47:ONW48 OOA47:OOA48 OOE47:OOE48 OOI47:OOI48 OOM47:OOM48 OOQ47:OOQ48 OOU47:OOU48 OOY47:OOY48 OPC47:OPC48 OPG47:OPG48 OPK47:OPK48 OPO47:OPO48 OPS47:OPS48 OPW47:OPW48 OQA47:OQA48 OQE47:OQE48 OQI47:OQI48 OQM47:OQM48 OQQ47:OQQ48 OQU47:OQU48 OQY47:OQY48 ORC47:ORC48 ORG47:ORG48 ORK47:ORK48 ORO47:ORO48 ORS47:ORS48 ORW47:ORW48 OSA47:OSA48 OSE47:OSE48 OSI47:OSI48 OSM47:OSM48 OSQ47:OSQ48 OSU47:OSU48 OSY47:OSY48 OTC47:OTC48 OTG47:OTG48 OTK47:OTK48 OTO47:OTO48 OTS47:OTS48 OTW47:OTW48 OUA47:OUA48 OUE47:OUE48 OUI47:OUI48 OUM47:OUM48 OUQ47:OUQ48 OUU47:OUU48 OUY47:OUY48 OVC47:OVC48 OVG47:OVG48 OVK47:OVK48 OVO47:OVO48 OVS47:OVS48 OVW47:OVW48 OWA47:OWA48 OWE47:OWE48 OWI47:OWI48 OWM47:OWM48 OWQ47:OWQ48 OWU47:OWU48 OWY47:OWY48 OXC47:OXC48 OXG47:OXG48 OXK47:OXK48 OXO47:OXO48 OXS47:OXS48 OXW47:OXW48 OYA47:OYA48 OYE47:OYE48 OYI47:OYI48 OYM47:OYM48 OYQ47:OYQ48 OYU47:OYU48 OYY47:OYY48 OZC47:OZC48 OZG47:OZG48 OZK47:OZK48 OZO47:OZO48 OZS47:OZS48 OZW47:OZW48 PAA47:PAA48 PAE47:PAE48 PAI47:PAI48 PAM47:PAM48 PAQ47:PAQ48 PAU47:PAU48 PAY47:PAY48 PBC47:PBC48 PBG47:PBG48 PBK47:PBK48 PBO47:PBO48 PBS47:PBS48 PBW47:PBW48 PCA47:PCA48 PCE47:PCE48 PCI47:PCI48 PCM47:PCM48 PCQ47:PCQ48 PCU47:PCU48 PCY47:PCY48 PDC47:PDC48 PDG47:PDG48 PDK47:PDK48 PDO47:PDO48 PDS47:PDS48 PDW47:PDW48 PEA47:PEA48 PEE47:PEE48 PEI47:PEI48 PEM47:PEM48 PEQ47:PEQ48 PEU47:PEU48 PEY47:PEY48 PFC47:PFC48 PFG47:PFG48 PFK47:PFK48 PFO47:PFO48 PFS47:PFS48 PFW47:PFW48 PGA47:PGA48 PGE47:PGE48 PGI47:PGI48 PGM47:PGM48 PGQ47:PGQ48 PGU47:PGU48 PGY47:PGY48 PHC47:PHC48 PHG47:PHG48 PHK47:PHK48 PHO47:PHO48 PHS47:PHS48 PHW47:PHW48 PIA47:PIA48 PIE47:PIE48 PII47:PII48 PIM47:PIM48 PIQ47:PIQ48 PIU47:PIU48 PIY47:PIY48 PJC47:PJC48 PJG47:PJG48 PJK47:PJK48 PJO47:PJO48 PJS47:PJS48 PJW47:PJW48 PKA47:PKA48 PKE47:PKE48 PKI47:PKI48 PKM47:PKM48 PKQ47:PKQ48 PKU47:PKU48 PKY47:PKY48 PLC47:PLC48 PLG47:PLG48 PLK47:PLK48 PLO47:PLO48 PLS47:PLS48 PLW47:PLW48 PMA47:PMA48 PME47:PME48 PMI47:PMI48 PMM47:PMM48 PMQ47:PMQ48 PMU47:PMU48 PMY47:PMY48 PNC47:PNC48 PNG47:PNG48 PNK47:PNK48 PNO47:PNO48 PNS47:PNS48 PNW47:PNW48 POA47:POA48 POE47:POE48 POI47:POI48 POM47:POM48 POQ47:POQ48 POU47:POU48 POY47:POY48 PPC47:PPC48 PPG47:PPG48 PPK47:PPK48 PPO47:PPO48 PPS47:PPS48 PPW47:PPW48 PQA47:PQA48 PQE47:PQE48 PQI47:PQI48 PQM47:PQM48 PQQ47:PQQ48 PQU47:PQU48 PQY47:PQY48 PRC47:PRC48 PRG47:PRG48 PRK47:PRK48 PRO47:PRO48 PRS47:PRS48 PRW47:PRW48 PSA47:PSA48 PSE47:PSE48 PSI47:PSI48 PSM47:PSM48 PSQ47:PSQ48 PSU47:PSU48 PSY47:PSY48 PTC47:PTC48 PTG47:PTG48 PTK47:PTK48 PTO47:PTO48 PTS47:PTS48 PTW47:PTW48 PUA47:PUA48 PUE47:PUE48 PUI47:PUI48 PUM47:PUM48 PUQ47:PUQ48 PUU47:PUU48 PUY47:PUY48 PVC47:PVC48 PVG47:PVG48 PVK47:PVK48 PVO47:PVO48 PVS47:PVS48 PVW47:PVW48 PWA47:PWA48 PWE47:PWE48 PWI47:PWI48 PWM47:PWM48 PWQ47:PWQ48 PWU47:PWU48 PWY47:PWY48 PXC47:PXC48 PXG47:PXG48 PXK47:PXK48 PXO47:PXO48 PXS47:PXS48 PXW47:PXW48 PYA47:PYA48 PYE47:PYE48 PYI47:PYI48 PYM47:PYM48 PYQ47:PYQ48 PYU47:PYU48 PYY47:PYY48 PZC47:PZC48 PZG47:PZG48 PZK47:PZK48 PZO47:PZO48 PZS47:PZS48 PZW47:PZW48 QAA47:QAA48 QAE47:QAE48 QAI47:QAI48 QAM47:QAM48 QAQ47:QAQ48 QAU47:QAU48 QAY47:QAY48 QBC47:QBC48 QBG47:QBG48 QBK47:QBK48 QBO47:QBO48 QBS47:QBS48 QBW47:QBW48 QCA47:QCA48 QCE47:QCE48 QCI47:QCI48 QCM47:QCM48 QCQ47:QCQ48 QCU47:QCU48 QCY47:QCY48 QDC47:QDC48 QDG47:QDG48 QDK47:QDK48 QDO47:QDO48 QDS47:QDS48 QDW47:QDW48 QEA47:QEA48 QEE47:QEE48 QEI47:QEI48 QEM47:QEM48 QEQ47:QEQ48 QEU47:QEU48 QEY47:QEY48 QFC47:QFC48 QFG47:QFG48 QFK47:QFK48 QFO47:QFO48 QFS47:QFS48 QFW47:QFW48 QGA47:QGA48 QGE47:QGE48 QGI47:QGI48 QGM47:QGM48 QGQ47:QGQ48 QGU47:QGU48 QGY47:QGY48 QHC47:QHC48 QHG47:QHG48 QHK47:QHK48 QHO47:QHO48 QHS47:QHS48 QHW47:QHW48 QIA47:QIA48 QIE47:QIE48 QII47:QII48 QIM47:QIM48 QIQ47:QIQ48 QIU47:QIU48 QIY47:QIY48 QJC47:QJC48 QJG47:QJG48 QJK47:QJK48 QJO47:QJO48 QJS47:QJS48 QJW47:QJW48 QKA47:QKA48 QKE47:QKE48 QKI47:QKI48 QKM47:QKM48 QKQ47:QKQ48 QKU47:QKU48 QKY47:QKY48 QLC47:QLC48 QLG47:QLG48 QLK47:QLK48 QLO47:QLO48 QLS47:QLS48 QLW47:QLW48 QMA47:QMA48 QME47:QME48 QMI47:QMI48 QMM47:QMM48 QMQ47:QMQ48 QMU47:QMU48 QMY47:QMY48 QNC47:QNC48 QNG47:QNG48 QNK47:QNK48 QNO47:QNO48 QNS47:QNS48 QNW47:QNW48 QOA47:QOA48 QOE47:QOE48 QOI47:QOI48 QOM47:QOM48 QOQ47:QOQ48 QOU47:QOU48 QOY47:QOY48 QPC47:QPC48 QPG47:QPG48 QPK47:QPK48 QPO47:QPO48 QPS47:QPS48 QPW47:QPW48 QQA47:QQA48 QQE47:QQE48 QQI47:QQI48 QQM47:QQM48 QQQ47:QQQ48 QQU47:QQU48 QQY47:QQY48 QRC47:QRC48 QRG47:QRG48 QRK47:QRK48 QRO47:QRO48 QRS47:QRS48 QRW47:QRW48 QSA47:QSA48 QSE47:QSE48 QSI47:QSI48 QSM47:QSM48 QSQ47:QSQ48 QSU47:QSU48 QSY47:QSY48 QTC47:QTC48 QTG47:QTG48 QTK47:QTK48 QTO47:QTO48 QTS47:QTS48 QTW47:QTW48 QUA47:QUA48 QUE47:QUE48 QUI47:QUI48 QUM47:QUM48 QUQ47:QUQ48 QUU47:QUU48 QUY47:QUY48 QVC47:QVC48 QVG47:QVG48 QVK47:QVK48 QVO47:QVO48 QVS47:QVS48 QVW47:QVW48 QWA47:QWA48 QWE47:QWE48 QWI47:QWI48 QWM47:QWM48 QWQ47:QWQ48 QWU47:QWU48 QWY47:QWY48 QXC47:QXC48 QXG47:QXG48 QXK47:QXK48 QXO47:QXO48 QXS47:QXS48 QXW47:QXW48 QYA47:QYA48 QYE47:QYE48 QYI47:QYI48 QYM47:QYM48 QYQ47:QYQ48 QYU47:QYU48 QYY47:QYY48 QZC47:QZC48 QZG47:QZG48 QZK47:QZK48 QZO47:QZO48 QZS47:QZS48 QZW47:QZW48 RAA47:RAA48 RAE47:RAE48 RAI47:RAI48 RAM47:RAM48 RAQ47:RAQ48 RAU47:RAU48 RAY47:RAY48 RBC47:RBC48 RBG47:RBG48 RBK47:RBK48 RBO47:RBO48 RBS47:RBS48 RBW47:RBW48 RCA47:RCA48 RCE47:RCE48 RCI47:RCI48 RCM47:RCM48 RCQ47:RCQ48 RCU47:RCU48 RCY47:RCY48 RDC47:RDC48 RDG47:RDG48 RDK47:RDK48 RDO47:RDO48 RDS47:RDS48 RDW47:RDW48 REA47:REA48 REE47:REE48 REI47:REI48 REM47:REM48 REQ47:REQ48 REU47:REU48 REY47:REY48 RFC47:RFC48 RFG47:RFG48 RFK47:RFK48 RFO47:RFO48 RFS47:RFS48 RFW47:RFW48 RGA47:RGA48 RGE47:RGE48 RGI47:RGI48 RGM47:RGM48 RGQ47:RGQ48 RGU47:RGU48 RGY47:RGY48 RHC47:RHC48 RHG47:RHG48 RHK47:RHK48 RHO47:RHO48 RHS47:RHS48 RHW47:RHW48 RIA47:RIA48 RIE47:RIE48 RII47:RII48 RIM47:RIM48 RIQ47:RIQ48 RIU47:RIU48 RIY47:RIY48 RJC47:RJC48 RJG47:RJG48 RJK47:RJK48 RJO47:RJO48 RJS47:RJS48 RJW47:RJW48 RKA47:RKA48 RKE47:RKE48 RKI47:RKI48 RKM47:RKM48 RKQ47:RKQ48 RKU47:RKU48 RKY47:RKY48 RLC47:RLC48 RLG47:RLG48 RLK47:RLK48 RLO47:RLO48 RLS47:RLS48 RLW47:RLW48 RMA47:RMA48 RME47:RME48 RMI47:RMI48 RMM47:RMM48 RMQ47:RMQ48 RMU47:RMU48 RMY47:RMY48 RNC47:RNC48 RNG47:RNG48 RNK47:RNK48 RNO47:RNO48 RNS47:RNS48 RNW47:RNW48 ROA47:ROA48 ROE47:ROE48 ROI47:ROI48 ROM47:ROM48 ROQ47:ROQ48 ROU47:ROU48 ROY47:ROY48 RPC47:RPC48 RPG47:RPG48 RPK47:RPK48 RPO47:RPO48 RPS47:RPS48 RPW47:RPW48 RQA47:RQA48 RQE47:RQE48 RQI47:RQI48 RQM47:RQM48 RQQ47:RQQ48 RQU47:RQU48 RQY47:RQY48 RRC47:RRC48 RRG47:RRG48 RRK47:RRK48 RRO47:RRO48 RRS47:RRS48 RRW47:RRW48 RSA47:RSA48 RSE47:RSE48 RSI47:RSI48 RSM47:RSM48 RSQ47:RSQ48 RSU47:RSU48 RSY47:RSY48 RTC47:RTC48 RTG47:RTG48 RTK47:RTK48 RTO47:RTO48 RTS47:RTS48 RTW47:RTW48 RUA47:RUA48 RUE47:RUE48 RUI47:RUI48 RUM47:RUM48 RUQ47:RUQ48 RUU47:RUU48 RUY47:RUY48 RVC47:RVC48 RVG47:RVG48 RVK47:RVK48 RVO47:RVO48 RVS47:RVS48 RVW47:RVW48 RWA47:RWA48 RWE47:RWE48 RWI47:RWI48 RWM47:RWM48 RWQ47:RWQ48 RWU47:RWU48 RWY47:RWY48 RXC47:RXC48 RXG47:RXG48 RXK47:RXK48 RXO47:RXO48 RXS47:RXS48 RXW47:RXW48 RYA47:RYA48 RYE47:RYE48 RYI47:RYI48 RYM47:RYM48 RYQ47:RYQ48 RYU47:RYU48 RYY47:RYY48 RZC47:RZC48 RZG47:RZG48 RZK47:RZK48 RZO47:RZO48 RZS47:RZS48 RZW47:RZW48 SAA47:SAA48 SAE47:SAE48 SAI47:SAI48 SAM47:SAM48 SAQ47:SAQ48 SAU47:SAU48 SAY47:SAY48 SBC47:SBC48 SBG47:SBG48 SBK47:SBK48 SBO47:SBO48 SBS47:SBS48 SBW47:SBW48 SCA47:SCA48 SCE47:SCE48 SCI47:SCI48 SCM47:SCM48 SCQ47:SCQ48 SCU47:SCU48 SCY47:SCY48 SDC47:SDC48 SDG47:SDG48 SDK47:SDK48 SDO47:SDO48 SDS47:SDS48 SDW47:SDW48 SEA47:SEA48 SEE47:SEE48 SEI47:SEI48 SEM47:SEM48 SEQ47:SEQ48 SEU47:SEU48 SEY47:SEY48 SFC47:SFC48 SFG47:SFG48 SFK47:SFK48 SFO47:SFO48 SFS47:SFS48 SFW47:SFW48 SGA47:SGA48 SGE47:SGE48 SGI47:SGI48 SGM47:SGM48 SGQ47:SGQ48 SGU47:SGU48 SGY47:SGY48 SHC47:SHC48 SHG47:SHG48 SHK47:SHK48 SHO47:SHO48 SHS47:SHS48 SHW47:SHW48 SIA47:SIA48 SIE47:SIE48 SII47:SII48 SIM47:SIM48 SIQ47:SIQ48 SIU47:SIU48 SIY47:SIY48 SJC47:SJC48 SJG47:SJG48 SJK47:SJK48 SJO47:SJO48 SJS47:SJS48 SJW47:SJW48 SKA47:SKA48 SKE47:SKE48 SKI47:SKI48 SKM47:SKM48 SKQ47:SKQ48 SKU47:SKU48 SKY47:SKY48 SLC47:SLC48 SLG47:SLG48 SLK47:SLK48 SLO47:SLO48 SLS47:SLS48 SLW47:SLW48 SMA47:SMA48 SME47:SME48 SMI47:SMI48 SMM47:SMM48 SMQ47:SMQ48 SMU47:SMU48 SMY47:SMY48 SNC47:SNC48 SNG47:SNG48 SNK47:SNK48 SNO47:SNO48 SNS47:SNS48 SNW47:SNW48 SOA47:SOA48 SOE47:SOE48 SOI47:SOI48 SOM47:SOM48 SOQ47:SOQ48 SOU47:SOU48 SOY47:SOY48 SPC47:SPC48 SPG47:SPG48 SPK47:SPK48 SPO47:SPO48 SPS47:SPS48 SPW47:SPW48 SQA47:SQA48 SQE47:SQE48 SQI47:SQI48 SQM47:SQM48 SQQ47:SQQ48 SQU47:SQU48 SQY47:SQY48 SRC47:SRC48 SRG47:SRG48 SRK47:SRK48 SRO47:SRO48 SRS47:SRS48 SRW47:SRW48 SSA47:SSA48 SSE47:SSE48 SSI47:SSI48 SSM47:SSM48 SSQ47:SSQ48 SSU47:SSU48 SSY47:SSY48 STC47:STC48 STG47:STG48 STK47:STK48 STO47:STO48 STS47:STS48 STW47:STW48 SUA47:SUA48 SUE47:SUE48 SUI47:SUI48 SUM47:SUM48 SUQ47:SUQ48 SUU47:SUU48 SUY47:SUY48 SVC47:SVC48 SVG47:SVG48 SVK47:SVK48 SVO47:SVO48 SVS47:SVS48 SVW47:SVW48 SWA47:SWA48 SWE47:SWE48 SWI47:SWI48 SWM47:SWM48 SWQ47:SWQ48 SWU47:SWU48 SWY47:SWY48 SXC47:SXC48 SXG47:SXG48 SXK47:SXK48 SXO47:SXO48 SXS47:SXS48 SXW47:SXW48 SYA47:SYA48 SYE47:SYE48 SYI47:SYI48 SYM47:SYM48 SYQ47:SYQ48 SYU47:SYU48 SYY47:SYY48 SZC47:SZC48 SZG47:SZG48 SZK47:SZK48 SZO47:SZO48 SZS47:SZS48 SZW47:SZW48 TAA47:TAA48 TAE47:TAE48 TAI47:TAI48 TAM47:TAM48 TAQ47:TAQ48 TAU47:TAU48 TAY47:TAY48 TBC47:TBC48 TBG47:TBG48 TBK47:TBK48 TBO47:TBO48 TBS47:TBS48 TBW47:TBW48 TCA47:TCA48 TCE47:TCE48 TCI47:TCI48 TCM47:TCM48 TCQ47:TCQ48 TCU47:TCU48 TCY47:TCY48 TDC47:TDC48 TDG47:TDG48 TDK47:TDK48 TDO47:TDO48 TDS47:TDS48 TDW47:TDW48 TEA47:TEA48 TEE47:TEE48 TEI47:TEI48 TEM47:TEM48 TEQ47:TEQ48 TEU47:TEU48 TEY47:TEY48 TFC47:TFC48 TFG47:TFG48 TFK47:TFK48 TFO47:TFO48 TFS47:TFS48 TFW47:TFW48 TGA47:TGA48 TGE47:TGE48 TGI47:TGI48 TGM47:TGM48 TGQ47:TGQ48 TGU47:TGU48 TGY47:TGY48 THC47:THC48 THG47:THG48 THK47:THK48 THO47:THO48 THS47:THS48 THW47:THW48 TIA47:TIA48 TIE47:TIE48 TII47:TII48 TIM47:TIM48 TIQ47:TIQ48 TIU47:TIU48 TIY47:TIY48 TJC47:TJC48 TJG47:TJG48 TJK47:TJK48 TJO47:TJO48 TJS47:TJS48 TJW47:TJW48 TKA47:TKA48 TKE47:TKE48 TKI47:TKI48 TKM47:TKM48 TKQ47:TKQ48 TKU47:TKU48 TKY47:TKY48 TLC47:TLC48 TLG47:TLG48 TLK47:TLK48 TLO47:TLO48 TLS47:TLS48 TLW47:TLW48 TMA47:TMA48 TME47:TME48 TMI47:TMI48 TMM47:TMM48 TMQ47:TMQ48 TMU47:TMU48 TMY47:TMY48 TNC47:TNC48 TNG47:TNG48 TNK47:TNK48 TNO47:TNO48 TNS47:TNS48 TNW47:TNW48 TOA47:TOA48 TOE47:TOE48 TOI47:TOI48 TOM47:TOM48 TOQ47:TOQ48 TOU47:TOU48 TOY47:TOY48 TPC47:TPC48 TPG47:TPG48 TPK47:TPK48 TPO47:TPO48 TPS47:TPS48 TPW47:TPW48 TQA47:TQA48 TQE47:TQE48 TQI47:TQI48 TQM47:TQM48 TQQ47:TQQ48 TQU47:TQU48 TQY47:TQY48 TRC47:TRC48 TRG47:TRG48 TRK47:TRK48 TRO47:TRO48 TRS47:TRS48 TRW47:TRW48 TSA47:TSA48 TSE47:TSE48 TSI47:TSI48 TSM47:TSM48 TSQ47:TSQ48 TSU47:TSU48 TSY47:TSY48 TTC47:TTC48 TTG47:TTG48 TTK47:TTK48 TTO47:TTO48 TTS47:TTS48 TTW47:TTW48 TUA47:TUA48 TUE47:TUE48 TUI47:TUI48 TUM47:TUM48 TUQ47:TUQ48 TUU47:TUU48 TUY47:TUY48 TVC47:TVC48 TVG47:TVG48 TVK47:TVK48 TVO47:TVO48 TVS47:TVS48 TVW47:TVW48 TWA47:TWA48 TWE47:TWE48 TWI47:TWI48 TWM47:TWM48 TWQ47:TWQ48 TWU47:TWU48 TWY47:TWY48 TXC47:TXC48 TXG47:TXG48 TXK47:TXK48 TXO47:TXO48 TXS47:TXS48 TXW47:TXW48 TYA47:TYA48 TYE47:TYE48 TYI47:TYI48 TYM47:TYM48 TYQ47:TYQ48 TYU47:TYU48 TYY47:TYY48 TZC47:TZC48 TZG47:TZG48 TZK47:TZK48 TZO47:TZO48 TZS47:TZS48 TZW47:TZW48 UAA47:UAA48 UAE47:UAE48 UAI47:UAI48 UAM47:UAM48 UAQ47:UAQ48 UAU47:UAU48 UAY47:UAY48 UBC47:UBC48 UBG47:UBG48 UBK47:UBK48 UBO47:UBO48 UBS47:UBS48 UBW47:UBW48 UCA47:UCA48 UCE47:UCE48 UCI47:UCI48 UCM47:UCM48 UCQ47:UCQ48 UCU47:UCU48 UCY47:UCY48 UDC47:UDC48 UDG47:UDG48 UDK47:UDK48 UDO47:UDO48 UDS47:UDS48 UDW47:UDW48 UEA47:UEA48 UEE47:UEE48 UEI47:UEI48 UEM47:UEM48 UEQ47:UEQ48 UEU47:UEU48 UEY47:UEY48 UFC47:UFC48 UFG47:UFG48 UFK47:UFK48 UFO47:UFO48 UFS47:UFS48 UFW47:UFW48 UGA47:UGA48 UGE47:UGE48 UGI47:UGI48 UGM47:UGM48 UGQ47:UGQ48 UGU47:UGU48 UGY47:UGY48 UHC47:UHC48 UHG47:UHG48 UHK47:UHK48 UHO47:UHO48 UHS47:UHS48 UHW47:UHW48 UIA47:UIA48 UIE47:UIE48 UII47:UII48 UIM47:UIM48 UIQ47:UIQ48 UIU47:UIU48 UIY47:UIY48 UJC47:UJC48 UJG47:UJG48 UJK47:UJK48 UJO47:UJO48 UJS47:UJS48 UJW47:UJW48 UKA47:UKA48 UKE47:UKE48 UKI47:UKI48 UKM47:UKM48 UKQ47:UKQ48 UKU47:UKU48 UKY47:UKY48 ULC47:ULC48 ULG47:ULG48 ULK47:ULK48 ULO47:ULO48 ULS47:ULS48 ULW47:ULW48 UMA47:UMA48 UME47:UME48 UMI47:UMI48 UMM47:UMM48 UMQ47:UMQ48 UMU47:UMU48 UMY47:UMY48 UNC47:UNC48 UNG47:UNG48 UNK47:UNK48 UNO47:UNO48 UNS47:UNS48 UNW47:UNW48 UOA47:UOA48 UOE47:UOE48 UOI47:UOI48 UOM47:UOM48 UOQ47:UOQ48 UOU47:UOU48 UOY47:UOY48 UPC47:UPC48 UPG47:UPG48 UPK47:UPK48 UPO47:UPO48 UPS47:UPS48 UPW47:UPW48 UQA47:UQA48 UQE47:UQE48 UQI47:UQI48 UQM47:UQM48 UQQ47:UQQ48 UQU47:UQU48 UQY47:UQY48 URC47:URC48 URG47:URG48 URK47:URK48 URO47:URO48 URS47:URS48 URW47:URW48 USA47:USA48 USE47:USE48 USI47:USI48 USM47:USM48 USQ47:USQ48 USU47:USU48 USY47:USY48 UTC47:UTC48 UTG47:UTG48 UTK47:UTK48 UTO47:UTO48 UTS47:UTS48 UTW47:UTW48 UUA47:UUA48 UUE47:UUE48 UUI47:UUI48 UUM47:UUM48 UUQ47:UUQ48 UUU47:UUU48 UUY47:UUY48 UVC47:UVC48 UVG47:UVG48 UVK47:UVK48 UVO47:UVO48 UVS47:UVS48 UVW47:UVW48 UWA47:UWA48 UWE47:UWE48 UWI47:UWI48 UWM47:UWM48 UWQ47:UWQ48 UWU47:UWU48 UWY47:UWY48 UXC47:UXC48 UXG47:UXG48 UXK47:UXK48 UXO47:UXO48 UXS47:UXS48 UXW47:UXW48 UYA47:UYA48 UYE47:UYE48 UYI47:UYI48 UYM47:UYM48 UYQ47:UYQ48 UYU47:UYU48 UYY47:UYY48 UZC47:UZC48 UZG47:UZG48 UZK47:UZK48 UZO47:UZO48 UZS47:UZS48 UZW47:UZW48 VAA47:VAA48 VAE47:VAE48 VAI47:VAI48 VAM47:VAM48 VAQ47:VAQ48 VAU47:VAU48 VAY47:VAY48 VBC47:VBC48 VBG47:VBG48 VBK47:VBK48 VBO47:VBO48 VBS47:VBS48 VBW47:VBW48 VCA47:VCA48 VCE47:VCE48 VCI47:VCI48 VCM47:VCM48 VCQ47:VCQ48 VCU47:VCU48 VCY47:VCY48 VDC47:VDC48 VDG47:VDG48 VDK47:VDK48 VDO47:VDO48 VDS47:VDS48 VDW47:VDW48 VEA47:VEA48 VEE47:VEE48 VEI47:VEI48 VEM47:VEM48 VEQ47:VEQ48 VEU47:VEU48 VEY47:VEY48 VFC47:VFC48 VFG47:VFG48 VFK47:VFK48 VFO47:VFO48 VFS47:VFS48 VFW47:VFW48 VGA47:VGA48 VGE47:VGE48 VGI47:VGI48 VGM47:VGM48 VGQ47:VGQ48 VGU47:VGU48 VGY47:VGY48 VHC47:VHC48 VHG47:VHG48 VHK47:VHK48 VHO47:VHO48 VHS47:VHS48 VHW47:VHW48 VIA47:VIA48 VIE47:VIE48 VII47:VII48 VIM47:VIM48 VIQ47:VIQ48 VIU47:VIU48 VIY47:VIY48 VJC47:VJC48 VJG47:VJG48 VJK47:VJK48 VJO47:VJO48 VJS47:VJS48 VJW47:VJW48 VKA47:VKA48 VKE47:VKE48 VKI47:VKI48 VKM47:VKM48 VKQ47:VKQ48 VKU47:VKU48 VKY47:VKY48 VLC47:VLC48 VLG47:VLG48 VLK47:VLK48 VLO47:VLO48 VLS47:VLS48 VLW47:VLW48 VMA47:VMA48 VME47:VME48 VMI47:VMI48 VMM47:VMM48 VMQ47:VMQ48 VMU47:VMU48 VMY47:VMY48 VNC47:VNC48 VNG47:VNG48 VNK47:VNK48 VNO47:VNO48 VNS47:VNS48 VNW47:VNW48 VOA47:VOA48 VOE47:VOE48 VOI47:VOI48 VOM47:VOM48 VOQ47:VOQ48 VOU47:VOU48 VOY47:VOY48 VPC47:VPC48 VPG47:VPG48 VPK47:VPK48 VPO47:VPO48 VPS47:VPS48 VPW47:VPW48 VQA47:VQA48 VQE47:VQE48 VQI47:VQI48 VQM47:VQM48 VQQ47:VQQ48 VQU47:VQU48 VQY47:VQY48 VRC47:VRC48 VRG47:VRG48 VRK47:VRK48 VRO47:VRO48 VRS47:VRS48 VRW47:VRW48 VSA47:VSA48 VSE47:VSE48 VSI47:VSI48 VSM47:VSM48 VSQ47:VSQ48 VSU47:VSU48 VSY47:VSY48 VTC47:VTC48 VTG47:VTG48 VTK47:VTK48 VTO47:VTO48 VTS47:VTS48 VTW47:VTW48 VUA47:VUA48 VUE47:VUE48 VUI47:VUI48 VUM47:VUM48 VUQ47:VUQ48 VUU47:VUU48 VUY47:VUY48 VVC47:VVC48 VVG47:VVG48 VVK47:VVK48 VVO47:VVO48 VVS47:VVS48 VVW47:VVW48 VWA47:VWA48 VWE47:VWE48 VWI47:VWI48 VWM47:VWM48 VWQ47:VWQ48 VWU47:VWU48 VWY47:VWY48 VXC47:VXC48 VXG47:VXG48 VXK47:VXK48 VXO47:VXO48 VXS47:VXS48 VXW47:VXW48 VYA47:VYA48 VYE47:VYE48 VYI47:VYI48 VYM47:VYM48 VYQ47:VYQ48 VYU47:VYU48 VYY47:VYY48 VZC47:VZC48 VZG47:VZG48 VZK47:VZK48 VZO47:VZO48 VZS47:VZS48 VZW47:VZW48 WAA47:WAA48 WAE47:WAE48 WAI47:WAI48 WAM47:WAM48 WAQ47:WAQ48 WAU47:WAU48 WAY47:WAY48 WBC47:WBC48 WBG47:WBG48 WBK47:WBK48 WBO47:WBO48 WBS47:WBS48 WBW47:WBW48 WCA47:WCA48 WCE47:WCE48 WCI47:WCI48 WCM47:WCM48 WCQ47:WCQ48 WCU47:WCU48 WCY47:WCY48 WDC47:WDC48 WDG47:WDG48 WDK47:WDK48 WDO47:WDO48 WDS47:WDS48 WDW47:WDW48 WEA47:WEA48 WEE47:WEE48 WEI47:WEI48 WEM47:WEM48 WEQ47:WEQ48 WEU47:WEU48 WEY47:WEY48 WFC47:WFC48 WFG47:WFG48 WFK47:WFK48 WFO47:WFO48 WFS47:WFS48 WFW47:WFW48 WGA47:WGA48 WGE47:WGE48 WGI47:WGI48 WGM47:WGM48 WGQ47:WGQ48 WGU47:WGU48 WGY47:WGY48 WHC47:WHC48 WHG47:WHG48 WHK47:WHK48 WHO47:WHO48 WHS47:WHS48 WHW47:WHW48 WIA47:WIA48 WIE47:WIE48 WII47:WII48 WIM47:WIM48 WIQ47:WIQ48 WIU47:WIU48 WIY47:WIY48 WJC47:WJC48 WJG47:WJG48 WJK47:WJK48 WJO47:WJO48 WJS47:WJS48 WJW47:WJW48 WKA47:WKA48 WKE47:WKE48 WKI47:WKI48 WKM47:WKM48 WKQ47:WKQ48 WKU47:WKU48 WKY47:WKY48 WLC47:WLC48 WLG47:WLG48 WLK47:WLK48 WLO47:WLO48 WLS47:WLS48 WLW47:WLW48 WMA47:WMA48 WME47:WME48 WMI47:WMI48 WMM47:WMM48 WMQ47:WMQ48 WMU47:WMU48 WMY47:WMY48 WNC47:WNC48 WNG47:WNG48 WNK47:WNK48 WNO47:WNO48 WNS47:WNS48 WNW47:WNW48 WOA47:WOA48 WOE47:WOE48 WOI47:WOI48 WOM47:WOM48 WOQ47:WOQ48 WOU47:WOU48 WOY47:WOY48 WPC47:WPC48 WPG47:WPG48 WPK47:WPK48 WPO47:WPO48 WPS47:WPS48 WPW47:WPW48 WQA47:WQA48 WQE47:WQE48 WQI47:WQI48 WQM47:WQM48 WQQ47:WQQ48 WQU47:WQU48 WQY47:WQY48 WRC47:WRC48 WRG47:WRG48 WRK47:WRK48 WRO47:WRO48 WRS47:WRS48 WRW47:WRW48 WSA47:WSA48 WSE47:WSE48 WSI47:WSI48 WSM47:WSM48 WSQ47:WSQ48 WSU47:WSU48 WSY47:WSY48 WTC47:WTC48 WTG47:WTG48 WTK47:WTK48 WTO47:WTO48 WTS47:WTS48 WTW47:WTW48 WUA47:WUA48 WUE47:WUE48 WUI47:WUI48 WUM47:WUM48 WUQ47:WUQ48 WUU47:WUU48 WUY47:WUY48 WVC47:WVC48 WVG47:WVG48 WVK47:WVK48 WVO47:WVO48 WVS47:WVS48 WVW47:WVW48 WWA47:WWA48 WWE47:WWE48 WWI47:WWI48 WWM47:WWM48 WWQ47:WWQ48 WWU47:WWU48 WWY47:WWY48 WXC47:WXC48 WXG47:WXG48 WXK47:WXK48 WXO47:WXO48 WXS47:WXS48 WXW47:WXW48 WYA47:WYA48 WYE47:WYE48 WYI47:WYI48 WYM47:WYM48 WYQ47:WYQ48 WYU47:WYU48 WYY47:WYY48 WZC47:WZC48 WZG47:WZG48 WZK47:WZK48 WZO47:WZO48 WZS47:WZS48 WZW47:WZW48 XAA47:XAA48 XAE47:XAE48 XAI47:XAI48 XAM47:XAM48 XAQ47:XAQ48 XAU47:XAU48 XAY47:XAY48 XBC47:XBC48 XBG47:XBG48 XBK47:XBK48 XBO47:XBO48 XBS47:XBS48 XBW47:XBW48 XCA47:XCA48 XCE47:XCE48 XCI47:XCI48 XCM47:XCM48 XCQ47:XCQ48 XCU47:XCU48 XCY47:XCY48 XDC47:XDC48 XDG47:XDG48 XDK47:XDK48 XDO47:XDO48 XDS47:XDS48 XDW47:XDW48 XEA47:XEA48 XEE47:XEE48 XEI47:XEI48 XEM47:XEM48 XEQ47:XEQ48 XEU47:XEU48 XEY47:XEY48 XFC47:XFC48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 tint="0.59999389629810485"/>
    <pageSetUpPr fitToPage="1"/>
  </sheetPr>
  <dimension ref="A1:N107"/>
  <sheetViews>
    <sheetView showGridLines="0" view="pageBreakPreview" topLeftCell="A8" zoomScale="130" zoomScaleNormal="100" zoomScaleSheetLayoutView="130" workbookViewId="0">
      <selection activeCell="A14" sqref="A14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664062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85</v>
      </c>
      <c r="N1" s="41" t="s">
        <v>206</v>
      </c>
    </row>
    <row r="2" spans="1:14" ht="18" customHeight="1" x14ac:dyDescent="0.3">
      <c r="A2" s="32" t="s">
        <v>207</v>
      </c>
      <c r="B2" s="1"/>
      <c r="C2" s="1"/>
      <c r="D2" s="48" t="str">
        <f>IF(EXACT($G$1,"Genehmigt durch Kdt"),"","PROVISORISCH")</f>
        <v>PROVISORISCH</v>
      </c>
      <c r="N2" s="42">
        <v>3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3 für MITTWOCH, 23.09.2026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x14ac:dyDescent="0.25">
      <c r="A14" s="61" t="s">
        <v>7</v>
      </c>
      <c r="B14" s="58" t="s">
        <v>76</v>
      </c>
      <c r="C14" s="7" t="s">
        <v>79</v>
      </c>
      <c r="D14" s="58" t="s">
        <v>223</v>
      </c>
    </row>
    <row r="15" spans="1:14" s="8" customFormat="1" x14ac:dyDescent="0.25">
      <c r="A15" s="40" t="s">
        <v>329</v>
      </c>
      <c r="B15" s="58" t="s">
        <v>81</v>
      </c>
      <c r="C15" s="7" t="s">
        <v>216</v>
      </c>
      <c r="D15" s="58" t="s">
        <v>92</v>
      </c>
    </row>
    <row r="16" spans="1:14" s="8" customFormat="1" x14ac:dyDescent="0.25">
      <c r="A16" s="61" t="s">
        <v>330</v>
      </c>
      <c r="B16" s="58" t="s">
        <v>290</v>
      </c>
      <c r="C16" s="7" t="s">
        <v>220</v>
      </c>
      <c r="D16" s="58" t="s">
        <v>291</v>
      </c>
    </row>
    <row r="17" spans="1:4" s="8" customFormat="1" x14ac:dyDescent="0.25">
      <c r="A17" s="35" t="s">
        <v>11</v>
      </c>
      <c r="B17" s="7" t="s">
        <v>98</v>
      </c>
      <c r="C17" s="7" t="s">
        <v>216</v>
      </c>
      <c r="D17" s="7" t="s">
        <v>92</v>
      </c>
    </row>
    <row r="18" spans="1:4" s="8" customFormat="1" x14ac:dyDescent="0.25">
      <c r="A18" s="35" t="s">
        <v>298</v>
      </c>
      <c r="B18" s="7" t="s">
        <v>331</v>
      </c>
      <c r="C18" s="7" t="s">
        <v>79</v>
      </c>
      <c r="D18" s="7" t="s">
        <v>92</v>
      </c>
    </row>
    <row r="19" spans="1:4" s="8" customFormat="1" x14ac:dyDescent="0.25">
      <c r="A19" s="35" t="s">
        <v>235</v>
      </c>
      <c r="B19" s="7" t="s">
        <v>332</v>
      </c>
      <c r="C19" s="7" t="s">
        <v>79</v>
      </c>
      <c r="D19" s="7" t="s">
        <v>223</v>
      </c>
    </row>
    <row r="20" spans="1:4" s="8" customFormat="1" ht="12.75" customHeight="1" x14ac:dyDescent="0.25">
      <c r="A20" s="35">
        <v>2300</v>
      </c>
      <c r="B20" s="7" t="s">
        <v>113</v>
      </c>
      <c r="C20" s="7" t="s">
        <v>79</v>
      </c>
      <c r="D20" s="7" t="s">
        <v>223</v>
      </c>
    </row>
    <row r="21" spans="1:4" s="8" customFormat="1" x14ac:dyDescent="0.25">
      <c r="A21" s="36"/>
      <c r="B21" s="7"/>
      <c r="C21" s="7"/>
      <c r="D21" s="7"/>
    </row>
    <row r="22" spans="1:4" s="8" customFormat="1" x14ac:dyDescent="0.25">
      <c r="A22" s="36" t="s">
        <v>224</v>
      </c>
      <c r="B22" s="7"/>
      <c r="C22" s="7"/>
      <c r="D22" s="7"/>
    </row>
    <row r="23" spans="1:4" s="8" customFormat="1" x14ac:dyDescent="0.25">
      <c r="A23" s="35" t="s">
        <v>249</v>
      </c>
      <c r="B23" s="7" t="s">
        <v>333</v>
      </c>
      <c r="C23" s="7" t="s">
        <v>227</v>
      </c>
      <c r="D23" s="7" t="s">
        <v>334</v>
      </c>
    </row>
    <row r="24" spans="1:4" s="8" customFormat="1" x14ac:dyDescent="0.25">
      <c r="A24" s="36"/>
      <c r="B24" s="7"/>
      <c r="C24" s="7"/>
      <c r="D24" s="7"/>
    </row>
    <row r="25" spans="1:4" s="8" customFormat="1" x14ac:dyDescent="0.25">
      <c r="A25" s="36" t="s">
        <v>237</v>
      </c>
      <c r="B25" s="7"/>
      <c r="C25" s="7"/>
      <c r="D25" s="7"/>
    </row>
    <row r="26" spans="1:4" s="8" customFormat="1" x14ac:dyDescent="0.25">
      <c r="A26" s="35" t="s">
        <v>335</v>
      </c>
      <c r="B26" s="7" t="s">
        <v>336</v>
      </c>
      <c r="C26" s="7" t="s">
        <v>68</v>
      </c>
      <c r="D26" s="7" t="s">
        <v>337</v>
      </c>
    </row>
    <row r="27" spans="1:4" s="8" customFormat="1" x14ac:dyDescent="0.25">
      <c r="A27" s="35" t="s">
        <v>338</v>
      </c>
      <c r="B27" s="7" t="s">
        <v>339</v>
      </c>
      <c r="C27" s="7" t="s">
        <v>227</v>
      </c>
      <c r="D27" s="7" t="s">
        <v>99</v>
      </c>
    </row>
    <row r="28" spans="1:4" s="8" customFormat="1" x14ac:dyDescent="0.25">
      <c r="A28" s="35"/>
      <c r="B28" s="7"/>
      <c r="C28" s="7"/>
      <c r="D28" s="7"/>
    </row>
    <row r="29" spans="1:4" s="8" customFormat="1" x14ac:dyDescent="0.25">
      <c r="A29" s="36" t="s">
        <v>340</v>
      </c>
      <c r="B29" s="7"/>
      <c r="C29" s="7"/>
      <c r="D29" s="7"/>
    </row>
    <row r="30" spans="1:4" s="8" customFormat="1" x14ac:dyDescent="0.25">
      <c r="A30" s="35" t="s">
        <v>341</v>
      </c>
      <c r="B30" s="7" t="s">
        <v>342</v>
      </c>
      <c r="C30" s="7" t="s">
        <v>343</v>
      </c>
      <c r="D30" s="7" t="s">
        <v>78</v>
      </c>
    </row>
    <row r="31" spans="1:4" s="8" customFormat="1" x14ac:dyDescent="0.25">
      <c r="A31" s="35" t="s">
        <v>335</v>
      </c>
      <c r="B31" s="7" t="s">
        <v>344</v>
      </c>
      <c r="C31" s="7" t="s">
        <v>227</v>
      </c>
      <c r="D31" s="7" t="s">
        <v>345</v>
      </c>
    </row>
    <row r="32" spans="1:4" s="8" customFormat="1" x14ac:dyDescent="0.25">
      <c r="A32" s="35" t="s">
        <v>11</v>
      </c>
      <c r="B32" s="7" t="s">
        <v>346</v>
      </c>
      <c r="C32" s="7" t="s">
        <v>216</v>
      </c>
      <c r="D32" s="7" t="s">
        <v>99</v>
      </c>
    </row>
    <row r="33" spans="1:6" s="8" customFormat="1" x14ac:dyDescent="0.25">
      <c r="A33" s="35" t="s">
        <v>338</v>
      </c>
      <c r="B33" s="7" t="s">
        <v>347</v>
      </c>
      <c r="C33" s="7" t="s">
        <v>227</v>
      </c>
      <c r="D33" s="7" t="s">
        <v>345</v>
      </c>
    </row>
    <row r="34" spans="1:6" s="8" customFormat="1" x14ac:dyDescent="0.25">
      <c r="A34" s="35" t="s">
        <v>13</v>
      </c>
      <c r="B34" s="7" t="s">
        <v>348</v>
      </c>
      <c r="C34" s="7" t="s">
        <v>343</v>
      </c>
      <c r="D34" s="7"/>
    </row>
    <row r="35" spans="1:6" s="8" customFormat="1" x14ac:dyDescent="0.25">
      <c r="A35" s="36"/>
      <c r="B35" s="7"/>
      <c r="C35" s="7"/>
      <c r="D35" s="7"/>
    </row>
    <row r="36" spans="1:6" s="8" customFormat="1" x14ac:dyDescent="0.25">
      <c r="A36" s="36" t="s">
        <v>303</v>
      </c>
      <c r="B36" s="7"/>
      <c r="C36" s="7"/>
      <c r="D36" s="7"/>
    </row>
    <row r="37" spans="1:6" s="8" customFormat="1" x14ac:dyDescent="0.25">
      <c r="A37" s="35" t="s">
        <v>335</v>
      </c>
      <c r="B37" s="7" t="s">
        <v>349</v>
      </c>
      <c r="C37" s="7" t="s">
        <v>350</v>
      </c>
      <c r="D37" s="7" t="s">
        <v>351</v>
      </c>
    </row>
    <row r="38" spans="1:6" s="8" customFormat="1" x14ac:dyDescent="0.25">
      <c r="A38" s="35" t="s">
        <v>338</v>
      </c>
      <c r="B38" s="7" t="s">
        <v>352</v>
      </c>
      <c r="C38" s="7" t="s">
        <v>350</v>
      </c>
      <c r="D38" s="7" t="s">
        <v>353</v>
      </c>
    </row>
    <row r="39" spans="1:6" s="8" customFormat="1" x14ac:dyDescent="0.25">
      <c r="A39" s="37"/>
      <c r="B39" s="6"/>
      <c r="C39" s="6"/>
      <c r="D39" s="6"/>
    </row>
    <row r="40" spans="1:6" s="8" customFormat="1" x14ac:dyDescent="0.25">
      <c r="A40" s="26" t="s">
        <v>255</v>
      </c>
      <c r="B40" s="9"/>
      <c r="C40" s="9"/>
      <c r="D40" s="9"/>
    </row>
    <row r="41" spans="1:6" s="8" customFormat="1" ht="3.75" customHeight="1" x14ac:dyDescent="0.25">
      <c r="A41" s="37"/>
      <c r="B41" s="6"/>
      <c r="C41" s="6"/>
      <c r="D41" s="6"/>
    </row>
    <row r="42" spans="1:6" s="8" customFormat="1" x14ac:dyDescent="0.25">
      <c r="A42" s="40" t="s">
        <v>354</v>
      </c>
      <c r="B42" s="58" t="s">
        <v>355</v>
      </c>
      <c r="C42" s="58" t="s">
        <v>63</v>
      </c>
      <c r="D42" s="52" t="s">
        <v>103</v>
      </c>
      <c r="E42" s="45"/>
      <c r="F42" s="44"/>
    </row>
    <row r="43" spans="1:6" s="8" customFormat="1" ht="12.75" customHeight="1" x14ac:dyDescent="0.25">
      <c r="A43" s="22"/>
      <c r="B43" s="10"/>
      <c r="C43" s="10"/>
      <c r="D43" s="11"/>
    </row>
    <row r="44" spans="1:6" s="8" customFormat="1" x14ac:dyDescent="0.25">
      <c r="A44" s="26" t="s">
        <v>270</v>
      </c>
      <c r="B44" s="5"/>
      <c r="C44" s="5"/>
      <c r="D44" s="5"/>
    </row>
    <row r="45" spans="1:6" s="8" customFormat="1" ht="3.75" customHeight="1" x14ac:dyDescent="0.25">
      <c r="A45" s="38"/>
      <c r="B45" s="12"/>
      <c r="C45" s="12"/>
      <c r="D45" s="12"/>
    </row>
    <row r="46" spans="1:6" s="8" customFormat="1" x14ac:dyDescent="0.25">
      <c r="A46" s="52" t="s">
        <v>356</v>
      </c>
      <c r="B46" s="52" t="s">
        <v>357</v>
      </c>
      <c r="C46" s="7" t="s">
        <v>227</v>
      </c>
      <c r="D46" s="52" t="s">
        <v>103</v>
      </c>
      <c r="E46" s="45" t="s">
        <v>316</v>
      </c>
      <c r="F46" s="44"/>
    </row>
    <row r="47" spans="1:6" s="8" customFormat="1" x14ac:dyDescent="0.25">
      <c r="A47" s="22"/>
      <c r="B47" s="10"/>
      <c r="C47" s="10"/>
      <c r="D47" s="11"/>
    </row>
    <row r="48" spans="1:6" s="8" customFormat="1" x14ac:dyDescent="0.25">
      <c r="A48" s="26" t="s">
        <v>273</v>
      </c>
      <c r="B48" s="5"/>
      <c r="C48" s="5"/>
      <c r="D48" s="5"/>
    </row>
    <row r="49" spans="1:4" s="8" customFormat="1" ht="3.75" customHeight="1" x14ac:dyDescent="0.25">
      <c r="A49" s="37"/>
      <c r="B49" s="12"/>
      <c r="C49" s="12"/>
      <c r="D49" s="12"/>
    </row>
    <row r="50" spans="1:4" s="8" customFormat="1" x14ac:dyDescent="0.25">
      <c r="A50" s="35" t="s">
        <v>274</v>
      </c>
      <c r="B50" s="7" t="s">
        <v>275</v>
      </c>
      <c r="C50" s="53" t="s">
        <v>58</v>
      </c>
      <c r="D50" s="17" t="s">
        <v>276</v>
      </c>
    </row>
    <row r="51" spans="1:4" s="8" customFormat="1" x14ac:dyDescent="0.25">
      <c r="A51" s="40" t="s">
        <v>277</v>
      </c>
      <c r="B51" s="51" t="s">
        <v>38</v>
      </c>
      <c r="C51" s="17" t="str">
        <f>Einstellungen!$K$35</f>
        <v>Lt Christophe Lopez-Polo</v>
      </c>
      <c r="D51" s="17" t="s">
        <v>276</v>
      </c>
    </row>
    <row r="52" spans="1:4" s="8" customFormat="1" x14ac:dyDescent="0.25">
      <c r="A52" s="40" t="s">
        <v>249</v>
      </c>
      <c r="B52" s="13" t="s">
        <v>278</v>
      </c>
      <c r="C52" s="17" t="str">
        <f>VLOOKUP(Einstellungen!$C$6+$N$2-1,Tagesof[#Data],2)</f>
        <v>Lt Köchli</v>
      </c>
      <c r="D52" s="17" t="s">
        <v>276</v>
      </c>
    </row>
    <row r="53" spans="1:4" s="8" customFormat="1" x14ac:dyDescent="0.25">
      <c r="A53" s="52" t="s">
        <v>274</v>
      </c>
      <c r="B53" s="35" t="s">
        <v>279</v>
      </c>
      <c r="C53" s="17" t="s">
        <v>276</v>
      </c>
      <c r="D53" s="17" t="s">
        <v>276</v>
      </c>
    </row>
    <row r="54" spans="1:4" s="8" customFormat="1" x14ac:dyDescent="0.25">
      <c r="A54" s="35"/>
      <c r="B54" s="7"/>
      <c r="C54" s="7"/>
      <c r="D54" s="14"/>
    </row>
    <row r="55" spans="1:4" s="8" customFormat="1" x14ac:dyDescent="0.25">
      <c r="A55" s="35"/>
      <c r="B55" s="15"/>
      <c r="C55" s="7"/>
      <c r="D55" s="7" t="s">
        <v>280</v>
      </c>
    </row>
    <row r="56" spans="1:4" s="8" customFormat="1" x14ac:dyDescent="0.25">
      <c r="A56" s="28"/>
      <c r="B56" s="12"/>
      <c r="C56" s="49" t="s">
        <v>3</v>
      </c>
      <c r="D56" s="12" t="s">
        <v>281</v>
      </c>
    </row>
    <row r="57" spans="1:4" s="8" customFormat="1" x14ac:dyDescent="0.25">
      <c r="A57" s="29"/>
      <c r="B57" s="16"/>
      <c r="C57" s="17"/>
      <c r="D57" s="16"/>
    </row>
    <row r="58" spans="1:4" s="8" customFormat="1" x14ac:dyDescent="0.25">
      <c r="A58" s="11"/>
      <c r="B58" s="16"/>
      <c r="C58" s="14"/>
      <c r="D58" s="16"/>
    </row>
    <row r="59" spans="1:4" s="8" customFormat="1" x14ac:dyDescent="0.25">
      <c r="B59" s="16"/>
      <c r="C59" s="3"/>
      <c r="D59" s="16"/>
    </row>
    <row r="60" spans="1:4" s="8" customFormat="1" x14ac:dyDescent="0.25">
      <c r="A60" s="28"/>
      <c r="B60" s="16"/>
      <c r="C60" s="23" t="s">
        <v>42</v>
      </c>
      <c r="D60" s="16" t="s">
        <v>282</v>
      </c>
    </row>
    <row r="61" spans="1:4" s="8" customFormat="1" x14ac:dyDescent="0.25">
      <c r="A61" s="29"/>
      <c r="B61" s="16"/>
      <c r="C61" s="18" t="s">
        <v>79</v>
      </c>
      <c r="D61" s="16" t="s">
        <v>68</v>
      </c>
    </row>
    <row r="62" spans="1:4" s="8" customFormat="1" x14ac:dyDescent="0.25">
      <c r="A62" s="29"/>
      <c r="B62" s="16"/>
      <c r="C62" s="18"/>
      <c r="D62" s="60"/>
    </row>
    <row r="63" spans="1:4" s="8" customFormat="1" x14ac:dyDescent="0.25">
      <c r="A63" s="41"/>
      <c r="B63" s="16"/>
      <c r="C63" s="16"/>
      <c r="D63" s="16"/>
    </row>
    <row r="64" spans="1:4" s="8" customFormat="1" x14ac:dyDescent="0.25">
      <c r="A64" s="41"/>
      <c r="B64" s="16"/>
      <c r="C64" s="16"/>
      <c r="D64" s="16"/>
    </row>
    <row r="65" spans="1:4" s="8" customFormat="1" x14ac:dyDescent="0.25">
      <c r="A65" s="28" t="s">
        <v>283</v>
      </c>
      <c r="B65" s="16"/>
      <c r="C65" s="16"/>
      <c r="D65" s="16"/>
    </row>
    <row r="66" spans="1:4" s="8" customFormat="1" x14ac:dyDescent="0.25">
      <c r="A66" s="29" t="s">
        <v>284</v>
      </c>
      <c r="B66" s="16"/>
      <c r="C66" s="19"/>
      <c r="D66" s="16"/>
    </row>
    <row r="67" spans="1:4" s="8" customFormat="1" x14ac:dyDescent="0.25">
      <c r="A67" s="11" t="s">
        <v>285</v>
      </c>
      <c r="B67" s="16"/>
      <c r="C67" s="16"/>
      <c r="D67" s="16"/>
    </row>
    <row r="68" spans="1:4" s="8" customFormat="1" x14ac:dyDescent="0.25">
      <c r="B68" s="16"/>
      <c r="C68" s="16"/>
      <c r="D68" s="16"/>
    </row>
    <row r="69" spans="1:4" s="8" customFormat="1" x14ac:dyDescent="0.25">
      <c r="A69" s="28" t="s">
        <v>286</v>
      </c>
      <c r="B69" s="17"/>
      <c r="C69" s="17"/>
      <c r="D69" s="17"/>
    </row>
    <row r="70" spans="1:4" s="8" customFormat="1" x14ac:dyDescent="0.25">
      <c r="A70" s="29" t="s">
        <v>287</v>
      </c>
      <c r="B70" s="17"/>
      <c r="C70" s="17"/>
      <c r="D70" s="17"/>
    </row>
    <row r="71" spans="1:4" s="8" customFormat="1" x14ac:dyDescent="0.25">
      <c r="A71" s="43"/>
      <c r="B71" s="17"/>
      <c r="C71" s="17"/>
      <c r="D71" s="17"/>
    </row>
    <row r="72" spans="1:4" s="8" customFormat="1" x14ac:dyDescent="0.25">
      <c r="A72" s="42"/>
      <c r="B72" s="17"/>
      <c r="C72" s="17"/>
      <c r="D72" s="17"/>
    </row>
    <row r="73" spans="1:4" s="8" customFormat="1" x14ac:dyDescent="0.25">
      <c r="A73" s="39"/>
      <c r="B73" s="3"/>
      <c r="C73" s="3"/>
      <c r="D73" s="3"/>
    </row>
    <row r="74" spans="1:4" s="8" customFormat="1" x14ac:dyDescent="0.25">
      <c r="A74" s="39"/>
      <c r="B74" s="3"/>
      <c r="C74" s="3"/>
      <c r="D74" s="3"/>
    </row>
    <row r="75" spans="1:4" s="8" customFormat="1" x14ac:dyDescent="0.25">
      <c r="A75" s="39"/>
      <c r="B75" s="3"/>
      <c r="C75" s="3"/>
      <c r="D75" s="3"/>
    </row>
    <row r="76" spans="1:4" s="8" customFormat="1" x14ac:dyDescent="0.25">
      <c r="A76" s="39"/>
      <c r="B76" s="3"/>
      <c r="C76" s="3"/>
      <c r="D76" s="3"/>
    </row>
    <row r="77" spans="1:4" s="8" customFormat="1" x14ac:dyDescent="0.25">
      <c r="A77" s="39"/>
      <c r="B77" s="3"/>
      <c r="C77" s="3"/>
      <c r="D77" s="3"/>
    </row>
    <row r="78" spans="1:4" s="8" customFormat="1" x14ac:dyDescent="0.25">
      <c r="A78" s="39"/>
      <c r="B78" s="3"/>
      <c r="C78" s="3"/>
      <c r="D78" s="3"/>
    </row>
    <row r="79" spans="1:4" s="8" customFormat="1" x14ac:dyDescent="0.25">
      <c r="A79" s="39"/>
      <c r="B79" s="3"/>
      <c r="C79" s="3"/>
      <c r="D79" s="3"/>
    </row>
    <row r="80" spans="1:4" s="8" customFormat="1" x14ac:dyDescent="0.25">
      <c r="A80" s="39"/>
      <c r="B80" s="3"/>
      <c r="C80" s="3"/>
      <c r="D80" s="3"/>
    </row>
    <row r="81" spans="1:4" s="8" customFormat="1" x14ac:dyDescent="0.25">
      <c r="A81" s="39"/>
      <c r="B81" s="3"/>
      <c r="C81" s="3"/>
      <c r="D81" s="3"/>
    </row>
    <row r="82" spans="1:4" s="8" customFormat="1" ht="12" customHeight="1" x14ac:dyDescent="0.25">
      <c r="A82" s="39"/>
      <c r="B82" s="3"/>
      <c r="C82" s="3"/>
      <c r="D82" s="3"/>
    </row>
    <row r="83" spans="1:4" s="8" customFormat="1" x14ac:dyDescent="0.25">
      <c r="A83" s="39"/>
      <c r="B83" s="3"/>
      <c r="C83" s="3"/>
      <c r="D83" s="3"/>
    </row>
    <row r="84" spans="1:4" s="8" customFormat="1" x14ac:dyDescent="0.25">
      <c r="A84" s="39"/>
      <c r="B84" s="3"/>
      <c r="C84" s="3"/>
      <c r="D84" s="3"/>
    </row>
    <row r="85" spans="1:4" s="8" customFormat="1" x14ac:dyDescent="0.25">
      <c r="A85" s="39"/>
      <c r="B85" s="3"/>
      <c r="C85" s="3"/>
      <c r="D85" s="3"/>
    </row>
    <row r="86" spans="1:4" s="8" customFormat="1" x14ac:dyDescent="0.25">
      <c r="A86" s="39"/>
      <c r="B86" s="3"/>
      <c r="C86" s="3"/>
      <c r="D86" s="3"/>
    </row>
    <row r="87" spans="1:4" s="8" customFormat="1" x14ac:dyDescent="0.25">
      <c r="A87" s="39"/>
      <c r="B87" s="3"/>
      <c r="C87" s="3"/>
      <c r="D87" s="3"/>
    </row>
    <row r="88" spans="1:4" s="8" customFormat="1" x14ac:dyDescent="0.25">
      <c r="A88" s="39"/>
      <c r="B88" s="3"/>
      <c r="C88" s="3"/>
      <c r="D88" s="3"/>
    </row>
    <row r="89" spans="1:4" ht="7.5" customHeight="1" x14ac:dyDescent="0.25"/>
    <row r="91" spans="1:4" ht="7.5" customHeight="1" x14ac:dyDescent="0.25"/>
    <row r="92" spans="1:4" s="8" customFormat="1" x14ac:dyDescent="0.25">
      <c r="A92" s="39"/>
      <c r="B92" s="3"/>
      <c r="C92" s="3"/>
      <c r="D92" s="3"/>
    </row>
    <row r="93" spans="1:4" s="8" customFormat="1" x14ac:dyDescent="0.25">
      <c r="A93" s="39"/>
      <c r="B93" s="3"/>
      <c r="C93" s="3"/>
      <c r="D93" s="3"/>
    </row>
    <row r="94" spans="1:4" s="8" customFormat="1" ht="11.25" customHeight="1" x14ac:dyDescent="0.25">
      <c r="A94" s="39"/>
      <c r="B94" s="3"/>
      <c r="C94" s="3"/>
      <c r="D94" s="3"/>
    </row>
    <row r="95" spans="1:4" ht="7.5" customHeight="1" x14ac:dyDescent="0.25"/>
    <row r="97" spans="1:4" ht="7.5" customHeight="1" x14ac:dyDescent="0.25"/>
    <row r="98" spans="1:4" ht="7.5" customHeight="1" x14ac:dyDescent="0.25"/>
    <row r="99" spans="1:4" s="8" customFormat="1" x14ac:dyDescent="0.25">
      <c r="A99" s="39"/>
      <c r="B99" s="3"/>
      <c r="C99" s="3"/>
      <c r="D99" s="3"/>
    </row>
    <row r="100" spans="1:4" s="8" customFormat="1" x14ac:dyDescent="0.25">
      <c r="A100" s="39"/>
      <c r="B100" s="3"/>
      <c r="C100" s="3"/>
      <c r="D100" s="3"/>
    </row>
    <row r="101" spans="1:4" s="1" customFormat="1" ht="7.5" customHeight="1" x14ac:dyDescent="0.25">
      <c r="A101" s="39"/>
      <c r="B101" s="3"/>
      <c r="C101" s="3"/>
      <c r="D101" s="3"/>
    </row>
    <row r="102" spans="1:4" s="1" customFormat="1" x14ac:dyDescent="0.25">
      <c r="A102" s="39"/>
      <c r="B102" s="3"/>
      <c r="C102" s="3"/>
      <c r="D102" s="3"/>
    </row>
    <row r="103" spans="1:4" s="1" customFormat="1" ht="7.5" customHeight="1" x14ac:dyDescent="0.25">
      <c r="A103" s="39"/>
      <c r="B103" s="3"/>
      <c r="C103" s="3"/>
      <c r="D103" s="3"/>
    </row>
    <row r="106" spans="1:4" s="8" customFormat="1" x14ac:dyDescent="0.25">
      <c r="A106" s="39"/>
      <c r="B106" s="3"/>
      <c r="C106" s="3"/>
      <c r="D106" s="3"/>
    </row>
    <row r="107" spans="1:4" s="8" customFormat="1" x14ac:dyDescent="0.25">
      <c r="A107" s="39"/>
      <c r="B107" s="3"/>
      <c r="C107" s="3"/>
      <c r="D107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99" priority="1" operator="equal">
      <formula>"Verworfen"</formula>
    </cfRule>
    <cfRule type="cellIs" dxfId="98" priority="2" operator="equal">
      <formula>"Genehmigt durch Kdt"</formula>
    </cfRule>
    <cfRule type="cellIs" dxfId="97" priority="3" operator="equal">
      <formula>"Bereit für Kdt"</formula>
    </cfRule>
    <cfRule type="cellIs" dxfId="96" priority="4" operator="equal">
      <formula>"Entwurf"</formula>
    </cfRule>
  </conditionalFormatting>
  <dataValidations count="8">
    <dataValidation type="list" allowBlank="1" showInputMessage="1" showErrorMessage="1" sqref="A7" xr:uid="{00000000-0002-0000-0200-000000000000}">
      <formula1>Landkarten</formula1>
    </dataValidation>
    <dataValidation type="list" allowBlank="1" showInputMessage="1" showErrorMessage="1" sqref="A57 A61:A62 A66 A70" xr:uid="{5910BD98-F4DA-43AF-969C-F7B0ABA1D4C7}">
      <formula1>Verteiler</formula1>
    </dataValidation>
    <dataValidation type="list" allowBlank="1" showInputMessage="1" showErrorMessage="1" sqref="C60" xr:uid="{00000000-0002-0000-0200-000004000000}">
      <formula1>WerUnterschrift</formula1>
    </dataValidation>
    <dataValidation type="list" allowBlank="1" showInputMessage="1" showErrorMessage="1" sqref="D5" xr:uid="{00000000-0002-0000-0200-000005000000}">
      <formula1>ENTWURF</formula1>
    </dataValidation>
    <dataValidation type="list" allowBlank="1" showInputMessage="1" showErrorMessage="1" sqref="C61:C62" xr:uid="{00000000-0002-0000-0200-000006000000}">
      <formula1>VerantwortungTgbf</formula1>
    </dataValidation>
    <dataValidation type="list" allowBlank="1" showInputMessage="1" sqref="D47:D49 D54 D43:D45 D17:D20 D39:D41" xr:uid="{00000000-0002-0000-0200-000007000000}">
      <formula1>Räumlichkeiten</formula1>
    </dataValidation>
    <dataValidation type="list" showInputMessage="1" sqref="C47 C43:C45 C39:C41" xr:uid="{00000000-0002-0000-0200-00000B000000}">
      <formula1>Verantwortung</formula1>
    </dataValidation>
    <dataValidation type="list" showInputMessage="1" sqref="B39:B41 B17 B19:B20" xr:uid="{00000000-0002-0000-0200-00000A000000}">
      <formula1>Tätigkeiten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2" manualBreakCount="2">
    <brk id="43" max="3" man="1"/>
    <brk id="70" max="3" man="1"/>
  </rowBreaks>
  <colBreaks count="1" manualBreakCount="1">
    <brk id="1" max="77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930A155-7013-4A63-8EDE-EEA6E5D8CC29}">
          <x14:formula1>
            <xm:f>Einstellungen!$N$71:$N$74</xm:f>
          </x14:formula1>
          <xm:sqref>G1</xm:sqref>
        </x14:dataValidation>
        <x14:dataValidation type="list" allowBlank="1" showInputMessage="1" xr:uid="{EE26CD10-A662-4EF2-98F1-57BB4C0DA6B8}">
          <x14:formula1>
            <xm:f>Einstellungen!$B$71:$B$84</xm:f>
          </x14:formula1>
          <xm:sqref>B13 B18 B21:B38</xm:sqref>
        </x14:dataValidation>
        <x14:dataValidation type="list" allowBlank="1" showInputMessage="1" xr:uid="{9116EAFD-CD72-4C81-90BB-FD583C0E2975}">
          <x14:formula1>
            <xm:f>Einstellungen!$H$71:$H$86</xm:f>
          </x14:formula1>
          <xm:sqref>D13 D21:D38</xm:sqref>
        </x14:dataValidation>
        <x14:dataValidation type="list" allowBlank="1" showInputMessage="1" xr:uid="{F6E62FC1-30EF-4733-B92E-1691175CF1C9}">
          <x14:formula1>
            <xm:f>Einstellungen!$K$71:$K$75</xm:f>
          </x14:formula1>
          <xm:sqref>C13:C38 C46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8" tint="0.59999389629810485"/>
    <pageSetUpPr fitToPage="1"/>
  </sheetPr>
  <dimension ref="A1:O125"/>
  <sheetViews>
    <sheetView showGridLines="0" view="pageBreakPreview" topLeftCell="A26" zoomScale="130" zoomScaleNormal="100" zoomScaleSheetLayoutView="130" workbookViewId="0">
      <selection activeCell="A14" sqref="A14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5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5" ht="18" customHeight="1" x14ac:dyDescent="0.3">
      <c r="A2" s="32" t="s">
        <v>207</v>
      </c>
      <c r="B2" s="1"/>
      <c r="C2" s="1"/>
      <c r="D2" s="48" t="str">
        <f>IF(EXACT($G$1,"Genehmigt durch Kdt"),"","PROVISORISCH")</f>
        <v>PROVISORISCH</v>
      </c>
      <c r="N2" s="42">
        <v>4</v>
      </c>
      <c r="O2" s="42"/>
    </row>
    <row r="3" spans="1:15" ht="13.8" x14ac:dyDescent="0.25">
      <c r="A3" s="274" t="s">
        <v>208</v>
      </c>
      <c r="B3" s="275"/>
      <c r="C3" s="275"/>
      <c r="D3" s="275"/>
    </row>
    <row r="4" spans="1:15" ht="4.5" customHeight="1" x14ac:dyDescent="0.25">
      <c r="A4" s="31"/>
      <c r="B4" s="1"/>
      <c r="C4" s="1"/>
      <c r="D4" s="1"/>
    </row>
    <row r="5" spans="1:15" x14ac:dyDescent="0.25">
      <c r="A5" s="31"/>
      <c r="B5" s="1"/>
      <c r="C5" s="1"/>
      <c r="D5" s="4"/>
    </row>
    <row r="6" spans="1:15" ht="15.6" x14ac:dyDescent="0.3">
      <c r="A6" s="276" t="str">
        <f>"Tagesbefehl Nr " &amp; $N$2 &amp; " für " &amp; UPPER(TEXT($N$2+1,"[$-407]dddd")) &amp; ", " &amp; TEXT(Einstellungen!C6+$N$2-1,"DD.MM.YYYY")</f>
        <v>Tagesbefehl Nr 4 für DONNERSTAG, 24.09.2026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5" x14ac:dyDescent="0.25">
      <c r="A7" s="33"/>
      <c r="B7" s="1"/>
      <c r="C7" s="20" t="s">
        <v>209</v>
      </c>
      <c r="D7" s="21">
        <v>1</v>
      </c>
    </row>
    <row r="8" spans="1:15" x14ac:dyDescent="0.25">
      <c r="A8" s="31"/>
      <c r="B8" s="1"/>
      <c r="C8" s="20" t="s">
        <v>210</v>
      </c>
      <c r="D8" s="21" t="s">
        <v>58</v>
      </c>
    </row>
    <row r="9" spans="1:15" x14ac:dyDescent="0.25">
      <c r="A9" s="31"/>
      <c r="B9" s="1"/>
      <c r="C9" s="20"/>
      <c r="D9" s="4"/>
    </row>
    <row r="10" spans="1:15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5" x14ac:dyDescent="0.25">
      <c r="A11" s="34" t="s">
        <v>213</v>
      </c>
      <c r="B11" s="5"/>
      <c r="C11" s="5"/>
      <c r="D11" s="5"/>
    </row>
    <row r="12" spans="1:15" s="8" customFormat="1" ht="3.75" customHeight="1" x14ac:dyDescent="0.25">
      <c r="A12" s="35"/>
      <c r="B12" s="7"/>
      <c r="C12" s="7"/>
      <c r="D12" s="7"/>
    </row>
    <row r="13" spans="1:15" s="8" customFormat="1" x14ac:dyDescent="0.25">
      <c r="A13" s="36" t="s">
        <v>214</v>
      </c>
      <c r="B13" s="7"/>
      <c r="C13" s="7"/>
      <c r="D13" s="7"/>
    </row>
    <row r="14" spans="1:15" s="8" customFormat="1" x14ac:dyDescent="0.25">
      <c r="A14" s="61" t="s">
        <v>7</v>
      </c>
      <c r="B14" s="58" t="s">
        <v>76</v>
      </c>
      <c r="C14" s="7" t="s">
        <v>79</v>
      </c>
      <c r="D14" s="58" t="s">
        <v>223</v>
      </c>
    </row>
    <row r="15" spans="1:15" s="8" customFormat="1" x14ac:dyDescent="0.25">
      <c r="A15" s="40" t="s">
        <v>329</v>
      </c>
      <c r="B15" s="58" t="s">
        <v>81</v>
      </c>
      <c r="C15" s="7" t="s">
        <v>216</v>
      </c>
      <c r="D15" s="58" t="s">
        <v>92</v>
      </c>
    </row>
    <row r="16" spans="1:15" s="8" customFormat="1" x14ac:dyDescent="0.25">
      <c r="A16" s="61" t="s">
        <v>330</v>
      </c>
      <c r="B16" s="58" t="s">
        <v>290</v>
      </c>
      <c r="C16" s="7" t="s">
        <v>220</v>
      </c>
      <c r="D16" s="58" t="s">
        <v>291</v>
      </c>
    </row>
    <row r="17" spans="1:4" s="8" customFormat="1" x14ac:dyDescent="0.25">
      <c r="A17" s="35" t="s">
        <v>11</v>
      </c>
      <c r="B17" s="7" t="s">
        <v>98</v>
      </c>
      <c r="C17" s="7" t="s">
        <v>216</v>
      </c>
      <c r="D17" s="7" t="s">
        <v>92</v>
      </c>
    </row>
    <row r="18" spans="1:4" s="8" customFormat="1" x14ac:dyDescent="0.25">
      <c r="A18" s="35" t="s">
        <v>338</v>
      </c>
      <c r="B18" s="7" t="s">
        <v>358</v>
      </c>
      <c r="C18" s="7" t="s">
        <v>79</v>
      </c>
      <c r="D18" s="7" t="s">
        <v>99</v>
      </c>
    </row>
    <row r="19" spans="1:4" s="8" customFormat="1" x14ac:dyDescent="0.25">
      <c r="A19" s="35" t="s">
        <v>13</v>
      </c>
      <c r="B19" s="7" t="s">
        <v>100</v>
      </c>
      <c r="C19" s="7" t="s">
        <v>216</v>
      </c>
      <c r="D19" s="7" t="s">
        <v>92</v>
      </c>
    </row>
    <row r="20" spans="1:4" s="8" customFormat="1" x14ac:dyDescent="0.25">
      <c r="A20" s="35" t="s">
        <v>359</v>
      </c>
      <c r="B20" s="7" t="s">
        <v>358</v>
      </c>
      <c r="C20" s="7" t="s">
        <v>79</v>
      </c>
      <c r="D20" s="7" t="s">
        <v>99</v>
      </c>
    </row>
    <row r="21" spans="1:4" s="8" customFormat="1" x14ac:dyDescent="0.25">
      <c r="A21" s="35" t="s">
        <v>360</v>
      </c>
      <c r="B21" s="7" t="s">
        <v>361</v>
      </c>
      <c r="C21" s="7" t="s">
        <v>79</v>
      </c>
      <c r="D21" s="7" t="s">
        <v>92</v>
      </c>
    </row>
    <row r="22" spans="1:4" s="8" customFormat="1" ht="12.75" customHeight="1" x14ac:dyDescent="0.25">
      <c r="A22" s="35">
        <v>2300</v>
      </c>
      <c r="B22" s="7" t="s">
        <v>113</v>
      </c>
      <c r="C22" s="7" t="s">
        <v>79</v>
      </c>
      <c r="D22" s="7" t="s">
        <v>223</v>
      </c>
    </row>
    <row r="23" spans="1:4" s="8" customFormat="1" x14ac:dyDescent="0.25">
      <c r="A23" s="36"/>
      <c r="B23" s="7"/>
      <c r="C23" s="7"/>
      <c r="D23" s="7"/>
    </row>
    <row r="24" spans="1:4" s="8" customFormat="1" x14ac:dyDescent="0.25">
      <c r="A24" s="36" t="s">
        <v>224</v>
      </c>
      <c r="B24" s="7"/>
      <c r="C24" s="7"/>
      <c r="D24" s="7"/>
    </row>
    <row r="25" spans="1:4" s="8" customFormat="1" x14ac:dyDescent="0.25">
      <c r="A25" s="35" t="s">
        <v>362</v>
      </c>
      <c r="B25" s="7" t="s">
        <v>363</v>
      </c>
      <c r="C25" s="7" t="s">
        <v>227</v>
      </c>
      <c r="D25" s="7" t="s">
        <v>334</v>
      </c>
    </row>
    <row r="26" spans="1:4" s="8" customFormat="1" x14ac:dyDescent="0.25">
      <c r="A26" s="35" t="s">
        <v>364</v>
      </c>
      <c r="B26" s="7" t="s">
        <v>365</v>
      </c>
      <c r="C26" s="7" t="s">
        <v>315</v>
      </c>
      <c r="D26" s="7" t="s">
        <v>103</v>
      </c>
    </row>
    <row r="27" spans="1:4" s="8" customFormat="1" x14ac:dyDescent="0.25">
      <c r="A27" s="35" t="s">
        <v>359</v>
      </c>
      <c r="B27" s="7" t="s">
        <v>366</v>
      </c>
      <c r="C27" s="7" t="s">
        <v>227</v>
      </c>
      <c r="D27" s="7" t="s">
        <v>103</v>
      </c>
    </row>
    <row r="28" spans="1:4" s="8" customFormat="1" x14ac:dyDescent="0.25">
      <c r="A28" s="36"/>
      <c r="B28" s="7"/>
      <c r="C28" s="7"/>
      <c r="D28" s="7"/>
    </row>
    <row r="29" spans="1:4" s="8" customFormat="1" x14ac:dyDescent="0.25">
      <c r="A29" s="36" t="s">
        <v>237</v>
      </c>
      <c r="B29" s="7"/>
      <c r="C29" s="7"/>
      <c r="D29" s="7"/>
    </row>
    <row r="30" spans="1:4" s="8" customFormat="1" x14ac:dyDescent="0.25">
      <c r="A30" s="35" t="s">
        <v>335</v>
      </c>
      <c r="B30" s="7" t="s">
        <v>367</v>
      </c>
      <c r="C30" s="7" t="s">
        <v>68</v>
      </c>
      <c r="D30" s="7" t="s">
        <v>337</v>
      </c>
    </row>
    <row r="31" spans="1:4" s="8" customFormat="1" x14ac:dyDescent="0.25">
      <c r="A31" s="35"/>
      <c r="B31" s="7"/>
      <c r="C31" s="7"/>
      <c r="D31" s="7"/>
    </row>
    <row r="32" spans="1:4" s="8" customFormat="1" x14ac:dyDescent="0.25">
      <c r="A32" s="36" t="s">
        <v>303</v>
      </c>
      <c r="B32" s="7"/>
      <c r="C32" s="7"/>
      <c r="D32" s="7"/>
    </row>
    <row r="33" spans="1:4" s="8" customFormat="1" x14ac:dyDescent="0.25">
      <c r="A33" s="35" t="s">
        <v>368</v>
      </c>
      <c r="B33" s="123" t="s">
        <v>369</v>
      </c>
      <c r="C33" s="7" t="s">
        <v>370</v>
      </c>
      <c r="D33" s="7" t="s">
        <v>371</v>
      </c>
    </row>
    <row r="34" spans="1:4" s="8" customFormat="1" x14ac:dyDescent="0.25">
      <c r="A34" s="35"/>
      <c r="B34" s="7"/>
      <c r="C34" s="7"/>
      <c r="D34" s="7"/>
    </row>
    <row r="35" spans="1:4" s="8" customFormat="1" x14ac:dyDescent="0.25">
      <c r="A35" s="36" t="s">
        <v>372</v>
      </c>
      <c r="B35" s="7"/>
      <c r="C35" s="7"/>
      <c r="D35" s="7"/>
    </row>
    <row r="36" spans="1:4" s="8" customFormat="1" x14ac:dyDescent="0.25">
      <c r="A36" s="35" t="s">
        <v>368</v>
      </c>
      <c r="B36" s="7" t="s">
        <v>373</v>
      </c>
      <c r="C36" s="7" t="s">
        <v>374</v>
      </c>
      <c r="D36" s="7" t="s">
        <v>371</v>
      </c>
    </row>
    <row r="37" spans="1:4" s="8" customFormat="1" x14ac:dyDescent="0.25">
      <c r="A37" s="35"/>
      <c r="B37" s="7"/>
      <c r="C37" s="7"/>
      <c r="D37" s="7"/>
    </row>
    <row r="38" spans="1:4" s="8" customFormat="1" x14ac:dyDescent="0.25">
      <c r="A38" s="36" t="s">
        <v>375</v>
      </c>
      <c r="B38" s="7"/>
      <c r="C38" s="7"/>
      <c r="D38" s="7"/>
    </row>
    <row r="39" spans="1:4" s="8" customFormat="1" x14ac:dyDescent="0.25">
      <c r="A39" s="35" t="s">
        <v>368</v>
      </c>
      <c r="B39" s="7" t="s">
        <v>376</v>
      </c>
      <c r="C39" s="7" t="s">
        <v>377</v>
      </c>
      <c r="D39" s="7" t="s">
        <v>371</v>
      </c>
    </row>
    <row r="40" spans="1:4" s="8" customFormat="1" x14ac:dyDescent="0.25">
      <c r="A40" s="35"/>
      <c r="B40" s="7"/>
      <c r="C40" s="7"/>
      <c r="D40" s="7"/>
    </row>
    <row r="41" spans="1:4" s="8" customFormat="1" x14ac:dyDescent="0.25">
      <c r="A41" s="36" t="s">
        <v>378</v>
      </c>
      <c r="B41" s="7"/>
      <c r="C41" s="7"/>
      <c r="D41" s="7"/>
    </row>
    <row r="42" spans="1:4" s="8" customFormat="1" x14ac:dyDescent="0.25">
      <c r="A42" s="35" t="s">
        <v>368</v>
      </c>
      <c r="B42" s="7" t="s">
        <v>379</v>
      </c>
      <c r="C42" s="7" t="s">
        <v>380</v>
      </c>
      <c r="D42" s="7" t="s">
        <v>371</v>
      </c>
    </row>
    <row r="43" spans="1:4" s="8" customFormat="1" x14ac:dyDescent="0.25">
      <c r="A43" s="36"/>
      <c r="B43" s="7"/>
      <c r="C43" s="7"/>
      <c r="D43" s="7"/>
    </row>
    <row r="44" spans="1:4" s="8" customFormat="1" x14ac:dyDescent="0.25">
      <c r="A44" s="36" t="s">
        <v>381</v>
      </c>
      <c r="B44" s="7"/>
      <c r="C44" s="7"/>
      <c r="D44" s="7"/>
    </row>
    <row r="45" spans="1:4" s="8" customFormat="1" x14ac:dyDescent="0.25">
      <c r="A45" s="35" t="s">
        <v>368</v>
      </c>
      <c r="B45" s="123" t="s">
        <v>369</v>
      </c>
      <c r="C45" s="7" t="s">
        <v>370</v>
      </c>
      <c r="D45" s="7" t="s">
        <v>78</v>
      </c>
    </row>
    <row r="46" spans="1:4" s="8" customFormat="1" x14ac:dyDescent="0.25">
      <c r="A46" s="35"/>
      <c r="B46" s="7"/>
      <c r="C46" s="7"/>
      <c r="D46" s="7"/>
    </row>
    <row r="47" spans="1:4" s="8" customFormat="1" x14ac:dyDescent="0.25">
      <c r="A47" s="120" t="s">
        <v>382</v>
      </c>
      <c r="B47" s="7"/>
      <c r="C47" s="7"/>
      <c r="D47" s="7"/>
    </row>
    <row r="48" spans="1:4" s="8" customFormat="1" x14ac:dyDescent="0.25">
      <c r="A48" s="35" t="s">
        <v>368</v>
      </c>
      <c r="B48" s="7" t="s">
        <v>383</v>
      </c>
      <c r="C48" s="7" t="s">
        <v>384</v>
      </c>
      <c r="D48" s="7" t="s">
        <v>371</v>
      </c>
    </row>
    <row r="49" spans="1:6" s="8" customFormat="1" x14ac:dyDescent="0.25">
      <c r="A49" s="35" t="s">
        <v>368</v>
      </c>
      <c r="B49" s="7" t="s">
        <v>385</v>
      </c>
      <c r="C49" s="7" t="s">
        <v>374</v>
      </c>
      <c r="D49" s="7" t="s">
        <v>103</v>
      </c>
    </row>
    <row r="50" spans="1:6" s="8" customFormat="1" x14ac:dyDescent="0.25">
      <c r="A50" s="36"/>
      <c r="B50" s="7"/>
      <c r="C50" s="7"/>
      <c r="D50" s="7"/>
    </row>
    <row r="51" spans="1:6" s="8" customFormat="1" x14ac:dyDescent="0.25">
      <c r="A51" s="26" t="s">
        <v>255</v>
      </c>
      <c r="B51" s="9"/>
      <c r="C51" s="9"/>
      <c r="D51" s="9"/>
    </row>
    <row r="52" spans="1:6" s="8" customFormat="1" ht="3.75" customHeight="1" x14ac:dyDescent="0.25">
      <c r="A52" s="37"/>
      <c r="B52" s="6"/>
      <c r="C52" s="6"/>
      <c r="D52" s="6"/>
    </row>
    <row r="53" spans="1:6" s="8" customFormat="1" ht="12.75" customHeight="1" x14ac:dyDescent="0.25">
      <c r="A53" s="37" t="s">
        <v>356</v>
      </c>
      <c r="B53" s="6" t="s">
        <v>386</v>
      </c>
      <c r="C53" s="6" t="s">
        <v>343</v>
      </c>
      <c r="D53" s="6" t="s">
        <v>78</v>
      </c>
    </row>
    <row r="54" spans="1:6" s="8" customFormat="1" ht="22.8" x14ac:dyDescent="0.25">
      <c r="A54" s="37" t="s">
        <v>387</v>
      </c>
      <c r="B54" s="10" t="s">
        <v>388</v>
      </c>
      <c r="C54" s="124" t="s">
        <v>389</v>
      </c>
      <c r="D54" s="6" t="s">
        <v>239</v>
      </c>
    </row>
    <row r="55" spans="1:6" s="8" customFormat="1" x14ac:dyDescent="0.25">
      <c r="A55" s="37" t="s">
        <v>390</v>
      </c>
      <c r="B55" s="10" t="s">
        <v>391</v>
      </c>
      <c r="C55" s="49" t="s">
        <v>392</v>
      </c>
      <c r="D55" s="6" t="s">
        <v>393</v>
      </c>
    </row>
    <row r="56" spans="1:6" s="8" customFormat="1" x14ac:dyDescent="0.25">
      <c r="A56" s="7" t="s">
        <v>394</v>
      </c>
      <c r="B56" s="52" t="s">
        <v>395</v>
      </c>
      <c r="C56" s="6" t="s">
        <v>343</v>
      </c>
      <c r="D56" s="7" t="s">
        <v>371</v>
      </c>
      <c r="E56" s="45" t="s">
        <v>316</v>
      </c>
      <c r="F56" s="44"/>
    </row>
    <row r="57" spans="1:6" s="8" customFormat="1" x14ac:dyDescent="0.25">
      <c r="A57" s="7" t="s">
        <v>238</v>
      </c>
      <c r="B57" s="52" t="s">
        <v>396</v>
      </c>
      <c r="C57" s="7" t="s">
        <v>315</v>
      </c>
      <c r="D57" s="7" t="s">
        <v>397</v>
      </c>
      <c r="E57" s="45"/>
      <c r="F57" s="44"/>
    </row>
    <row r="58" spans="1:6" s="8" customFormat="1" x14ac:dyDescent="0.25">
      <c r="A58" s="67"/>
      <c r="B58" s="68"/>
      <c r="C58" s="67"/>
      <c r="D58" s="67"/>
      <c r="E58" s="45"/>
      <c r="F58" s="44"/>
    </row>
    <row r="59" spans="1:6" s="8" customFormat="1" ht="12.75" customHeight="1" x14ac:dyDescent="0.25">
      <c r="A59" s="22"/>
      <c r="B59" s="10"/>
      <c r="C59" s="10"/>
      <c r="D59" s="11"/>
    </row>
    <row r="60" spans="1:6" s="8" customFormat="1" x14ac:dyDescent="0.25">
      <c r="A60" s="26" t="s">
        <v>270</v>
      </c>
      <c r="B60" s="5"/>
      <c r="C60" s="5"/>
      <c r="D60" s="5"/>
    </row>
    <row r="61" spans="1:6" s="8" customFormat="1" ht="3.75" customHeight="1" x14ac:dyDescent="0.25">
      <c r="A61" s="38"/>
      <c r="B61" s="12"/>
      <c r="C61" s="12"/>
      <c r="D61" s="12"/>
    </row>
    <row r="62" spans="1:6" s="8" customFormat="1" ht="12.75" customHeight="1" x14ac:dyDescent="0.25">
      <c r="A62" s="37" t="s">
        <v>398</v>
      </c>
      <c r="B62" s="12" t="s">
        <v>272</v>
      </c>
      <c r="C62" s="12" t="s">
        <v>399</v>
      </c>
      <c r="D62" s="12" t="s">
        <v>103</v>
      </c>
    </row>
    <row r="63" spans="1:6" s="8" customFormat="1" x14ac:dyDescent="0.25">
      <c r="A63" s="62" t="s">
        <v>326</v>
      </c>
      <c r="B63" s="59" t="s">
        <v>327</v>
      </c>
      <c r="C63" s="59" t="s">
        <v>79</v>
      </c>
      <c r="D63" s="59" t="s">
        <v>328</v>
      </c>
      <c r="E63" s="45" t="s">
        <v>316</v>
      </c>
      <c r="F63" s="44"/>
    </row>
    <row r="64" spans="1:6" s="8" customFormat="1" x14ac:dyDescent="0.25">
      <c r="A64" s="62" t="s">
        <v>238</v>
      </c>
      <c r="B64" s="59" t="s">
        <v>400</v>
      </c>
      <c r="C64" s="59" t="s">
        <v>401</v>
      </c>
      <c r="D64" s="59" t="s">
        <v>239</v>
      </c>
      <c r="E64" s="45"/>
      <c r="F64" s="44"/>
    </row>
    <row r="65" spans="1:4" s="8" customFormat="1" x14ac:dyDescent="0.25">
      <c r="A65" s="22"/>
      <c r="B65" s="10"/>
      <c r="C65" s="10"/>
      <c r="D65" s="11"/>
    </row>
    <row r="66" spans="1:4" s="8" customFormat="1" x14ac:dyDescent="0.25">
      <c r="A66" s="26" t="s">
        <v>273</v>
      </c>
      <c r="B66" s="5"/>
      <c r="C66" s="5"/>
      <c r="D66" s="5"/>
    </row>
    <row r="67" spans="1:4" s="8" customFormat="1" ht="3.75" customHeight="1" x14ac:dyDescent="0.25">
      <c r="A67" s="37"/>
      <c r="B67" s="12"/>
      <c r="C67" s="12"/>
      <c r="D67" s="12"/>
    </row>
    <row r="68" spans="1:4" s="8" customFormat="1" x14ac:dyDescent="0.25">
      <c r="A68" s="35" t="s">
        <v>274</v>
      </c>
      <c r="B68" s="7" t="s">
        <v>275</v>
      </c>
      <c r="C68" s="53" t="s">
        <v>58</v>
      </c>
      <c r="D68" s="17" t="s">
        <v>276</v>
      </c>
    </row>
    <row r="69" spans="1:4" s="8" customFormat="1" x14ac:dyDescent="0.25">
      <c r="A69" s="40" t="s">
        <v>277</v>
      </c>
      <c r="B69" s="51" t="s">
        <v>38</v>
      </c>
      <c r="C69" s="17" t="str">
        <f>Einstellungen!$K$35</f>
        <v>Lt Christophe Lopez-Polo</v>
      </c>
      <c r="D69" s="17" t="s">
        <v>276</v>
      </c>
    </row>
    <row r="70" spans="1:4" s="8" customFormat="1" x14ac:dyDescent="0.25">
      <c r="A70" s="40" t="s">
        <v>249</v>
      </c>
      <c r="B70" s="13" t="s">
        <v>278</v>
      </c>
      <c r="C70" s="17" t="str">
        <f>VLOOKUP(Einstellungen!$C$6+$N$2-1,Tagesof[#Data],2)</f>
        <v>Lt Lehner</v>
      </c>
      <c r="D70" s="17" t="s">
        <v>276</v>
      </c>
    </row>
    <row r="71" spans="1:4" s="8" customFormat="1" x14ac:dyDescent="0.25">
      <c r="A71" s="52" t="s">
        <v>274</v>
      </c>
      <c r="B71" s="35" t="s">
        <v>279</v>
      </c>
      <c r="C71" s="17" t="s">
        <v>276</v>
      </c>
      <c r="D71" s="17" t="s">
        <v>276</v>
      </c>
    </row>
    <row r="72" spans="1:4" s="8" customFormat="1" x14ac:dyDescent="0.25">
      <c r="A72" s="35"/>
      <c r="B72" s="7"/>
      <c r="C72" s="7"/>
      <c r="D72" s="14"/>
    </row>
    <row r="73" spans="1:4" s="8" customFormat="1" x14ac:dyDescent="0.25">
      <c r="A73" s="35"/>
      <c r="B73" s="15"/>
      <c r="C73" s="7"/>
      <c r="D73" s="7" t="s">
        <v>280</v>
      </c>
    </row>
    <row r="74" spans="1:4" s="8" customFormat="1" x14ac:dyDescent="0.25">
      <c r="A74" s="28"/>
      <c r="B74" s="12"/>
      <c r="C74" s="49" t="s">
        <v>3</v>
      </c>
      <c r="D74" s="12" t="s">
        <v>281</v>
      </c>
    </row>
    <row r="75" spans="1:4" s="8" customFormat="1" x14ac:dyDescent="0.25">
      <c r="A75" s="29"/>
      <c r="B75" s="16"/>
      <c r="C75" s="17"/>
      <c r="D75" s="16"/>
    </row>
    <row r="76" spans="1:4" s="8" customFormat="1" x14ac:dyDescent="0.25">
      <c r="A76" s="11"/>
      <c r="B76" s="16"/>
      <c r="C76" s="14"/>
      <c r="D76" s="16"/>
    </row>
    <row r="77" spans="1:4" s="8" customFormat="1" x14ac:dyDescent="0.25">
      <c r="B77" s="16"/>
      <c r="C77" s="3"/>
      <c r="D77" s="16"/>
    </row>
    <row r="78" spans="1:4" s="8" customFormat="1" x14ac:dyDescent="0.25">
      <c r="A78" s="28"/>
      <c r="B78" s="16"/>
      <c r="C78" s="23" t="s">
        <v>42</v>
      </c>
      <c r="D78" s="16" t="s">
        <v>282</v>
      </c>
    </row>
    <row r="79" spans="1:4" s="8" customFormat="1" x14ac:dyDescent="0.25">
      <c r="A79" s="29"/>
      <c r="B79" s="16"/>
      <c r="C79" s="18" t="s">
        <v>79</v>
      </c>
      <c r="D79" s="16" t="s">
        <v>68</v>
      </c>
    </row>
    <row r="80" spans="1:4" s="8" customFormat="1" x14ac:dyDescent="0.25">
      <c r="A80" s="29"/>
      <c r="B80" s="16"/>
      <c r="C80" s="18"/>
      <c r="D80" s="60"/>
    </row>
    <row r="81" spans="1:4" s="8" customFormat="1" x14ac:dyDescent="0.25">
      <c r="A81" s="41"/>
      <c r="B81" s="16"/>
      <c r="C81" s="16"/>
      <c r="D81" s="16"/>
    </row>
    <row r="82" spans="1:4" s="8" customFormat="1" x14ac:dyDescent="0.25">
      <c r="A82" s="41"/>
      <c r="B82" s="16"/>
      <c r="C82" s="16"/>
      <c r="D82" s="16"/>
    </row>
    <row r="83" spans="1:4" s="8" customFormat="1" x14ac:dyDescent="0.25">
      <c r="A83" s="28" t="s">
        <v>283</v>
      </c>
      <c r="B83" s="16"/>
      <c r="C83" s="16"/>
      <c r="D83" s="16"/>
    </row>
    <row r="84" spans="1:4" s="8" customFormat="1" x14ac:dyDescent="0.25">
      <c r="A84" s="29" t="s">
        <v>284</v>
      </c>
      <c r="B84" s="16"/>
      <c r="C84" s="19"/>
      <c r="D84" s="16"/>
    </row>
    <row r="85" spans="1:4" s="8" customFormat="1" x14ac:dyDescent="0.25">
      <c r="A85" s="11" t="s">
        <v>285</v>
      </c>
      <c r="B85" s="16"/>
      <c r="C85" s="16"/>
      <c r="D85" s="16"/>
    </row>
    <row r="86" spans="1:4" s="8" customFormat="1" x14ac:dyDescent="0.25">
      <c r="B86" s="16"/>
      <c r="C86" s="16"/>
      <c r="D86" s="16"/>
    </row>
    <row r="87" spans="1:4" s="8" customFormat="1" x14ac:dyDescent="0.25">
      <c r="A87" s="28" t="s">
        <v>286</v>
      </c>
      <c r="B87" s="17"/>
      <c r="C87" s="17"/>
      <c r="D87" s="17"/>
    </row>
    <row r="88" spans="1:4" s="8" customFormat="1" x14ac:dyDescent="0.25">
      <c r="A88" s="29" t="s">
        <v>287</v>
      </c>
      <c r="B88" s="17"/>
      <c r="C88" s="17"/>
      <c r="D88" s="17"/>
    </row>
    <row r="89" spans="1:4" s="8" customFormat="1" x14ac:dyDescent="0.25">
      <c r="A89" s="43"/>
      <c r="B89" s="17"/>
      <c r="C89" s="17"/>
      <c r="D89" s="17"/>
    </row>
    <row r="90" spans="1:4" s="8" customFormat="1" x14ac:dyDescent="0.25">
      <c r="A90" s="42"/>
      <c r="B90" s="17"/>
      <c r="C90" s="17"/>
      <c r="D90" s="17"/>
    </row>
    <row r="91" spans="1:4" s="8" customFormat="1" x14ac:dyDescent="0.25">
      <c r="A91" s="39"/>
      <c r="B91" s="3"/>
      <c r="C91" s="3"/>
      <c r="D91" s="3"/>
    </row>
    <row r="92" spans="1:4" s="8" customFormat="1" x14ac:dyDescent="0.25">
      <c r="A92" s="39"/>
      <c r="B92" s="3"/>
      <c r="C92" s="3"/>
      <c r="D92" s="3"/>
    </row>
    <row r="93" spans="1:4" s="8" customFormat="1" x14ac:dyDescent="0.25">
      <c r="A93" s="39"/>
      <c r="B93" s="3"/>
      <c r="C93" s="3"/>
      <c r="D93" s="3"/>
    </row>
    <row r="94" spans="1:4" s="8" customFormat="1" x14ac:dyDescent="0.25">
      <c r="A94" s="39"/>
      <c r="B94" s="3"/>
      <c r="C94" s="3"/>
      <c r="D94" s="3"/>
    </row>
    <row r="95" spans="1:4" s="8" customFormat="1" x14ac:dyDescent="0.25">
      <c r="A95" s="39"/>
      <c r="B95" s="3"/>
      <c r="C95" s="3"/>
      <c r="D95" s="3"/>
    </row>
    <row r="96" spans="1:4" s="8" customFormat="1" x14ac:dyDescent="0.25">
      <c r="A96" s="39"/>
      <c r="B96" s="3"/>
      <c r="C96" s="3"/>
      <c r="D96" s="3"/>
    </row>
    <row r="97" spans="1:4" s="8" customFormat="1" x14ac:dyDescent="0.25">
      <c r="A97" s="39"/>
      <c r="B97" s="3"/>
      <c r="C97" s="3"/>
      <c r="D97" s="3"/>
    </row>
    <row r="98" spans="1:4" s="8" customFormat="1" x14ac:dyDescent="0.25">
      <c r="A98" s="39"/>
      <c r="B98" s="3"/>
      <c r="C98" s="3"/>
      <c r="D98" s="3"/>
    </row>
    <row r="99" spans="1:4" s="8" customFormat="1" x14ac:dyDescent="0.25">
      <c r="A99" s="39"/>
      <c r="B99" s="3"/>
      <c r="C99" s="3"/>
      <c r="D99" s="3"/>
    </row>
    <row r="100" spans="1:4" s="8" customFormat="1" ht="12" customHeight="1" x14ac:dyDescent="0.25">
      <c r="A100" s="39"/>
      <c r="B100" s="3"/>
      <c r="C100" s="3"/>
      <c r="D100" s="3"/>
    </row>
    <row r="101" spans="1:4" s="8" customFormat="1" x14ac:dyDescent="0.25">
      <c r="A101" s="39"/>
      <c r="B101" s="3"/>
      <c r="C101" s="3"/>
      <c r="D101" s="3"/>
    </row>
    <row r="102" spans="1:4" s="8" customFormat="1" x14ac:dyDescent="0.25">
      <c r="A102" s="39"/>
      <c r="B102" s="3"/>
      <c r="C102" s="3"/>
      <c r="D102" s="3"/>
    </row>
    <row r="103" spans="1:4" s="8" customFormat="1" x14ac:dyDescent="0.25">
      <c r="A103" s="39"/>
      <c r="B103" s="3"/>
      <c r="C103" s="3"/>
      <c r="D103" s="3"/>
    </row>
    <row r="104" spans="1:4" s="8" customFormat="1" x14ac:dyDescent="0.25">
      <c r="A104" s="39"/>
      <c r="B104" s="3"/>
      <c r="C104" s="3"/>
      <c r="D104" s="3"/>
    </row>
    <row r="105" spans="1:4" s="8" customFormat="1" x14ac:dyDescent="0.25">
      <c r="A105" s="39"/>
      <c r="B105" s="3"/>
      <c r="C105" s="3"/>
      <c r="D105" s="3"/>
    </row>
    <row r="106" spans="1:4" s="8" customFormat="1" x14ac:dyDescent="0.25">
      <c r="A106" s="39"/>
      <c r="B106" s="3"/>
      <c r="C106" s="3"/>
      <c r="D106" s="3"/>
    </row>
    <row r="107" spans="1:4" ht="7.5" customHeight="1" x14ac:dyDescent="0.25"/>
    <row r="109" spans="1:4" ht="7.5" customHeight="1" x14ac:dyDescent="0.25"/>
    <row r="110" spans="1:4" s="8" customFormat="1" x14ac:dyDescent="0.25">
      <c r="A110" s="39"/>
      <c r="B110" s="3"/>
      <c r="C110" s="3"/>
      <c r="D110" s="3"/>
    </row>
    <row r="111" spans="1:4" s="8" customFormat="1" x14ac:dyDescent="0.25">
      <c r="A111" s="39"/>
      <c r="B111" s="3"/>
      <c r="C111" s="3"/>
      <c r="D111" s="3"/>
    </row>
    <row r="112" spans="1:4" s="8" customFormat="1" ht="11.25" customHeight="1" x14ac:dyDescent="0.25">
      <c r="A112" s="39"/>
      <c r="B112" s="3"/>
      <c r="C112" s="3"/>
      <c r="D112" s="3"/>
    </row>
    <row r="113" spans="1:4" ht="7.5" customHeight="1" x14ac:dyDescent="0.25"/>
    <row r="115" spans="1:4" ht="7.5" customHeight="1" x14ac:dyDescent="0.25"/>
    <row r="116" spans="1:4" ht="7.5" customHeight="1" x14ac:dyDescent="0.25"/>
    <row r="117" spans="1:4" s="8" customFormat="1" x14ac:dyDescent="0.25">
      <c r="A117" s="39"/>
      <c r="B117" s="3"/>
      <c r="C117" s="3"/>
      <c r="D117" s="3"/>
    </row>
    <row r="118" spans="1:4" s="8" customFormat="1" x14ac:dyDescent="0.25">
      <c r="A118" s="39"/>
      <c r="B118" s="3"/>
      <c r="C118" s="3"/>
      <c r="D118" s="3"/>
    </row>
    <row r="119" spans="1:4" s="1" customFormat="1" ht="7.5" customHeight="1" x14ac:dyDescent="0.25">
      <c r="A119" s="39"/>
      <c r="B119" s="3"/>
      <c r="C119" s="3"/>
      <c r="D119" s="3"/>
    </row>
    <row r="120" spans="1:4" s="1" customFormat="1" x14ac:dyDescent="0.25">
      <c r="A120" s="39"/>
      <c r="B120" s="3"/>
      <c r="C120" s="3"/>
      <c r="D120" s="3"/>
    </row>
    <row r="121" spans="1:4" s="1" customFormat="1" ht="7.5" customHeight="1" x14ac:dyDescent="0.25">
      <c r="A121" s="39"/>
      <c r="B121" s="3"/>
      <c r="C121" s="3"/>
      <c r="D121" s="3"/>
    </row>
    <row r="124" spans="1:4" s="8" customFormat="1" x14ac:dyDescent="0.25">
      <c r="A124" s="39"/>
      <c r="B124" s="3"/>
      <c r="C124" s="3"/>
      <c r="D124" s="3"/>
    </row>
    <row r="125" spans="1:4" s="8" customFormat="1" x14ac:dyDescent="0.25">
      <c r="A125" s="39"/>
      <c r="B125" s="3"/>
      <c r="C125" s="3"/>
      <c r="D125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95" priority="1" operator="equal">
      <formula>"Verworfen"</formula>
    </cfRule>
    <cfRule type="cellIs" dxfId="94" priority="2" operator="equal">
      <formula>"Genehmigt durch Kdt"</formula>
    </cfRule>
    <cfRule type="cellIs" dxfId="93" priority="3" operator="equal">
      <formula>"Bereit für Kdt"</formula>
    </cfRule>
    <cfRule type="cellIs" dxfId="92" priority="4" operator="equal">
      <formula>"Entwurf"</formula>
    </cfRule>
  </conditionalFormatting>
  <dataValidations count="8">
    <dataValidation type="list" allowBlank="1" showInputMessage="1" showErrorMessage="1" sqref="C79:C80" xr:uid="{00000000-0002-0000-0300-000001000000}">
      <formula1>VerantwortungTgbf</formula1>
    </dataValidation>
    <dataValidation type="list" allowBlank="1" showInputMessage="1" showErrorMessage="1" sqref="D5" xr:uid="{00000000-0002-0000-0300-000002000000}">
      <formula1>ENTWURF</formula1>
    </dataValidation>
    <dataValidation type="list" allowBlank="1" showInputMessage="1" showErrorMessage="1" sqref="C78" xr:uid="{00000000-0002-0000-0300-000003000000}">
      <formula1>WerUnterschrift</formula1>
    </dataValidation>
    <dataValidation type="list" allowBlank="1" showInputMessage="1" showErrorMessage="1" sqref="A75 A79:A80 A84 A88" xr:uid="{5F3333E2-BC61-4D3C-84B3-46E58916F879}">
      <formula1>Verteiler</formula1>
    </dataValidation>
    <dataValidation type="list" allowBlank="1" showInputMessage="1" showErrorMessage="1" sqref="A7" xr:uid="{00000000-0002-0000-0300-000007000000}">
      <formula1>Landkarten</formula1>
    </dataValidation>
    <dataValidation type="list" showInputMessage="1" sqref="B51:B55 B22 B17:B18 B20 A56:A58" xr:uid="{00000000-0002-0000-0300-000009000000}">
      <formula1>Tätigkeiten</formula1>
    </dataValidation>
    <dataValidation type="list" showInputMessage="1" sqref="C65 C51:C62" xr:uid="{00000000-0002-0000-0300-00000B000000}">
      <formula1>Verantwortung</formula1>
    </dataValidation>
    <dataValidation type="list" allowBlank="1" showInputMessage="1" sqref="D72 D65:D67 D51:D55 D17 D19 D21:D22 D57:D62" xr:uid="{00000000-0002-0000-0300-00000A000000}">
      <formula1>Räumlichkeiten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2" manualBreakCount="2">
    <brk id="59" max="3" man="1"/>
    <brk id="88" max="3" man="1"/>
  </rowBreaks>
  <colBreaks count="1" manualBreakCount="1">
    <brk id="1" max="72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BD2018E-EA8C-40AE-B1C8-15BD606B36B0}">
          <x14:formula1>
            <xm:f>Einstellungen!$N$71:$N$74</xm:f>
          </x14:formula1>
          <xm:sqref>G1</xm:sqref>
        </x14:dataValidation>
        <x14:dataValidation type="list" allowBlank="1" showInputMessage="1" xr:uid="{E43A4519-AADF-4EE3-BD83-E91267A1B093}">
          <x14:formula1>
            <xm:f>Einstellungen!$B$71:$B$84</xm:f>
          </x14:formula1>
          <xm:sqref>B23:B49 B19 B21</xm:sqref>
        </x14:dataValidation>
        <x14:dataValidation type="list" allowBlank="1" showInputMessage="1" xr:uid="{DB7B2EF8-1664-481F-AE41-D87EBAC97597}">
          <x14:formula1>
            <xm:f>Einstellungen!$H$71:$H$86</xm:f>
          </x14:formula1>
          <xm:sqref>D56 D23:D49 D18 D20</xm:sqref>
        </x14:dataValidation>
        <x14:dataValidation type="list" allowBlank="1" showInputMessage="1" xr:uid="{D3707046-69AC-40E5-B07D-2483D9714ABA}">
          <x14:formula1>
            <xm:f>Einstellungen!$K$71:$K$75</xm:f>
          </x14:formula1>
          <xm:sqref>C14:C49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AB90-F48C-43C9-A185-C52544831FE7}">
  <sheetPr codeName="Sheet5">
    <tabColor theme="8" tint="0.59999389629810485"/>
    <pageSetUpPr fitToPage="1"/>
  </sheetPr>
  <dimension ref="A1:N96"/>
  <sheetViews>
    <sheetView showGridLines="0" view="pageBreakPreview" topLeftCell="A6" zoomScale="130" zoomScaleNormal="100" zoomScaleSheetLayoutView="130" workbookViewId="0">
      <selection activeCell="A14" sqref="A14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4" ht="18" customHeight="1" x14ac:dyDescent="0.3">
      <c r="A2" s="32" t="s">
        <v>207</v>
      </c>
      <c r="B2" s="1"/>
      <c r="C2" s="1"/>
      <c r="D2" s="48" t="str">
        <f>IF(EXACT($G$1,"Genehmigt durch Kdt"),"","PROVISORISCH")</f>
        <v>PROVISORISCH</v>
      </c>
      <c r="N2" s="42">
        <v>5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5 für FREITAG, 25.09.2026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x14ac:dyDescent="0.25">
      <c r="A14" s="61" t="s">
        <v>7</v>
      </c>
      <c r="B14" s="58" t="s">
        <v>76</v>
      </c>
      <c r="C14" s="7" t="s">
        <v>89</v>
      </c>
      <c r="D14" s="58" t="s">
        <v>223</v>
      </c>
    </row>
    <row r="15" spans="1:14" s="8" customFormat="1" x14ac:dyDescent="0.25">
      <c r="A15" s="40" t="s">
        <v>326</v>
      </c>
      <c r="B15" s="58" t="s">
        <v>81</v>
      </c>
      <c r="C15" s="7" t="s">
        <v>216</v>
      </c>
      <c r="D15" s="58" t="s">
        <v>92</v>
      </c>
    </row>
    <row r="16" spans="1:14" s="8" customFormat="1" x14ac:dyDescent="0.25">
      <c r="A16" s="61" t="s">
        <v>289</v>
      </c>
      <c r="B16" s="58" t="s">
        <v>290</v>
      </c>
      <c r="C16" s="7" t="s">
        <v>89</v>
      </c>
      <c r="D16" s="58" t="s">
        <v>291</v>
      </c>
    </row>
    <row r="17" spans="1:6" s="8" customFormat="1" x14ac:dyDescent="0.25">
      <c r="A17" s="35" t="s">
        <v>11</v>
      </c>
      <c r="B17" s="7" t="s">
        <v>98</v>
      </c>
      <c r="C17" s="7" t="s">
        <v>216</v>
      </c>
      <c r="D17" s="7" t="s">
        <v>92</v>
      </c>
    </row>
    <row r="18" spans="1:6" s="63" customFormat="1" x14ac:dyDescent="0.25">
      <c r="A18" s="35" t="s">
        <v>402</v>
      </c>
      <c r="B18" s="7" t="s">
        <v>403</v>
      </c>
      <c r="C18" s="7" t="s">
        <v>216</v>
      </c>
      <c r="D18" s="7" t="s">
        <v>92</v>
      </c>
    </row>
    <row r="19" spans="1:6" s="8" customFormat="1" x14ac:dyDescent="0.25">
      <c r="A19" s="35" t="s">
        <v>404</v>
      </c>
      <c r="B19" s="7" t="s">
        <v>405</v>
      </c>
      <c r="C19" s="7" t="s">
        <v>68</v>
      </c>
      <c r="D19" s="7" t="s">
        <v>406</v>
      </c>
    </row>
    <row r="20" spans="1:6" s="8" customFormat="1" x14ac:dyDescent="0.25">
      <c r="A20" s="35"/>
      <c r="B20" s="7"/>
      <c r="C20" s="7"/>
      <c r="D20" s="7"/>
    </row>
    <row r="21" spans="1:6" s="8" customFormat="1" x14ac:dyDescent="0.25">
      <c r="A21" s="27" t="s">
        <v>407</v>
      </c>
      <c r="B21" s="7"/>
      <c r="C21" s="7"/>
      <c r="D21" s="7"/>
    </row>
    <row r="22" spans="1:6" s="8" customFormat="1" x14ac:dyDescent="0.25">
      <c r="A22" s="13" t="s">
        <v>249</v>
      </c>
      <c r="B22" s="7" t="s">
        <v>408</v>
      </c>
      <c r="C22" s="7" t="s">
        <v>227</v>
      </c>
      <c r="D22" s="7" t="s">
        <v>103</v>
      </c>
    </row>
    <row r="23" spans="1:6" s="8" customFormat="1" x14ac:dyDescent="0.25">
      <c r="A23" s="13"/>
      <c r="B23" s="7"/>
      <c r="C23" s="7"/>
      <c r="D23" s="7"/>
    </row>
    <row r="24" spans="1:6" s="8" customFormat="1" x14ac:dyDescent="0.25">
      <c r="A24" s="27" t="s">
        <v>409</v>
      </c>
      <c r="B24" s="7"/>
      <c r="C24" s="7"/>
      <c r="D24" s="7"/>
    </row>
    <row r="25" spans="1:6" s="8" customFormat="1" x14ac:dyDescent="0.25">
      <c r="A25" s="58" t="s">
        <v>249</v>
      </c>
      <c r="B25" s="58" t="s">
        <v>304</v>
      </c>
      <c r="C25" s="58" t="s">
        <v>79</v>
      </c>
      <c r="D25" s="58" t="s">
        <v>406</v>
      </c>
    </row>
    <row r="26" spans="1:6" s="8" customFormat="1" x14ac:dyDescent="0.25">
      <c r="A26" s="58"/>
      <c r="B26" s="58"/>
      <c r="C26" s="58"/>
      <c r="D26" s="58"/>
    </row>
    <row r="27" spans="1:6" s="8" customFormat="1" x14ac:dyDescent="0.25">
      <c r="A27" s="35"/>
      <c r="B27" s="7"/>
      <c r="C27" s="7"/>
      <c r="D27" s="7"/>
    </row>
    <row r="28" spans="1:6" s="8" customFormat="1" x14ac:dyDescent="0.25">
      <c r="A28" s="26" t="s">
        <v>255</v>
      </c>
      <c r="B28" s="9"/>
      <c r="C28" s="9"/>
      <c r="D28" s="9"/>
    </row>
    <row r="29" spans="1:6" s="8" customFormat="1" ht="3.75" customHeight="1" x14ac:dyDescent="0.25">
      <c r="A29" s="37"/>
      <c r="B29" s="6"/>
      <c r="C29" s="6"/>
      <c r="D29" s="6"/>
    </row>
    <row r="30" spans="1:6" s="8" customFormat="1" ht="13.5" customHeight="1" x14ac:dyDescent="0.25">
      <c r="A30" s="52" t="s">
        <v>410</v>
      </c>
      <c r="B30" s="52" t="s">
        <v>411</v>
      </c>
      <c r="C30" s="52" t="s">
        <v>412</v>
      </c>
      <c r="D30" s="52" t="s">
        <v>103</v>
      </c>
      <c r="E30" s="45" t="s">
        <v>316</v>
      </c>
      <c r="F30" s="44"/>
    </row>
    <row r="31" spans="1:6" s="8" customFormat="1" ht="12.75" customHeight="1" x14ac:dyDescent="0.25">
      <c r="A31" s="22"/>
      <c r="B31" s="10"/>
      <c r="C31" s="10"/>
      <c r="D31" s="11"/>
    </row>
    <row r="32" spans="1:6" s="8" customFormat="1" x14ac:dyDescent="0.25">
      <c r="A32" s="26" t="s">
        <v>270</v>
      </c>
      <c r="B32" s="5"/>
      <c r="C32" s="5"/>
      <c r="D32" s="5"/>
    </row>
    <row r="33" spans="1:6" s="8" customFormat="1" ht="3.75" customHeight="1" x14ac:dyDescent="0.25">
      <c r="A33" s="38"/>
      <c r="B33" s="12"/>
      <c r="C33" s="12"/>
      <c r="D33" s="12"/>
    </row>
    <row r="34" spans="1:6" s="8" customFormat="1" x14ac:dyDescent="0.25">
      <c r="A34" s="37" t="s">
        <v>326</v>
      </c>
      <c r="B34" s="6" t="s">
        <v>327</v>
      </c>
      <c r="C34" s="6" t="s">
        <v>79</v>
      </c>
      <c r="D34" s="6" t="s">
        <v>328</v>
      </c>
      <c r="E34" s="45"/>
      <c r="F34" s="44"/>
    </row>
    <row r="35" spans="1:6" s="8" customFormat="1" x14ac:dyDescent="0.25">
      <c r="A35" s="37" t="s">
        <v>356</v>
      </c>
      <c r="B35" s="6" t="s">
        <v>357</v>
      </c>
      <c r="C35" s="7" t="s">
        <v>227</v>
      </c>
      <c r="D35" s="6" t="s">
        <v>103</v>
      </c>
      <c r="E35" s="45"/>
      <c r="F35" s="44"/>
    </row>
    <row r="36" spans="1:6" s="8" customFormat="1" x14ac:dyDescent="0.25">
      <c r="A36" s="22"/>
      <c r="B36" s="10"/>
      <c r="C36" s="10"/>
      <c r="D36" s="11"/>
    </row>
    <row r="37" spans="1:6" s="8" customFormat="1" x14ac:dyDescent="0.25">
      <c r="A37" s="26" t="s">
        <v>273</v>
      </c>
      <c r="B37" s="5"/>
      <c r="C37" s="5"/>
      <c r="D37" s="5"/>
    </row>
    <row r="38" spans="1:6" s="8" customFormat="1" ht="3.75" customHeight="1" x14ac:dyDescent="0.25">
      <c r="A38" s="37"/>
      <c r="B38" s="12"/>
      <c r="C38" s="12"/>
      <c r="D38" s="12"/>
    </row>
    <row r="39" spans="1:6" s="8" customFormat="1" x14ac:dyDescent="0.25">
      <c r="A39" s="35" t="s">
        <v>274</v>
      </c>
      <c r="B39" s="7" t="s">
        <v>275</v>
      </c>
      <c r="C39" s="53" t="s">
        <v>58</v>
      </c>
      <c r="D39" s="17" t="s">
        <v>276</v>
      </c>
    </row>
    <row r="40" spans="1:6" s="8" customFormat="1" x14ac:dyDescent="0.25">
      <c r="A40" s="40" t="s">
        <v>277</v>
      </c>
      <c r="B40" s="51" t="s">
        <v>38</v>
      </c>
      <c r="C40" s="17" t="str">
        <f>Einstellungen!$K$35</f>
        <v>Lt Christophe Lopez-Polo</v>
      </c>
      <c r="D40" s="17" t="s">
        <v>276</v>
      </c>
    </row>
    <row r="41" spans="1:6" s="8" customFormat="1" x14ac:dyDescent="0.25">
      <c r="A41" s="40" t="s">
        <v>249</v>
      </c>
      <c r="B41" s="13" t="s">
        <v>278</v>
      </c>
      <c r="C41" s="17" t="str">
        <f>VLOOKUP(Einstellungen!$C$6+$N$2-1,Tagesof[#Data],2)</f>
        <v>Lt Christophe Lopez-Polo</v>
      </c>
      <c r="D41" s="17" t="s">
        <v>276</v>
      </c>
    </row>
    <row r="42" spans="1:6" s="8" customFormat="1" x14ac:dyDescent="0.25">
      <c r="A42" s="52" t="s">
        <v>274</v>
      </c>
      <c r="B42" s="35" t="s">
        <v>279</v>
      </c>
      <c r="C42" s="17" t="s">
        <v>276</v>
      </c>
      <c r="D42" s="17" t="s">
        <v>276</v>
      </c>
    </row>
    <row r="43" spans="1:6" s="8" customFormat="1" x14ac:dyDescent="0.25">
      <c r="A43" s="35"/>
      <c r="B43" s="7"/>
      <c r="C43" s="7"/>
      <c r="D43" s="14"/>
    </row>
    <row r="44" spans="1:6" s="8" customFormat="1" x14ac:dyDescent="0.25">
      <c r="A44" s="35"/>
      <c r="B44" s="15"/>
      <c r="C44" s="7"/>
      <c r="D44" s="7" t="s">
        <v>280</v>
      </c>
    </row>
    <row r="45" spans="1:6" s="8" customFormat="1" x14ac:dyDescent="0.25">
      <c r="A45" s="28"/>
      <c r="B45" s="12"/>
      <c r="C45" s="49" t="s">
        <v>3</v>
      </c>
      <c r="D45" s="12" t="s">
        <v>281</v>
      </c>
    </row>
    <row r="46" spans="1:6" s="8" customFormat="1" x14ac:dyDescent="0.25">
      <c r="A46" s="29"/>
      <c r="B46" s="16"/>
      <c r="C46" s="17"/>
      <c r="D46" s="16"/>
    </row>
    <row r="47" spans="1:6" s="8" customFormat="1" x14ac:dyDescent="0.25">
      <c r="A47" s="11"/>
      <c r="B47" s="16"/>
      <c r="C47" s="14"/>
      <c r="D47" s="16"/>
    </row>
    <row r="48" spans="1:6" s="8" customFormat="1" x14ac:dyDescent="0.25">
      <c r="B48" s="16"/>
      <c r="C48" s="3"/>
      <c r="D48" s="16"/>
    </row>
    <row r="49" spans="1:4" s="8" customFormat="1" x14ac:dyDescent="0.25">
      <c r="A49" s="28"/>
      <c r="B49" s="16"/>
      <c r="C49" s="23" t="s">
        <v>42</v>
      </c>
      <c r="D49" s="16" t="s">
        <v>282</v>
      </c>
    </row>
    <row r="50" spans="1:4" s="8" customFormat="1" x14ac:dyDescent="0.25">
      <c r="A50" s="29"/>
      <c r="B50" s="16"/>
      <c r="C50" s="18" t="s">
        <v>79</v>
      </c>
      <c r="D50" s="16" t="s">
        <v>68</v>
      </c>
    </row>
    <row r="51" spans="1:4" s="8" customFormat="1" x14ac:dyDescent="0.25">
      <c r="A51" s="29"/>
      <c r="B51" s="16"/>
      <c r="C51" s="18"/>
      <c r="D51" s="60"/>
    </row>
    <row r="52" spans="1:4" s="8" customFormat="1" x14ac:dyDescent="0.25">
      <c r="A52" s="41"/>
      <c r="B52" s="16"/>
      <c r="C52" s="16"/>
      <c r="D52" s="16"/>
    </row>
    <row r="53" spans="1:4" s="8" customFormat="1" x14ac:dyDescent="0.25">
      <c r="A53" s="41"/>
      <c r="B53" s="16"/>
      <c r="C53" s="16"/>
      <c r="D53" s="16"/>
    </row>
    <row r="54" spans="1:4" s="8" customFormat="1" x14ac:dyDescent="0.25">
      <c r="A54" s="28" t="s">
        <v>283</v>
      </c>
      <c r="B54" s="16"/>
      <c r="C54" s="16"/>
      <c r="D54" s="16"/>
    </row>
    <row r="55" spans="1:4" s="8" customFormat="1" x14ac:dyDescent="0.25">
      <c r="A55" s="29" t="s">
        <v>284</v>
      </c>
      <c r="B55" s="16"/>
      <c r="C55" s="19"/>
      <c r="D55" s="16"/>
    </row>
    <row r="56" spans="1:4" s="8" customFormat="1" x14ac:dyDescent="0.25">
      <c r="A56" s="11" t="s">
        <v>285</v>
      </c>
      <c r="B56" s="16"/>
      <c r="C56" s="16"/>
      <c r="D56" s="16"/>
    </row>
    <row r="57" spans="1:4" s="8" customFormat="1" x14ac:dyDescent="0.25">
      <c r="B57" s="16"/>
      <c r="C57" s="16"/>
      <c r="D57" s="16"/>
    </row>
    <row r="58" spans="1:4" s="8" customFormat="1" x14ac:dyDescent="0.25">
      <c r="A58" s="28" t="s">
        <v>286</v>
      </c>
      <c r="B58" s="17"/>
      <c r="C58" s="17"/>
      <c r="D58" s="17"/>
    </row>
    <row r="59" spans="1:4" s="8" customFormat="1" x14ac:dyDescent="0.25">
      <c r="A59" s="29" t="s">
        <v>287</v>
      </c>
      <c r="B59" s="17"/>
      <c r="C59" s="17"/>
      <c r="D59" s="17"/>
    </row>
    <row r="60" spans="1:4" s="8" customFormat="1" x14ac:dyDescent="0.25">
      <c r="A60" s="43"/>
      <c r="B60" s="17"/>
      <c r="C60" s="17"/>
      <c r="D60" s="17"/>
    </row>
    <row r="61" spans="1:4" s="8" customFormat="1" x14ac:dyDescent="0.25">
      <c r="A61" s="42"/>
      <c r="B61" s="17"/>
      <c r="C61" s="17"/>
      <c r="D61" s="17"/>
    </row>
    <row r="62" spans="1:4" s="8" customFormat="1" x14ac:dyDescent="0.25">
      <c r="A62" s="39"/>
      <c r="B62" s="3"/>
      <c r="C62" s="3"/>
      <c r="D62" s="3"/>
    </row>
    <row r="63" spans="1:4" s="8" customFormat="1" x14ac:dyDescent="0.25">
      <c r="A63" s="39"/>
      <c r="B63" s="3"/>
      <c r="C63" s="3"/>
      <c r="D63" s="3"/>
    </row>
    <row r="64" spans="1:4" s="8" customFormat="1" x14ac:dyDescent="0.25">
      <c r="A64" s="39"/>
      <c r="B64" s="3"/>
      <c r="C64" s="3"/>
      <c r="D64" s="3"/>
    </row>
    <row r="65" spans="1:4" s="8" customFormat="1" x14ac:dyDescent="0.25">
      <c r="A65" s="39"/>
      <c r="B65" s="3"/>
      <c r="C65" s="3"/>
      <c r="D65" s="3"/>
    </row>
    <row r="66" spans="1:4" s="8" customFormat="1" x14ac:dyDescent="0.25">
      <c r="A66" s="39"/>
      <c r="B66" s="3"/>
      <c r="C66" s="3"/>
      <c r="D66" s="3"/>
    </row>
    <row r="67" spans="1:4" s="8" customFormat="1" x14ac:dyDescent="0.25">
      <c r="A67" s="39"/>
      <c r="B67" s="3"/>
      <c r="C67" s="3"/>
      <c r="D67" s="3"/>
    </row>
    <row r="68" spans="1:4" s="8" customFormat="1" x14ac:dyDescent="0.25">
      <c r="A68" s="39"/>
      <c r="B68" s="3"/>
      <c r="C68" s="3"/>
      <c r="D68" s="3"/>
    </row>
    <row r="69" spans="1:4" s="8" customFormat="1" x14ac:dyDescent="0.25">
      <c r="A69" s="39"/>
      <c r="B69" s="3"/>
      <c r="C69" s="3"/>
      <c r="D69" s="3"/>
    </row>
    <row r="70" spans="1:4" s="8" customFormat="1" x14ac:dyDescent="0.25">
      <c r="A70" s="39"/>
      <c r="B70" s="3"/>
      <c r="C70" s="3"/>
      <c r="D70" s="3"/>
    </row>
    <row r="71" spans="1:4" s="8" customFormat="1" ht="12" customHeight="1" x14ac:dyDescent="0.25">
      <c r="A71" s="39"/>
      <c r="B71" s="3"/>
      <c r="C71" s="3"/>
      <c r="D71" s="3"/>
    </row>
    <row r="72" spans="1:4" s="8" customFormat="1" x14ac:dyDescent="0.25">
      <c r="A72" s="39"/>
      <c r="B72" s="3"/>
      <c r="C72" s="3"/>
      <c r="D72" s="3"/>
    </row>
    <row r="73" spans="1:4" s="8" customFormat="1" x14ac:dyDescent="0.25">
      <c r="A73" s="39"/>
      <c r="B73" s="3"/>
      <c r="C73" s="3"/>
      <c r="D73" s="3"/>
    </row>
    <row r="74" spans="1:4" s="8" customFormat="1" x14ac:dyDescent="0.25">
      <c r="A74" s="39"/>
      <c r="B74" s="3"/>
      <c r="C74" s="3"/>
      <c r="D74" s="3"/>
    </row>
    <row r="75" spans="1:4" s="8" customFormat="1" x14ac:dyDescent="0.25">
      <c r="A75" s="39"/>
      <c r="B75" s="3"/>
      <c r="C75" s="3"/>
      <c r="D75" s="3"/>
    </row>
    <row r="76" spans="1:4" s="8" customFormat="1" x14ac:dyDescent="0.25">
      <c r="A76" s="39"/>
      <c r="B76" s="3"/>
      <c r="C76" s="3"/>
      <c r="D76" s="3"/>
    </row>
    <row r="77" spans="1:4" s="8" customFormat="1" x14ac:dyDescent="0.25">
      <c r="A77" s="39"/>
      <c r="B77" s="3"/>
      <c r="C77" s="3"/>
      <c r="D77" s="3"/>
    </row>
    <row r="78" spans="1:4" ht="7.5" customHeight="1" x14ac:dyDescent="0.25"/>
    <row r="80" spans="1:4" ht="7.5" customHeight="1" x14ac:dyDescent="0.25"/>
    <row r="81" spans="1:4" s="8" customFormat="1" x14ac:dyDescent="0.25">
      <c r="A81" s="39"/>
      <c r="B81" s="3"/>
      <c r="C81" s="3"/>
      <c r="D81" s="3"/>
    </row>
    <row r="82" spans="1:4" s="8" customFormat="1" x14ac:dyDescent="0.25">
      <c r="A82" s="39"/>
      <c r="B82" s="3"/>
      <c r="C82" s="3"/>
      <c r="D82" s="3"/>
    </row>
    <row r="83" spans="1:4" s="8" customFormat="1" ht="11.25" customHeight="1" x14ac:dyDescent="0.25">
      <c r="A83" s="39"/>
      <c r="B83" s="3"/>
      <c r="C83" s="3"/>
      <c r="D83" s="3"/>
    </row>
    <row r="84" spans="1:4" ht="7.5" customHeight="1" x14ac:dyDescent="0.25"/>
    <row r="86" spans="1:4" ht="7.5" customHeight="1" x14ac:dyDescent="0.25"/>
    <row r="87" spans="1:4" ht="7.5" customHeight="1" x14ac:dyDescent="0.25"/>
    <row r="88" spans="1:4" s="8" customFormat="1" x14ac:dyDescent="0.25">
      <c r="A88" s="39"/>
      <c r="B88" s="3"/>
      <c r="C88" s="3"/>
      <c r="D88" s="3"/>
    </row>
    <row r="89" spans="1:4" s="8" customFormat="1" x14ac:dyDescent="0.25">
      <c r="A89" s="39"/>
      <c r="B89" s="3"/>
      <c r="C89" s="3"/>
      <c r="D89" s="3"/>
    </row>
    <row r="90" spans="1:4" s="1" customFormat="1" ht="7.5" customHeight="1" x14ac:dyDescent="0.25">
      <c r="A90" s="39"/>
      <c r="B90" s="3"/>
      <c r="C90" s="3"/>
      <c r="D90" s="3"/>
    </row>
    <row r="91" spans="1:4" s="1" customFormat="1" x14ac:dyDescent="0.25">
      <c r="A91" s="39"/>
      <c r="B91" s="3"/>
      <c r="C91" s="3"/>
      <c r="D91" s="3"/>
    </row>
    <row r="92" spans="1:4" s="1" customFormat="1" ht="7.5" customHeight="1" x14ac:dyDescent="0.25">
      <c r="A92" s="39"/>
      <c r="B92" s="3"/>
      <c r="C92" s="3"/>
      <c r="D92" s="3"/>
    </row>
    <row r="95" spans="1:4" s="8" customFormat="1" x14ac:dyDescent="0.25">
      <c r="A95" s="39"/>
      <c r="B95" s="3"/>
      <c r="C95" s="3"/>
      <c r="D95" s="3"/>
    </row>
    <row r="96" spans="1:4" s="8" customFormat="1" x14ac:dyDescent="0.25">
      <c r="A96" s="39"/>
      <c r="B96" s="3"/>
      <c r="C96" s="3"/>
      <c r="D96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91" priority="1" operator="equal">
      <formula>"Verworfen"</formula>
    </cfRule>
    <cfRule type="cellIs" dxfId="90" priority="2" operator="equal">
      <formula>"Genehmigt durch Kdt"</formula>
    </cfRule>
    <cfRule type="cellIs" dxfId="89" priority="3" operator="equal">
      <formula>"Bereit für Kdt"</formula>
    </cfRule>
    <cfRule type="cellIs" dxfId="88" priority="4" operator="equal">
      <formula>"Entwurf"</formula>
    </cfRule>
  </conditionalFormatting>
  <dataValidations count="9">
    <dataValidation type="list" allowBlank="1" showInputMessage="1" sqref="D43 D17:D24 D34:D38 D27:D29 D31:D33" xr:uid="{45846F76-DF50-4795-8193-AE95E4CA9D4E}">
      <formula1>Räumlichkeiten</formula1>
    </dataValidation>
    <dataValidation type="list" showInputMessage="1" sqref="B27:B29 B17:B24" xr:uid="{1A7F8AC8-736C-457F-925B-6B474ED3BA11}">
      <formula1>Tätigkeiten</formula1>
    </dataValidation>
    <dataValidation type="list" allowBlank="1" showInputMessage="1" showErrorMessage="1" sqref="A7" xr:uid="{29F5D371-2AA3-4ECE-9860-2312BE1015AB}">
      <formula1>Landkarten</formula1>
    </dataValidation>
    <dataValidation type="list" allowBlank="1" showInputMessage="1" showErrorMessage="1" sqref="A46 A50:A51 A55 A59" xr:uid="{0E8544C5-A671-4DC3-9724-827BAB13B276}">
      <formula1>Verteiler</formula1>
    </dataValidation>
    <dataValidation type="list" allowBlank="1" showInputMessage="1" showErrorMessage="1" sqref="C49" xr:uid="{FDB5854C-B950-482D-81DF-ED37100B7ABB}">
      <formula1>WerUnterschrift</formula1>
    </dataValidation>
    <dataValidation type="list" allowBlank="1" showInputMessage="1" showErrorMessage="1" sqref="D5" xr:uid="{8B312877-DED1-4C5A-9BA4-B2767EF5CA12}">
      <formula1>ENTWURF</formula1>
    </dataValidation>
    <dataValidation type="list" allowBlank="1" showInputMessage="1" showErrorMessage="1" sqref="C50:C51" xr:uid="{5EB4EBA4-0A3B-42C1-BD67-0E9EAFD4A92F}">
      <formula1>VerantwortungTgbf</formula1>
    </dataValidation>
    <dataValidation type="list" showInputMessage="1" sqref="C23:C24 C14:C21 C36 C34 C27:C29 C31:C33" xr:uid="{72728CE5-D6AA-4954-85C2-A1F4373D18F2}">
      <formula1>Verantwortung</formula1>
    </dataValidation>
    <dataValidation type="list" allowBlank="1" showInputMessage="1" showErrorMessage="1" sqref="B34:B35" xr:uid="{A08624D5-0608-4AEA-95DB-3AE8014AB2A2}">
      <formula1>Rapporte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1" manualBreakCount="1">
    <brk id="59" max="3" man="1"/>
  </rowBreaks>
  <colBreaks count="1" manualBreakCount="1">
    <brk id="1" max="61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73FBCB-DE8E-4AC3-B9EB-92541C8F2AE3}">
          <x14:formula1>
            <xm:f>Einstellungen!$N$71:$N$74</xm:f>
          </x14:formula1>
          <xm:sqref>G1</xm:sqref>
        </x14:dataValidation>
        <x14:dataValidation type="list" allowBlank="1" showInputMessage="1" xr:uid="{7C9FFB26-D7AB-4B30-8F9B-08659223DF11}">
          <x14:formula1>
            <xm:f>Einstellungen!$K$71:$K$75</xm:f>
          </x14:formula1>
          <xm:sqref>C22 C35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9648-A1C1-417D-B284-FB252F93DC41}">
  <sheetPr codeName="Sheet8">
    <tabColor theme="8" tint="0.59999389629810485"/>
    <pageSetUpPr fitToPage="1"/>
  </sheetPr>
  <dimension ref="A1:N81"/>
  <sheetViews>
    <sheetView showGridLines="0" view="pageBreakPreview" zoomScaleNormal="100" zoomScaleSheetLayoutView="100" workbookViewId="0">
      <selection activeCell="A14" sqref="A14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4" ht="18" customHeight="1" x14ac:dyDescent="0.3">
      <c r="A2" s="57" t="s">
        <v>3</v>
      </c>
      <c r="B2" s="1"/>
      <c r="C2" s="1"/>
      <c r="D2" s="48" t="str">
        <f>IF(EXACT($G$1,"Genehmigt durch Kdt"),"","PROVISORISCH")</f>
        <v>PROVISORISCH</v>
      </c>
      <c r="N2" s="42">
        <v>6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6 für SAMSTAG, 26.09.2026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ht="12.75" customHeight="1" x14ac:dyDescent="0.25">
      <c r="A13" s="7" t="s">
        <v>413</v>
      </c>
      <c r="B13" s="7"/>
      <c r="C13" s="7"/>
      <c r="D13" s="7"/>
    </row>
    <row r="14" spans="1:14" s="8" customFormat="1" x14ac:dyDescent="0.25">
      <c r="A14" s="35"/>
      <c r="B14" s="7"/>
      <c r="C14" s="7"/>
      <c r="D14" s="7"/>
    </row>
    <row r="15" spans="1:14" s="8" customFormat="1" x14ac:dyDescent="0.25">
      <c r="A15" s="26" t="s">
        <v>255</v>
      </c>
      <c r="B15" s="9"/>
      <c r="C15" s="9"/>
      <c r="D15" s="9"/>
    </row>
    <row r="16" spans="1:14" s="8" customFormat="1" ht="3.75" customHeight="1" x14ac:dyDescent="0.25">
      <c r="A16" s="37"/>
      <c r="B16" s="6"/>
      <c r="C16" s="6"/>
      <c r="D16" s="6"/>
    </row>
    <row r="17" spans="1:6" s="8" customFormat="1" ht="14.25" customHeight="1" x14ac:dyDescent="0.25">
      <c r="A17" s="7" t="s">
        <v>413</v>
      </c>
      <c r="C17" s="7"/>
      <c r="D17" s="7"/>
      <c r="E17" s="45" t="s">
        <v>316</v>
      </c>
      <c r="F17" s="44"/>
    </row>
    <row r="18" spans="1:6" s="8" customFormat="1" ht="12.75" customHeight="1" x14ac:dyDescent="0.25">
      <c r="A18" s="22"/>
      <c r="B18" s="10"/>
      <c r="C18" s="10"/>
      <c r="D18" s="11"/>
    </row>
    <row r="19" spans="1:6" s="8" customFormat="1" x14ac:dyDescent="0.25">
      <c r="A19" s="26" t="s">
        <v>270</v>
      </c>
      <c r="B19" s="5"/>
      <c r="C19" s="5"/>
      <c r="D19" s="5"/>
    </row>
    <row r="20" spans="1:6" s="8" customFormat="1" ht="3.75" customHeight="1" x14ac:dyDescent="0.25">
      <c r="A20" s="38"/>
      <c r="B20" s="12"/>
      <c r="C20" s="12"/>
      <c r="D20" s="12"/>
    </row>
    <row r="21" spans="1:6" s="8" customFormat="1" ht="14.25" customHeight="1" x14ac:dyDescent="0.25">
      <c r="A21" s="7" t="s">
        <v>413</v>
      </c>
      <c r="C21" s="7"/>
      <c r="D21" s="7"/>
      <c r="E21" s="45" t="s">
        <v>316</v>
      </c>
      <c r="F21" s="44"/>
    </row>
    <row r="22" spans="1:6" s="8" customFormat="1" ht="14.25" customHeight="1" x14ac:dyDescent="0.25">
      <c r="A22" s="7"/>
      <c r="C22" s="7"/>
      <c r="D22" s="7"/>
      <c r="E22" s="45"/>
      <c r="F22" s="44"/>
    </row>
    <row r="23" spans="1:6" s="8" customFormat="1" x14ac:dyDescent="0.25">
      <c r="A23" s="26" t="s">
        <v>273</v>
      </c>
      <c r="B23" s="5"/>
      <c r="C23" s="5"/>
      <c r="D23" s="5"/>
    </row>
    <row r="24" spans="1:6" s="8" customFormat="1" ht="3.75" customHeight="1" x14ac:dyDescent="0.25">
      <c r="A24" s="37"/>
      <c r="B24" s="12"/>
      <c r="C24" s="12"/>
      <c r="D24" s="12"/>
    </row>
    <row r="25" spans="1:6" s="8" customFormat="1" x14ac:dyDescent="0.25">
      <c r="A25" s="35" t="s">
        <v>274</v>
      </c>
      <c r="B25" s="7" t="s">
        <v>275</v>
      </c>
      <c r="C25" s="17" t="s">
        <v>414</v>
      </c>
    </row>
    <row r="26" spans="1:6" s="8" customFormat="1" x14ac:dyDescent="0.25">
      <c r="A26" s="40" t="s">
        <v>415</v>
      </c>
      <c r="B26" s="51" t="s">
        <v>38</v>
      </c>
      <c r="C26" s="17" t="str">
        <f>Einstellungen!$K$35</f>
        <v>Lt Christophe Lopez-Polo</v>
      </c>
      <c r="D26" s="17"/>
    </row>
    <row r="27" spans="1:6" s="8" customFormat="1" x14ac:dyDescent="0.25">
      <c r="A27" s="40"/>
      <c r="B27" s="13"/>
      <c r="C27" s="50"/>
      <c r="D27" s="52"/>
    </row>
    <row r="28" spans="1:6" s="8" customFormat="1" x14ac:dyDescent="0.25">
      <c r="A28" s="35"/>
      <c r="B28" s="7"/>
      <c r="C28" s="7"/>
      <c r="D28" s="14"/>
    </row>
    <row r="29" spans="1:6" s="8" customFormat="1" x14ac:dyDescent="0.25">
      <c r="A29" s="35"/>
      <c r="B29" s="15"/>
      <c r="C29" s="7"/>
      <c r="D29" s="7"/>
    </row>
    <row r="30" spans="1:6" s="8" customFormat="1" x14ac:dyDescent="0.25">
      <c r="A30" s="28" t="s">
        <v>283</v>
      </c>
      <c r="B30" s="12"/>
      <c r="C30" s="49" t="s">
        <v>3</v>
      </c>
      <c r="D30" s="12"/>
    </row>
    <row r="31" spans="1:6" s="8" customFormat="1" x14ac:dyDescent="0.25">
      <c r="A31" s="29" t="s">
        <v>416</v>
      </c>
      <c r="B31" s="16"/>
      <c r="C31" s="17"/>
      <c r="D31" s="16"/>
    </row>
    <row r="32" spans="1:6" s="8" customFormat="1" x14ac:dyDescent="0.25">
      <c r="A32" s="11" t="s">
        <v>285</v>
      </c>
      <c r="B32" s="16"/>
      <c r="C32" s="14"/>
      <c r="D32" s="16"/>
    </row>
    <row r="33" spans="1:4" s="8" customFormat="1" x14ac:dyDescent="0.25">
      <c r="B33" s="16"/>
      <c r="C33" s="3"/>
      <c r="D33" s="16"/>
    </row>
    <row r="34" spans="1:4" s="8" customFormat="1" x14ac:dyDescent="0.25">
      <c r="A34" s="28" t="s">
        <v>286</v>
      </c>
      <c r="B34" s="16"/>
      <c r="C34" s="23" t="s">
        <v>42</v>
      </c>
      <c r="D34" s="16"/>
    </row>
    <row r="35" spans="1:4" s="8" customFormat="1" x14ac:dyDescent="0.25">
      <c r="A35" s="29" t="s">
        <v>287</v>
      </c>
      <c r="B35" s="16"/>
      <c r="C35" s="18" t="s">
        <v>79</v>
      </c>
      <c r="D35" s="16"/>
    </row>
    <row r="36" spans="1:4" s="8" customFormat="1" x14ac:dyDescent="0.25">
      <c r="A36" s="41"/>
      <c r="B36" s="16"/>
      <c r="C36" s="16"/>
      <c r="D36" s="16"/>
    </row>
    <row r="37" spans="1:4" s="8" customFormat="1" x14ac:dyDescent="0.25">
      <c r="A37" s="41"/>
      <c r="B37" s="16"/>
      <c r="C37" s="16"/>
      <c r="D37" s="16"/>
    </row>
    <row r="38" spans="1:4" s="8" customFormat="1" x14ac:dyDescent="0.25">
      <c r="A38" s="41"/>
      <c r="B38" s="16"/>
      <c r="C38" s="19"/>
      <c r="D38" s="16"/>
    </row>
    <row r="39" spans="1:4" s="8" customFormat="1" x14ac:dyDescent="0.25">
      <c r="A39" s="41"/>
      <c r="B39" s="16"/>
      <c r="C39" s="16"/>
      <c r="D39" s="16"/>
    </row>
    <row r="40" spans="1:4" s="8" customFormat="1" x14ac:dyDescent="0.25">
      <c r="A40" s="41"/>
      <c r="B40" s="16"/>
      <c r="C40" s="16"/>
      <c r="D40" s="16"/>
    </row>
    <row r="41" spans="1:4" s="8" customFormat="1" x14ac:dyDescent="0.25">
      <c r="A41" s="42"/>
      <c r="B41" s="17"/>
      <c r="C41" s="17"/>
      <c r="D41" s="17"/>
    </row>
    <row r="42" spans="1:4" s="8" customFormat="1" x14ac:dyDescent="0.25">
      <c r="A42" s="43"/>
      <c r="B42" s="17"/>
      <c r="C42" s="17"/>
      <c r="D42" s="17"/>
    </row>
    <row r="43" spans="1:4" s="8" customFormat="1" x14ac:dyDescent="0.25">
      <c r="A43" s="42"/>
      <c r="B43" s="17"/>
      <c r="C43" s="17"/>
      <c r="D43" s="17"/>
    </row>
    <row r="44" spans="1:4" s="8" customFormat="1" x14ac:dyDescent="0.25">
      <c r="A44" s="42"/>
      <c r="B44" s="17"/>
      <c r="C44" s="17"/>
      <c r="D44" s="17"/>
    </row>
    <row r="45" spans="1:4" s="8" customFormat="1" x14ac:dyDescent="0.25">
      <c r="A45" s="43"/>
      <c r="B45" s="17"/>
      <c r="C45" s="17"/>
      <c r="D45" s="17"/>
    </row>
    <row r="46" spans="1:4" s="8" customFormat="1" x14ac:dyDescent="0.25">
      <c r="A46" s="42"/>
      <c r="B46" s="17"/>
      <c r="C46" s="17"/>
      <c r="D46" s="17"/>
    </row>
    <row r="47" spans="1:4" s="8" customFormat="1" x14ac:dyDescent="0.25">
      <c r="A47" s="39"/>
      <c r="B47" s="3"/>
      <c r="C47" s="3"/>
      <c r="D47" s="3"/>
    </row>
    <row r="48" spans="1:4" s="8" customFormat="1" x14ac:dyDescent="0.25">
      <c r="A48" s="39"/>
      <c r="B48" s="3"/>
      <c r="C48" s="3"/>
      <c r="D48" s="3"/>
    </row>
    <row r="49" spans="1:4" s="8" customFormat="1" x14ac:dyDescent="0.25">
      <c r="A49" s="39"/>
      <c r="B49" s="3"/>
      <c r="C49" s="3"/>
      <c r="D49" s="3"/>
    </row>
    <row r="50" spans="1:4" s="8" customFormat="1" x14ac:dyDescent="0.25">
      <c r="A50" s="39"/>
      <c r="B50" s="3"/>
      <c r="C50" s="3"/>
      <c r="D50" s="3"/>
    </row>
    <row r="51" spans="1:4" s="8" customFormat="1" x14ac:dyDescent="0.25">
      <c r="A51" s="39"/>
      <c r="B51" s="3"/>
      <c r="C51" s="3"/>
      <c r="D51" s="3"/>
    </row>
    <row r="52" spans="1:4" s="8" customFormat="1" x14ac:dyDescent="0.25">
      <c r="A52" s="39"/>
      <c r="B52" s="3"/>
      <c r="C52" s="3"/>
      <c r="D52" s="3"/>
    </row>
    <row r="53" spans="1:4" s="8" customFormat="1" x14ac:dyDescent="0.25">
      <c r="A53" s="39"/>
      <c r="B53" s="3"/>
      <c r="C53" s="3"/>
      <c r="D53" s="3"/>
    </row>
    <row r="54" spans="1:4" s="8" customFormat="1" x14ac:dyDescent="0.25">
      <c r="A54" s="39"/>
      <c r="B54" s="3"/>
      <c r="C54" s="3"/>
      <c r="D54" s="3"/>
    </row>
    <row r="55" spans="1:4" s="8" customFormat="1" x14ac:dyDescent="0.25">
      <c r="A55" s="39"/>
      <c r="B55" s="3"/>
      <c r="C55" s="3"/>
      <c r="D55" s="3"/>
    </row>
    <row r="56" spans="1:4" s="8" customFormat="1" ht="12" customHeight="1" x14ac:dyDescent="0.25">
      <c r="A56" s="39"/>
      <c r="B56" s="3"/>
      <c r="C56" s="3"/>
      <c r="D56" s="3"/>
    </row>
    <row r="57" spans="1:4" s="8" customFormat="1" x14ac:dyDescent="0.25">
      <c r="A57" s="39"/>
      <c r="B57" s="3"/>
      <c r="C57" s="3"/>
      <c r="D57" s="3"/>
    </row>
    <row r="58" spans="1:4" s="8" customFormat="1" x14ac:dyDescent="0.25">
      <c r="A58" s="39"/>
      <c r="B58" s="3"/>
      <c r="C58" s="3"/>
      <c r="D58" s="3"/>
    </row>
    <row r="59" spans="1:4" s="8" customFormat="1" x14ac:dyDescent="0.25">
      <c r="A59" s="39"/>
      <c r="B59" s="3"/>
      <c r="C59" s="3"/>
      <c r="D59" s="3"/>
    </row>
    <row r="60" spans="1:4" s="8" customFormat="1" x14ac:dyDescent="0.25">
      <c r="A60" s="39"/>
      <c r="B60" s="3"/>
      <c r="C60" s="3"/>
      <c r="D60" s="3"/>
    </row>
    <row r="61" spans="1:4" s="8" customFormat="1" x14ac:dyDescent="0.25">
      <c r="A61" s="39"/>
      <c r="B61" s="3"/>
      <c r="C61" s="3"/>
      <c r="D61" s="3"/>
    </row>
    <row r="62" spans="1:4" s="8" customFormat="1" x14ac:dyDescent="0.25">
      <c r="A62" s="39"/>
      <c r="B62" s="3"/>
      <c r="C62" s="3"/>
      <c r="D62" s="3"/>
    </row>
    <row r="63" spans="1:4" ht="7.5" customHeight="1" x14ac:dyDescent="0.25"/>
    <row r="65" spans="1:4" ht="7.5" customHeight="1" x14ac:dyDescent="0.25"/>
    <row r="66" spans="1:4" s="8" customFormat="1" x14ac:dyDescent="0.25">
      <c r="A66" s="39"/>
      <c r="B66" s="3"/>
      <c r="C66" s="3"/>
      <c r="D66" s="3"/>
    </row>
    <row r="67" spans="1:4" s="8" customFormat="1" x14ac:dyDescent="0.25">
      <c r="A67" s="39"/>
      <c r="B67" s="3"/>
      <c r="C67" s="3"/>
      <c r="D67" s="3"/>
    </row>
    <row r="68" spans="1:4" s="8" customFormat="1" ht="11.25" customHeight="1" x14ac:dyDescent="0.25">
      <c r="A68" s="39"/>
      <c r="B68" s="3"/>
      <c r="C68" s="3"/>
      <c r="D68" s="3"/>
    </row>
    <row r="69" spans="1:4" ht="7.5" customHeight="1" x14ac:dyDescent="0.25"/>
    <row r="71" spans="1:4" ht="7.5" customHeight="1" x14ac:dyDescent="0.25"/>
    <row r="72" spans="1:4" ht="7.5" customHeight="1" x14ac:dyDescent="0.25"/>
    <row r="73" spans="1:4" s="8" customFormat="1" x14ac:dyDescent="0.25">
      <c r="A73" s="39"/>
      <c r="B73" s="3"/>
      <c r="C73" s="3"/>
      <c r="D73" s="3"/>
    </row>
    <row r="74" spans="1:4" s="8" customFormat="1" x14ac:dyDescent="0.25">
      <c r="A74" s="39"/>
      <c r="B74" s="3"/>
      <c r="C74" s="3"/>
      <c r="D74" s="3"/>
    </row>
    <row r="75" spans="1:4" s="1" customFormat="1" ht="7.5" customHeight="1" x14ac:dyDescent="0.25">
      <c r="A75" s="39"/>
      <c r="B75" s="3"/>
      <c r="C75" s="3"/>
      <c r="D75" s="3"/>
    </row>
    <row r="76" spans="1:4" s="1" customFormat="1" x14ac:dyDescent="0.25">
      <c r="A76" s="39"/>
      <c r="B76" s="3"/>
      <c r="C76" s="3"/>
      <c r="D76" s="3"/>
    </row>
    <row r="77" spans="1:4" s="1" customFormat="1" ht="7.5" customHeight="1" x14ac:dyDescent="0.25">
      <c r="A77" s="39"/>
      <c r="B77" s="3"/>
      <c r="C77" s="3"/>
      <c r="D77" s="3"/>
    </row>
    <row r="80" spans="1:4" s="8" customFormat="1" x14ac:dyDescent="0.25">
      <c r="A80" s="39"/>
      <c r="B80" s="3"/>
      <c r="C80" s="3"/>
      <c r="D80" s="3"/>
    </row>
    <row r="81" spans="1:4" s="8" customFormat="1" x14ac:dyDescent="0.25">
      <c r="A81" s="39"/>
      <c r="B81" s="3"/>
      <c r="C81" s="3"/>
      <c r="D81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87" priority="1" operator="equal">
      <formula>"Verworfen"</formula>
    </cfRule>
    <cfRule type="cellIs" dxfId="86" priority="2" operator="equal">
      <formula>"Genehmigt durch Kdt"</formula>
    </cfRule>
    <cfRule type="cellIs" dxfId="85" priority="3" operator="equal">
      <formula>"Bereit für Kdt"</formula>
    </cfRule>
    <cfRule type="cellIs" dxfId="84" priority="4" operator="equal">
      <formula>"Entwurf"</formula>
    </cfRule>
  </conditionalFormatting>
  <dataValidations count="8">
    <dataValidation type="list" allowBlank="1" showInputMessage="1" sqref="C27 D28 D14:D24" xr:uid="{DC2293F8-9C1A-4AC1-B7CB-BD812C97FF24}">
      <formula1>Räumlichkeiten</formula1>
    </dataValidation>
    <dataValidation type="list" showInputMessage="1" sqref="A17 B14:B16 A13 A21:A22" xr:uid="{B5A7B192-FD32-4762-A775-553DFC406518}">
      <formula1>Tätigkeiten</formula1>
    </dataValidation>
    <dataValidation type="list" allowBlank="1" showInputMessage="1" showErrorMessage="1" sqref="A7" xr:uid="{1BAEE90C-CE93-4196-B4FD-17B49BBCB612}">
      <formula1>Landkarten</formula1>
    </dataValidation>
    <dataValidation type="list" allowBlank="1" showInputMessage="1" showErrorMessage="1" sqref="A31 A35" xr:uid="{A821033C-CB65-4F61-9185-28CF4AC9D167}">
      <formula1>Verteiler</formula1>
    </dataValidation>
    <dataValidation type="list" allowBlank="1" showInputMessage="1" showErrorMessage="1" sqref="C34" xr:uid="{6C1D69B9-5ED5-4612-8262-1431A8133E74}">
      <formula1>WerUnterschrift</formula1>
    </dataValidation>
    <dataValidation type="list" allowBlank="1" showInputMessage="1" showErrorMessage="1" sqref="D5" xr:uid="{39C80B98-6066-4428-9F99-D3C371208F7B}">
      <formula1>ENTWURF</formula1>
    </dataValidation>
    <dataValidation type="list" allowBlank="1" showInputMessage="1" showErrorMessage="1" sqref="C35" xr:uid="{FD08BB49-E7CF-4BD6-8903-1CCBEF640157}">
      <formula1>VerantwortungTgbf</formula1>
    </dataValidation>
    <dataValidation type="list" showInputMessage="1" sqref="C14:C22" xr:uid="{D20A066F-673A-4A88-88E2-2DE39299070F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39" max="3" man="1"/>
    <brk id="42" max="3" man="1"/>
    <brk id="44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CF83F8-6600-471A-A330-0580639C96AF}">
          <x14:formula1>
            <xm:f>Einstellungen!$N$71:$N$74</xm:f>
          </x14:formula1>
          <xm:sqref>G1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C8A7-C748-44BC-BEFA-995023911EBF}">
  <sheetPr codeName="Sheet6">
    <tabColor theme="5" tint="0.59999389629810485"/>
    <pageSetUpPr fitToPage="1"/>
  </sheetPr>
  <dimension ref="A1:N81"/>
  <sheetViews>
    <sheetView showGridLines="0" view="pageBreakPreview" zoomScale="130" zoomScaleNormal="100" zoomScaleSheetLayoutView="130" workbookViewId="0">
      <selection activeCell="C26" sqref="C26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4" ht="18" customHeight="1" x14ac:dyDescent="0.3">
      <c r="A2" s="57" t="s">
        <v>3</v>
      </c>
      <c r="B2" s="1"/>
      <c r="C2" s="1"/>
      <c r="D2" s="48" t="str">
        <f>IF(EXACT($G$1,"Genehmigt durch Kdt"),"","PROVISORISCH")</f>
        <v>PROVISORISCH</v>
      </c>
      <c r="N2" s="42">
        <v>7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7 für SONNTAG, 27.09.2026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ht="12.75" customHeight="1" x14ac:dyDescent="0.25">
      <c r="A13" s="7" t="s">
        <v>413</v>
      </c>
      <c r="B13" s="7"/>
      <c r="C13" s="7"/>
      <c r="D13" s="7"/>
    </row>
    <row r="14" spans="1:14" s="8" customFormat="1" x14ac:dyDescent="0.25">
      <c r="A14" s="35"/>
      <c r="B14" s="7"/>
      <c r="C14" s="7"/>
      <c r="D14" s="7"/>
    </row>
    <row r="15" spans="1:14" s="8" customFormat="1" x14ac:dyDescent="0.25">
      <c r="A15" s="26" t="s">
        <v>255</v>
      </c>
      <c r="B15" s="9"/>
      <c r="C15" s="9"/>
      <c r="D15" s="9"/>
    </row>
    <row r="16" spans="1:14" s="8" customFormat="1" ht="3.75" customHeight="1" x14ac:dyDescent="0.25">
      <c r="A16" s="37"/>
      <c r="B16" s="6"/>
      <c r="C16" s="6"/>
      <c r="D16" s="6"/>
    </row>
    <row r="17" spans="1:6" s="8" customFormat="1" ht="14.25" customHeight="1" x14ac:dyDescent="0.25">
      <c r="A17" s="7" t="s">
        <v>413</v>
      </c>
      <c r="C17" s="7"/>
      <c r="D17" s="7"/>
      <c r="E17" s="45" t="s">
        <v>316</v>
      </c>
      <c r="F17" s="44"/>
    </row>
    <row r="18" spans="1:6" s="8" customFormat="1" ht="12.75" customHeight="1" x14ac:dyDescent="0.25">
      <c r="A18" s="22"/>
      <c r="B18" s="10"/>
      <c r="C18" s="10"/>
      <c r="D18" s="11"/>
    </row>
    <row r="19" spans="1:6" s="8" customFormat="1" x14ac:dyDescent="0.25">
      <c r="A19" s="26" t="s">
        <v>270</v>
      </c>
      <c r="B19" s="5"/>
      <c r="C19" s="5"/>
      <c r="D19" s="5"/>
    </row>
    <row r="20" spans="1:6" s="8" customFormat="1" ht="3.75" customHeight="1" x14ac:dyDescent="0.25">
      <c r="A20" s="38"/>
      <c r="B20" s="12"/>
      <c r="C20" s="12"/>
      <c r="D20" s="12"/>
    </row>
    <row r="21" spans="1:6" s="8" customFormat="1" ht="14.25" customHeight="1" x14ac:dyDescent="0.25">
      <c r="A21" s="7" t="s">
        <v>413</v>
      </c>
      <c r="C21" s="7"/>
      <c r="D21" s="7"/>
      <c r="E21" s="45" t="s">
        <v>316</v>
      </c>
      <c r="F21" s="44"/>
    </row>
    <row r="22" spans="1:6" s="8" customFormat="1" x14ac:dyDescent="0.25">
      <c r="A22" s="22"/>
      <c r="B22" s="10"/>
      <c r="C22" s="10"/>
      <c r="D22" s="11"/>
    </row>
    <row r="23" spans="1:6" s="8" customFormat="1" x14ac:dyDescent="0.25">
      <c r="A23" s="26" t="s">
        <v>273</v>
      </c>
      <c r="B23" s="5"/>
      <c r="C23" s="5"/>
      <c r="D23" s="5"/>
    </row>
    <row r="24" spans="1:6" s="8" customFormat="1" ht="3.75" customHeight="1" x14ac:dyDescent="0.25">
      <c r="A24" s="37"/>
      <c r="B24" s="12"/>
      <c r="C24" s="12"/>
      <c r="D24" s="12"/>
    </row>
    <row r="25" spans="1:6" s="8" customFormat="1" x14ac:dyDescent="0.25">
      <c r="A25" s="35" t="s">
        <v>274</v>
      </c>
      <c r="B25" s="7" t="s">
        <v>275</v>
      </c>
      <c r="C25" s="17" t="s">
        <v>414</v>
      </c>
    </row>
    <row r="26" spans="1:6" s="8" customFormat="1" x14ac:dyDescent="0.25">
      <c r="A26" s="40" t="s">
        <v>415</v>
      </c>
      <c r="B26" s="51" t="s">
        <v>38</v>
      </c>
      <c r="C26" s="17" t="str">
        <f>Einstellungen!$K$35</f>
        <v>Lt Christophe Lopez-Polo</v>
      </c>
      <c r="D26" s="17"/>
    </row>
    <row r="27" spans="1:6" s="8" customFormat="1" x14ac:dyDescent="0.25">
      <c r="A27" s="40"/>
      <c r="B27" s="13"/>
      <c r="C27" s="50"/>
      <c r="D27" s="52"/>
    </row>
    <row r="28" spans="1:6" s="8" customFormat="1" x14ac:dyDescent="0.25">
      <c r="A28" s="35"/>
      <c r="B28" s="7"/>
      <c r="C28" s="7"/>
      <c r="D28" s="14"/>
    </row>
    <row r="29" spans="1:6" s="8" customFormat="1" x14ac:dyDescent="0.25">
      <c r="A29" s="35"/>
      <c r="B29" s="15"/>
      <c r="C29" s="7"/>
      <c r="D29" s="7"/>
    </row>
    <row r="30" spans="1:6" s="8" customFormat="1" x14ac:dyDescent="0.25">
      <c r="A30" s="28" t="s">
        <v>283</v>
      </c>
      <c r="B30" s="12"/>
      <c r="C30" s="49" t="s">
        <v>3</v>
      </c>
      <c r="D30" s="12"/>
    </row>
    <row r="31" spans="1:6" s="8" customFormat="1" x14ac:dyDescent="0.25">
      <c r="A31" s="29" t="s">
        <v>416</v>
      </c>
      <c r="B31" s="16"/>
      <c r="C31" s="17"/>
      <c r="D31" s="16"/>
    </row>
    <row r="32" spans="1:6" s="8" customFormat="1" x14ac:dyDescent="0.25">
      <c r="A32" s="11" t="s">
        <v>285</v>
      </c>
      <c r="B32" s="16"/>
      <c r="C32" s="14"/>
      <c r="D32" s="16"/>
    </row>
    <row r="33" spans="1:4" s="8" customFormat="1" x14ac:dyDescent="0.25">
      <c r="B33" s="16"/>
      <c r="C33" s="3"/>
      <c r="D33" s="16"/>
    </row>
    <row r="34" spans="1:4" s="8" customFormat="1" x14ac:dyDescent="0.25">
      <c r="A34" s="28" t="s">
        <v>286</v>
      </c>
      <c r="B34" s="16"/>
      <c r="C34" s="23" t="s">
        <v>42</v>
      </c>
      <c r="D34" s="16"/>
    </row>
    <row r="35" spans="1:4" s="8" customFormat="1" x14ac:dyDescent="0.25">
      <c r="A35" s="29" t="s">
        <v>287</v>
      </c>
      <c r="B35" s="16"/>
      <c r="C35" s="18" t="s">
        <v>79</v>
      </c>
      <c r="D35" s="16"/>
    </row>
    <row r="36" spans="1:4" s="8" customFormat="1" x14ac:dyDescent="0.25">
      <c r="A36" s="41"/>
      <c r="B36" s="16"/>
      <c r="C36" s="16"/>
      <c r="D36" s="16"/>
    </row>
    <row r="37" spans="1:4" s="8" customFormat="1" x14ac:dyDescent="0.25">
      <c r="A37" s="41"/>
      <c r="B37" s="16"/>
      <c r="C37" s="16"/>
      <c r="D37" s="16"/>
    </row>
    <row r="38" spans="1:4" s="8" customFormat="1" x14ac:dyDescent="0.25">
      <c r="A38" s="41"/>
      <c r="B38" s="16"/>
      <c r="C38" s="19"/>
      <c r="D38" s="16"/>
    </row>
    <row r="39" spans="1:4" s="8" customFormat="1" x14ac:dyDescent="0.25">
      <c r="A39" s="41"/>
      <c r="B39" s="16"/>
      <c r="C39" s="16"/>
      <c r="D39" s="16"/>
    </row>
    <row r="40" spans="1:4" s="8" customFormat="1" x14ac:dyDescent="0.25">
      <c r="A40" s="41"/>
      <c r="B40" s="16"/>
      <c r="C40" s="16"/>
      <c r="D40" s="16"/>
    </row>
    <row r="41" spans="1:4" s="8" customFormat="1" x14ac:dyDescent="0.25">
      <c r="A41" s="42"/>
      <c r="B41" s="17"/>
      <c r="C41" s="17"/>
      <c r="D41" s="17"/>
    </row>
    <row r="42" spans="1:4" s="8" customFormat="1" x14ac:dyDescent="0.25">
      <c r="A42" s="43"/>
      <c r="B42" s="17"/>
      <c r="C42" s="17"/>
      <c r="D42" s="17"/>
    </row>
    <row r="43" spans="1:4" s="8" customFormat="1" x14ac:dyDescent="0.25">
      <c r="A43" s="42"/>
      <c r="B43" s="17"/>
      <c r="C43" s="17"/>
      <c r="D43" s="17"/>
    </row>
    <row r="44" spans="1:4" s="8" customFormat="1" x14ac:dyDescent="0.25">
      <c r="A44" s="42"/>
      <c r="B44" s="17"/>
      <c r="C44" s="17"/>
      <c r="D44" s="17"/>
    </row>
    <row r="45" spans="1:4" s="8" customFormat="1" x14ac:dyDescent="0.25">
      <c r="A45" s="43"/>
      <c r="B45" s="17"/>
      <c r="C45" s="17"/>
      <c r="D45" s="17"/>
    </row>
    <row r="46" spans="1:4" s="8" customFormat="1" x14ac:dyDescent="0.25">
      <c r="A46" s="42"/>
      <c r="B46" s="17"/>
      <c r="C46" s="17"/>
      <c r="D46" s="17"/>
    </row>
    <row r="47" spans="1:4" s="8" customFormat="1" x14ac:dyDescent="0.25">
      <c r="A47" s="39"/>
      <c r="B47" s="3"/>
      <c r="C47" s="3"/>
      <c r="D47" s="3"/>
    </row>
    <row r="48" spans="1:4" s="8" customFormat="1" x14ac:dyDescent="0.25">
      <c r="A48" s="39"/>
      <c r="B48" s="3"/>
      <c r="C48" s="3"/>
      <c r="D48" s="3"/>
    </row>
    <row r="49" spans="1:4" s="8" customFormat="1" x14ac:dyDescent="0.25">
      <c r="A49" s="39"/>
      <c r="B49" s="3"/>
      <c r="C49" s="3"/>
      <c r="D49" s="3"/>
    </row>
    <row r="50" spans="1:4" s="8" customFormat="1" x14ac:dyDescent="0.25">
      <c r="A50" s="39"/>
      <c r="B50" s="3"/>
      <c r="C50" s="3"/>
      <c r="D50" s="3"/>
    </row>
    <row r="51" spans="1:4" s="8" customFormat="1" x14ac:dyDescent="0.25">
      <c r="A51" s="39"/>
      <c r="B51" s="3"/>
      <c r="C51" s="3"/>
      <c r="D51" s="3"/>
    </row>
    <row r="52" spans="1:4" s="8" customFormat="1" x14ac:dyDescent="0.25">
      <c r="A52" s="39"/>
      <c r="B52" s="3"/>
      <c r="C52" s="3"/>
      <c r="D52" s="3"/>
    </row>
    <row r="53" spans="1:4" s="8" customFormat="1" x14ac:dyDescent="0.25">
      <c r="A53" s="39"/>
      <c r="B53" s="3"/>
      <c r="C53" s="3"/>
      <c r="D53" s="3"/>
    </row>
    <row r="54" spans="1:4" s="8" customFormat="1" x14ac:dyDescent="0.25">
      <c r="A54" s="39"/>
      <c r="B54" s="3"/>
      <c r="C54" s="3"/>
      <c r="D54" s="3"/>
    </row>
    <row r="55" spans="1:4" s="8" customFormat="1" x14ac:dyDescent="0.25">
      <c r="A55" s="39"/>
      <c r="B55" s="3"/>
      <c r="C55" s="3"/>
      <c r="D55" s="3"/>
    </row>
    <row r="56" spans="1:4" s="8" customFormat="1" ht="12" customHeight="1" x14ac:dyDescent="0.25">
      <c r="A56" s="39"/>
      <c r="B56" s="3"/>
      <c r="C56" s="3"/>
      <c r="D56" s="3"/>
    </row>
    <row r="57" spans="1:4" s="8" customFormat="1" x14ac:dyDescent="0.25">
      <c r="A57" s="39"/>
      <c r="B57" s="3"/>
      <c r="C57" s="3"/>
      <c r="D57" s="3"/>
    </row>
    <row r="58" spans="1:4" s="8" customFormat="1" x14ac:dyDescent="0.25">
      <c r="A58" s="39"/>
      <c r="B58" s="3"/>
      <c r="C58" s="3"/>
      <c r="D58" s="3"/>
    </row>
    <row r="59" spans="1:4" s="8" customFormat="1" x14ac:dyDescent="0.25">
      <c r="A59" s="39"/>
      <c r="B59" s="3"/>
      <c r="C59" s="3"/>
      <c r="D59" s="3"/>
    </row>
    <row r="60" spans="1:4" s="8" customFormat="1" x14ac:dyDescent="0.25">
      <c r="A60" s="39"/>
      <c r="B60" s="3"/>
      <c r="C60" s="3"/>
      <c r="D60" s="3"/>
    </row>
    <row r="61" spans="1:4" s="8" customFormat="1" x14ac:dyDescent="0.25">
      <c r="A61" s="39"/>
      <c r="B61" s="3"/>
      <c r="C61" s="3"/>
      <c r="D61" s="3"/>
    </row>
    <row r="62" spans="1:4" s="8" customFormat="1" x14ac:dyDescent="0.25">
      <c r="A62" s="39"/>
      <c r="B62" s="3"/>
      <c r="C62" s="3"/>
      <c r="D62" s="3"/>
    </row>
    <row r="63" spans="1:4" ht="7.5" customHeight="1" x14ac:dyDescent="0.25"/>
    <row r="65" spans="1:4" ht="7.5" customHeight="1" x14ac:dyDescent="0.25"/>
    <row r="66" spans="1:4" s="8" customFormat="1" x14ac:dyDescent="0.25">
      <c r="A66" s="39"/>
      <c r="B66" s="3"/>
      <c r="C66" s="3"/>
      <c r="D66" s="3"/>
    </row>
    <row r="67" spans="1:4" s="8" customFormat="1" x14ac:dyDescent="0.25">
      <c r="A67" s="39"/>
      <c r="B67" s="3"/>
      <c r="C67" s="3"/>
      <c r="D67" s="3"/>
    </row>
    <row r="68" spans="1:4" s="8" customFormat="1" ht="11.25" customHeight="1" x14ac:dyDescent="0.25">
      <c r="A68" s="39"/>
      <c r="B68" s="3"/>
      <c r="C68" s="3"/>
      <c r="D68" s="3"/>
    </row>
    <row r="69" spans="1:4" ht="7.5" customHeight="1" x14ac:dyDescent="0.25"/>
    <row r="71" spans="1:4" ht="7.5" customHeight="1" x14ac:dyDescent="0.25"/>
    <row r="72" spans="1:4" ht="7.5" customHeight="1" x14ac:dyDescent="0.25"/>
    <row r="73" spans="1:4" s="8" customFormat="1" x14ac:dyDescent="0.25">
      <c r="A73" s="39"/>
      <c r="B73" s="3"/>
      <c r="C73" s="3"/>
      <c r="D73" s="3"/>
    </row>
    <row r="74" spans="1:4" s="8" customFormat="1" x14ac:dyDescent="0.25">
      <c r="A74" s="39"/>
      <c r="B74" s="3"/>
      <c r="C74" s="3"/>
      <c r="D74" s="3"/>
    </row>
    <row r="75" spans="1:4" s="1" customFormat="1" ht="7.5" customHeight="1" x14ac:dyDescent="0.25">
      <c r="A75" s="39"/>
      <c r="B75" s="3"/>
      <c r="C75" s="3"/>
      <c r="D75" s="3"/>
    </row>
    <row r="76" spans="1:4" s="1" customFormat="1" x14ac:dyDescent="0.25">
      <c r="A76" s="39"/>
      <c r="B76" s="3"/>
      <c r="C76" s="3"/>
      <c r="D76" s="3"/>
    </row>
    <row r="77" spans="1:4" s="1" customFormat="1" ht="7.5" customHeight="1" x14ac:dyDescent="0.25">
      <c r="A77" s="39"/>
      <c r="B77" s="3"/>
      <c r="C77" s="3"/>
      <c r="D77" s="3"/>
    </row>
    <row r="80" spans="1:4" s="8" customFormat="1" x14ac:dyDescent="0.25">
      <c r="A80" s="39"/>
      <c r="B80" s="3"/>
      <c r="C80" s="3"/>
      <c r="D80" s="3"/>
    </row>
    <row r="81" spans="1:4" s="8" customFormat="1" x14ac:dyDescent="0.25">
      <c r="A81" s="39"/>
      <c r="B81" s="3"/>
      <c r="C81" s="3"/>
      <c r="D81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83" priority="1" operator="equal">
      <formula>"Verworfen"</formula>
    </cfRule>
    <cfRule type="cellIs" dxfId="82" priority="2" operator="equal">
      <formula>"Genehmigt durch Kdt"</formula>
    </cfRule>
    <cfRule type="cellIs" dxfId="81" priority="3" operator="equal">
      <formula>"Bereit für Kdt"</formula>
    </cfRule>
    <cfRule type="cellIs" dxfId="80" priority="4" operator="equal">
      <formula>"Entwurf"</formula>
    </cfRule>
  </conditionalFormatting>
  <dataValidations count="8">
    <dataValidation type="list" allowBlank="1" showInputMessage="1" showErrorMessage="1" sqref="C35" xr:uid="{E7F5C246-18F2-4A3D-84AC-555B335BAEB7}">
      <formula1>VerantwortungTgbf</formula1>
    </dataValidation>
    <dataValidation type="list" allowBlank="1" showInputMessage="1" showErrorMessage="1" sqref="D5" xr:uid="{3C500C95-DF45-45B6-83DF-B678972F2F9D}">
      <formula1>ENTWURF</formula1>
    </dataValidation>
    <dataValidation type="list" allowBlank="1" showInputMessage="1" showErrorMessage="1" sqref="C34" xr:uid="{DE9E8E0C-CA04-40B5-8A04-C709C3BC9CEF}">
      <formula1>WerUnterschrift</formula1>
    </dataValidation>
    <dataValidation type="list" allowBlank="1" showInputMessage="1" showErrorMessage="1" sqref="A31 A35" xr:uid="{7821FDEC-C626-4A98-8802-8368D2F59BE8}">
      <formula1>Verteiler</formula1>
    </dataValidation>
    <dataValidation type="list" allowBlank="1" showInputMessage="1" showErrorMessage="1" sqref="A7" xr:uid="{5A221E8F-1372-4DFF-B753-EE14C64B172B}">
      <formula1>Landkarten</formula1>
    </dataValidation>
    <dataValidation type="list" showInputMessage="1" sqref="A17 B14:B16 A13 A21" xr:uid="{8C4140E8-9051-4B25-AB6F-CCDA47325D52}">
      <formula1>Tätigkeiten</formula1>
    </dataValidation>
    <dataValidation type="list" allowBlank="1" showInputMessage="1" sqref="C27 D28 D14:D24" xr:uid="{5AB1A7A3-E40B-4726-8BA5-F15701123221}">
      <formula1>Räumlichkeiten</formula1>
    </dataValidation>
    <dataValidation type="list" showInputMessage="1" sqref="C14:C22" xr:uid="{086600A7-C6A0-4225-A671-3D0A0922AA9D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39" max="3" man="1"/>
    <brk id="42" max="3" man="1"/>
    <brk id="44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6F4FB0-54BC-46B1-A8F8-A8764A02372E}">
          <x14:formula1>
            <xm:f>Einstellungen!$N$71:$N$74</xm:f>
          </x14:formula1>
          <xm:sqref>G1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B321-3E2C-43B3-BD55-672109311BD8}">
  <sheetPr codeName="Sheet10">
    <tabColor theme="5" tint="0.59999389629810485"/>
    <pageSetUpPr fitToPage="1"/>
  </sheetPr>
  <dimension ref="A1:N85"/>
  <sheetViews>
    <sheetView showGridLines="0" view="pageBreakPreview" zoomScale="130" zoomScaleNormal="100" zoomScaleSheetLayoutView="130" workbookViewId="0">
      <selection activeCell="C119" sqref="C119:I119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4" ht="18" customHeight="1" x14ac:dyDescent="0.3">
      <c r="A2" s="57" t="s">
        <v>3</v>
      </c>
      <c r="B2" s="1"/>
      <c r="C2" s="1"/>
      <c r="D2" s="48" t="str">
        <f>IF(EXACT($G$1,"Genehmigt durch Kdt"),"","PROVISORISCH")</f>
        <v>PROVISORISCH</v>
      </c>
      <c r="N2" s="42">
        <v>8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>"Tagesbefehl Nr " &amp; $N$2 &amp; " für " &amp; UPPER(TEXT($N$2+1,"[$-407]dddd")) &amp; ", " &amp; TEXT(Einstellungen!C6+$N$2-1,"DD.MM.YYYY")</f>
        <v>Tagesbefehl Nr 8 für MONTAG, 28.09.2026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ht="12" customHeight="1" x14ac:dyDescent="0.25">
      <c r="A14" s="69" t="s">
        <v>245</v>
      </c>
      <c r="B14" s="7" t="s">
        <v>417</v>
      </c>
      <c r="C14" s="7" t="s">
        <v>79</v>
      </c>
      <c r="D14" s="7" t="s">
        <v>261</v>
      </c>
    </row>
    <row r="15" spans="1:14" s="8" customFormat="1" x14ac:dyDescent="0.25">
      <c r="A15" s="35" t="s">
        <v>418</v>
      </c>
      <c r="B15" s="7" t="s">
        <v>419</v>
      </c>
      <c r="C15" s="7" t="s">
        <v>79</v>
      </c>
      <c r="D15" s="7" t="s">
        <v>420</v>
      </c>
    </row>
    <row r="16" spans="1:14" s="8" customFormat="1" x14ac:dyDescent="0.25">
      <c r="A16" s="35"/>
      <c r="B16" s="7"/>
      <c r="C16" s="7"/>
      <c r="D16" s="7"/>
    </row>
    <row r="17" spans="1:6" s="8" customFormat="1" x14ac:dyDescent="0.25">
      <c r="A17" s="26" t="s">
        <v>255</v>
      </c>
      <c r="B17" s="9"/>
      <c r="C17" s="9"/>
      <c r="D17" s="9"/>
    </row>
    <row r="18" spans="1:6" s="8" customFormat="1" ht="3.75" customHeight="1" x14ac:dyDescent="0.25">
      <c r="A18" s="37"/>
      <c r="B18" s="6"/>
      <c r="C18" s="6"/>
      <c r="D18" s="6"/>
    </row>
    <row r="19" spans="1:6" s="8" customFormat="1" ht="14.25" customHeight="1" x14ac:dyDescent="0.25">
      <c r="A19" s="122" t="s">
        <v>413</v>
      </c>
      <c r="C19" s="122"/>
      <c r="D19" s="7"/>
      <c r="E19" s="45" t="s">
        <v>316</v>
      </c>
      <c r="F19" s="44"/>
    </row>
    <row r="20" spans="1:6" s="8" customFormat="1" ht="12.75" customHeight="1" x14ac:dyDescent="0.25">
      <c r="A20" s="22"/>
      <c r="B20" s="10"/>
      <c r="C20" s="10"/>
      <c r="D20" s="11"/>
    </row>
    <row r="21" spans="1:6" s="8" customFormat="1" x14ac:dyDescent="0.25">
      <c r="A21" s="26" t="s">
        <v>270</v>
      </c>
      <c r="B21" s="5"/>
      <c r="C21" s="5"/>
      <c r="D21" s="5"/>
    </row>
    <row r="22" spans="1:6" s="8" customFormat="1" ht="3.75" customHeight="1" x14ac:dyDescent="0.25">
      <c r="A22" s="38"/>
      <c r="B22" s="12"/>
      <c r="C22" s="12"/>
      <c r="D22" s="12"/>
    </row>
    <row r="23" spans="1:6" s="8" customFormat="1" x14ac:dyDescent="0.25">
      <c r="A23" s="121" t="s">
        <v>413</v>
      </c>
      <c r="B23" s="6"/>
      <c r="C23" s="6"/>
      <c r="D23" s="6"/>
      <c r="E23" s="45" t="s">
        <v>316</v>
      </c>
      <c r="F23" s="44"/>
    </row>
    <row r="24" spans="1:6" s="8" customFormat="1" x14ac:dyDescent="0.25">
      <c r="A24" s="22"/>
      <c r="B24" s="10"/>
      <c r="C24" s="10"/>
      <c r="D24" s="11"/>
    </row>
    <row r="25" spans="1:6" s="8" customFormat="1" x14ac:dyDescent="0.25">
      <c r="A25" s="26" t="s">
        <v>273</v>
      </c>
      <c r="B25" s="5"/>
      <c r="C25" s="5"/>
      <c r="D25" s="5"/>
    </row>
    <row r="26" spans="1:6" s="8" customFormat="1" ht="3.75" customHeight="1" x14ac:dyDescent="0.25">
      <c r="A26" s="37"/>
      <c r="B26" s="12"/>
      <c r="C26" s="12"/>
      <c r="D26" s="12"/>
    </row>
    <row r="27" spans="1:6" s="8" customFormat="1" x14ac:dyDescent="0.25">
      <c r="A27" s="35" t="s">
        <v>274</v>
      </c>
      <c r="B27" s="7" t="s">
        <v>275</v>
      </c>
      <c r="C27" s="17" t="s">
        <v>414</v>
      </c>
    </row>
    <row r="28" spans="1:6" s="8" customFormat="1" x14ac:dyDescent="0.25">
      <c r="A28" s="52" t="s">
        <v>274</v>
      </c>
      <c r="B28" s="35" t="s">
        <v>421</v>
      </c>
      <c r="C28" s="17" t="s">
        <v>422</v>
      </c>
      <c r="D28" s="17"/>
    </row>
    <row r="29" spans="1:6" s="8" customFormat="1" x14ac:dyDescent="0.25">
      <c r="A29" s="40" t="s">
        <v>277</v>
      </c>
      <c r="B29" s="51" t="s">
        <v>38</v>
      </c>
      <c r="C29" s="17" t="str">
        <f>Einstellungen!$K$35</f>
        <v>Lt Christophe Lopez-Polo</v>
      </c>
      <c r="D29" s="17"/>
    </row>
    <row r="30" spans="1:6" s="8" customFormat="1" x14ac:dyDescent="0.25">
      <c r="A30" s="40" t="s">
        <v>249</v>
      </c>
      <c r="B30" s="13" t="s">
        <v>423</v>
      </c>
      <c r="C30" s="17" t="str">
        <f>VLOOKUP(Einstellungen!$C$6+$N$2-1,Tagesof[#Data],2)</f>
        <v>Oblt Sieber</v>
      </c>
      <c r="D30" s="17"/>
    </row>
    <row r="31" spans="1:6" s="8" customFormat="1" x14ac:dyDescent="0.25">
      <c r="A31" s="52"/>
      <c r="B31" s="35"/>
      <c r="C31" s="17"/>
      <c r="D31" s="17"/>
    </row>
    <row r="32" spans="1:6" s="8" customFormat="1" x14ac:dyDescent="0.25">
      <c r="A32" s="52"/>
      <c r="B32" s="35"/>
      <c r="C32" s="17"/>
      <c r="D32" s="17"/>
    </row>
    <row r="33" spans="1:4" s="8" customFormat="1" x14ac:dyDescent="0.25">
      <c r="A33" s="35"/>
      <c r="B33" s="15"/>
      <c r="C33" s="7"/>
      <c r="D33" s="7"/>
    </row>
    <row r="34" spans="1:4" s="8" customFormat="1" x14ac:dyDescent="0.25">
      <c r="A34" s="28" t="s">
        <v>283</v>
      </c>
      <c r="B34" s="12"/>
      <c r="D34" s="49" t="s">
        <v>3</v>
      </c>
    </row>
    <row r="35" spans="1:4" s="8" customFormat="1" x14ac:dyDescent="0.25">
      <c r="A35" s="29" t="s">
        <v>416</v>
      </c>
      <c r="B35" s="16"/>
      <c r="D35" s="17"/>
    </row>
    <row r="36" spans="1:4" s="8" customFormat="1" x14ac:dyDescent="0.25">
      <c r="A36" s="11" t="s">
        <v>285</v>
      </c>
      <c r="B36" s="16"/>
      <c r="D36" s="14"/>
    </row>
    <row r="37" spans="1:4" s="8" customFormat="1" x14ac:dyDescent="0.25">
      <c r="B37" s="16"/>
      <c r="D37" s="3"/>
    </row>
    <row r="38" spans="1:4" s="8" customFormat="1" x14ac:dyDescent="0.25">
      <c r="A38" s="28" t="s">
        <v>286</v>
      </c>
      <c r="B38" s="16"/>
      <c r="D38" s="23" t="s">
        <v>42</v>
      </c>
    </row>
    <row r="39" spans="1:4" s="8" customFormat="1" x14ac:dyDescent="0.25">
      <c r="A39" s="29" t="s">
        <v>287</v>
      </c>
      <c r="B39" s="16"/>
      <c r="D39" s="18" t="s">
        <v>79</v>
      </c>
    </row>
    <row r="40" spans="1:4" s="8" customFormat="1" x14ac:dyDescent="0.25">
      <c r="A40" s="41"/>
      <c r="B40" s="16"/>
      <c r="C40" s="16"/>
      <c r="D40" s="16"/>
    </row>
    <row r="41" spans="1:4" s="8" customFormat="1" x14ac:dyDescent="0.25">
      <c r="A41" s="41"/>
      <c r="B41" s="16"/>
      <c r="C41" s="16"/>
      <c r="D41" s="16"/>
    </row>
    <row r="42" spans="1:4" s="8" customFormat="1" x14ac:dyDescent="0.25">
      <c r="A42" s="41"/>
      <c r="B42" s="16"/>
      <c r="C42" s="19"/>
      <c r="D42" s="16"/>
    </row>
    <row r="43" spans="1:4" s="8" customFormat="1" x14ac:dyDescent="0.25">
      <c r="A43" s="41"/>
      <c r="B43" s="16"/>
      <c r="C43" s="16"/>
      <c r="D43" s="16"/>
    </row>
    <row r="44" spans="1:4" s="8" customFormat="1" x14ac:dyDescent="0.25">
      <c r="A44" s="41"/>
      <c r="B44" s="16"/>
      <c r="C44" s="16"/>
      <c r="D44" s="16"/>
    </row>
    <row r="45" spans="1:4" s="8" customFormat="1" x14ac:dyDescent="0.25">
      <c r="A45" s="42"/>
      <c r="B45" s="17"/>
      <c r="C45" s="17"/>
      <c r="D45" s="17"/>
    </row>
    <row r="46" spans="1:4" s="8" customFormat="1" x14ac:dyDescent="0.25">
      <c r="A46" s="43"/>
      <c r="B46" s="17"/>
      <c r="C46" s="17"/>
      <c r="D46" s="17"/>
    </row>
    <row r="47" spans="1:4" s="8" customFormat="1" x14ac:dyDescent="0.25">
      <c r="A47" s="42"/>
      <c r="B47" s="17"/>
      <c r="C47" s="17"/>
      <c r="D47" s="17"/>
    </row>
    <row r="48" spans="1:4" s="8" customFormat="1" x14ac:dyDescent="0.25">
      <c r="A48" s="42"/>
      <c r="B48" s="17"/>
      <c r="C48" s="17"/>
      <c r="D48" s="17"/>
    </row>
    <row r="49" spans="1:4" s="8" customFormat="1" x14ac:dyDescent="0.25">
      <c r="A49" s="43"/>
      <c r="B49" s="17"/>
      <c r="C49" s="17"/>
      <c r="D49" s="17"/>
    </row>
    <row r="50" spans="1:4" s="8" customFormat="1" x14ac:dyDescent="0.25">
      <c r="A50" s="42"/>
      <c r="B50" s="17"/>
      <c r="C50" s="17"/>
      <c r="D50" s="17"/>
    </row>
    <row r="51" spans="1:4" s="8" customFormat="1" x14ac:dyDescent="0.25">
      <c r="A51" s="39"/>
      <c r="B51" s="3"/>
      <c r="C51" s="3"/>
      <c r="D51" s="3"/>
    </row>
    <row r="52" spans="1:4" s="8" customFormat="1" x14ac:dyDescent="0.25">
      <c r="A52" s="39"/>
      <c r="B52" s="3"/>
      <c r="C52" s="3"/>
      <c r="D52" s="3"/>
    </row>
    <row r="53" spans="1:4" s="8" customFormat="1" x14ac:dyDescent="0.25">
      <c r="A53" s="39"/>
      <c r="B53" s="3"/>
      <c r="C53" s="3"/>
      <c r="D53" s="3"/>
    </row>
    <row r="54" spans="1:4" s="8" customFormat="1" x14ac:dyDescent="0.25">
      <c r="A54" s="39"/>
      <c r="B54" s="3"/>
      <c r="C54" s="3"/>
      <c r="D54" s="3"/>
    </row>
    <row r="55" spans="1:4" s="8" customFormat="1" x14ac:dyDescent="0.25">
      <c r="A55" s="39"/>
      <c r="B55" s="3"/>
      <c r="C55" s="3"/>
      <c r="D55" s="3"/>
    </row>
    <row r="56" spans="1:4" s="8" customFormat="1" x14ac:dyDescent="0.25">
      <c r="A56" s="39"/>
      <c r="B56" s="3"/>
      <c r="C56" s="3"/>
      <c r="D56" s="3"/>
    </row>
    <row r="57" spans="1:4" s="8" customFormat="1" x14ac:dyDescent="0.25">
      <c r="A57" s="39"/>
      <c r="B57" s="3"/>
      <c r="C57" s="3"/>
      <c r="D57" s="3"/>
    </row>
    <row r="58" spans="1:4" s="8" customFormat="1" x14ac:dyDescent="0.25">
      <c r="A58" s="39"/>
      <c r="B58" s="3"/>
      <c r="C58" s="3"/>
      <c r="D58" s="3"/>
    </row>
    <row r="59" spans="1:4" s="8" customFormat="1" x14ac:dyDescent="0.25">
      <c r="A59" s="39"/>
      <c r="B59" s="3"/>
      <c r="C59" s="3"/>
      <c r="D59" s="3"/>
    </row>
    <row r="60" spans="1:4" s="8" customFormat="1" ht="12" customHeight="1" x14ac:dyDescent="0.25">
      <c r="A60" s="39"/>
      <c r="B60" s="3"/>
      <c r="C60" s="3"/>
      <c r="D60" s="3"/>
    </row>
    <row r="61" spans="1:4" s="8" customFormat="1" x14ac:dyDescent="0.25">
      <c r="A61" s="39"/>
      <c r="B61" s="3"/>
      <c r="C61" s="3"/>
      <c r="D61" s="3"/>
    </row>
    <row r="62" spans="1:4" s="8" customFormat="1" x14ac:dyDescent="0.25">
      <c r="A62" s="39"/>
      <c r="B62" s="3"/>
      <c r="C62" s="3"/>
      <c r="D62" s="3"/>
    </row>
    <row r="63" spans="1:4" s="8" customFormat="1" x14ac:dyDescent="0.25">
      <c r="A63" s="39"/>
      <c r="B63" s="3"/>
      <c r="C63" s="3"/>
      <c r="D63" s="3"/>
    </row>
    <row r="64" spans="1:4" s="8" customFormat="1" x14ac:dyDescent="0.25">
      <c r="A64" s="39"/>
      <c r="B64" s="3"/>
      <c r="C64" s="3"/>
      <c r="D64" s="3"/>
    </row>
    <row r="65" spans="1:4" s="8" customFormat="1" x14ac:dyDescent="0.25">
      <c r="A65" s="39"/>
      <c r="B65" s="3"/>
      <c r="C65" s="3"/>
      <c r="D65" s="3"/>
    </row>
    <row r="66" spans="1:4" s="8" customFormat="1" x14ac:dyDescent="0.25">
      <c r="A66" s="39"/>
      <c r="B66" s="3"/>
      <c r="C66" s="3"/>
      <c r="D66" s="3"/>
    </row>
    <row r="67" spans="1:4" ht="7.5" customHeight="1" x14ac:dyDescent="0.25"/>
    <row r="69" spans="1:4" ht="7.5" customHeight="1" x14ac:dyDescent="0.25"/>
    <row r="70" spans="1:4" s="8" customFormat="1" x14ac:dyDescent="0.25">
      <c r="A70" s="39"/>
      <c r="B70" s="3"/>
      <c r="C70" s="3"/>
      <c r="D70" s="3"/>
    </row>
    <row r="71" spans="1:4" s="8" customFormat="1" x14ac:dyDescent="0.25">
      <c r="A71" s="39"/>
      <c r="B71" s="3"/>
      <c r="C71" s="3"/>
      <c r="D71" s="3"/>
    </row>
    <row r="72" spans="1:4" s="8" customFormat="1" ht="11.25" customHeight="1" x14ac:dyDescent="0.25">
      <c r="A72" s="39"/>
      <c r="B72" s="3"/>
      <c r="C72" s="3"/>
      <c r="D72" s="3"/>
    </row>
    <row r="73" spans="1:4" ht="7.5" customHeight="1" x14ac:dyDescent="0.25"/>
    <row r="75" spans="1:4" ht="7.5" customHeight="1" x14ac:dyDescent="0.25"/>
    <row r="76" spans="1:4" ht="7.5" customHeight="1" x14ac:dyDescent="0.25"/>
    <row r="77" spans="1:4" s="8" customFormat="1" x14ac:dyDescent="0.25">
      <c r="A77" s="39"/>
      <c r="B77" s="3"/>
      <c r="C77" s="3"/>
      <c r="D77" s="3"/>
    </row>
    <row r="78" spans="1:4" s="8" customFormat="1" x14ac:dyDescent="0.25">
      <c r="A78" s="39"/>
      <c r="B78" s="3"/>
      <c r="C78" s="3"/>
      <c r="D78" s="3"/>
    </row>
    <row r="79" spans="1:4" s="1" customFormat="1" ht="7.5" customHeight="1" x14ac:dyDescent="0.25">
      <c r="A79" s="39"/>
      <c r="B79" s="3"/>
      <c r="C79" s="3"/>
      <c r="D79" s="3"/>
    </row>
    <row r="80" spans="1:4" s="1" customFormat="1" x14ac:dyDescent="0.25">
      <c r="A80" s="39"/>
      <c r="B80" s="3"/>
      <c r="C80" s="3"/>
      <c r="D80" s="3"/>
    </row>
    <row r="81" spans="1:4" s="1" customFormat="1" ht="7.5" customHeight="1" x14ac:dyDescent="0.25">
      <c r="A81" s="39"/>
      <c r="B81" s="3"/>
      <c r="C81" s="3"/>
      <c r="D81" s="3"/>
    </row>
    <row r="84" spans="1:4" s="8" customFormat="1" x14ac:dyDescent="0.25">
      <c r="A84" s="39"/>
      <c r="B84" s="3"/>
      <c r="C84" s="3"/>
      <c r="D84" s="3"/>
    </row>
    <row r="85" spans="1:4" s="8" customFormat="1" x14ac:dyDescent="0.25">
      <c r="A85" s="39"/>
      <c r="B85" s="3"/>
      <c r="C85" s="3"/>
      <c r="D85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79" priority="1" operator="equal">
      <formula>"Verworfen"</formula>
    </cfRule>
    <cfRule type="cellIs" dxfId="78" priority="2" operator="equal">
      <formula>"Genehmigt durch Kdt"</formula>
    </cfRule>
    <cfRule type="cellIs" dxfId="77" priority="3" operator="equal">
      <formula>"Bereit für Kdt"</formula>
    </cfRule>
    <cfRule type="cellIs" dxfId="76" priority="4" operator="equal">
      <formula>"Entwurf"</formula>
    </cfRule>
  </conditionalFormatting>
  <dataValidations count="9">
    <dataValidation type="list" allowBlank="1" showInputMessage="1" sqref="D25:D26 C28 C31:C32" xr:uid="{3B196602-4040-45F6-AA27-2CE7AA16EB68}">
      <formula1>Räumlichkeiten</formula1>
    </dataValidation>
    <dataValidation type="list" showInputMessage="1" sqref="A23 B17:B18 A19" xr:uid="{FB789366-5A7F-4993-BFFA-8C60783A15DE}">
      <formula1>Tätigkeiten</formula1>
    </dataValidation>
    <dataValidation type="list" allowBlank="1" showInputMessage="1" showErrorMessage="1" sqref="A7" xr:uid="{20EB27E2-04D0-45EB-B821-410AEEBEAC33}">
      <formula1>Landkarten</formula1>
    </dataValidation>
    <dataValidation type="list" allowBlank="1" showInputMessage="1" showErrorMessage="1" sqref="A35 A39" xr:uid="{A69901F8-5F53-4CD9-9D0A-DAE517797D50}">
      <formula1>Verteiler</formula1>
    </dataValidation>
    <dataValidation type="list" allowBlank="1" showInputMessage="1" showErrorMessage="1" sqref="D38" xr:uid="{8C6C8417-1A41-427C-9613-272EF8C8E00C}">
      <formula1>WerUnterschrift</formula1>
    </dataValidation>
    <dataValidation type="list" allowBlank="1" showInputMessage="1" showErrorMessage="1" sqref="D5" xr:uid="{CA6936B9-3E23-4653-BB99-96F7A374B6F0}">
      <formula1>ENTWURF</formula1>
    </dataValidation>
    <dataValidation type="list" allowBlank="1" showInputMessage="1" showErrorMessage="1" sqref="D39" xr:uid="{BE2DDE2C-77F7-458C-8097-B2F5D65D4D8F}">
      <formula1>VerantwortungTgbf</formula1>
    </dataValidation>
    <dataValidation type="list" allowBlank="1" showInputMessage="1" showErrorMessage="1" sqref="B23" xr:uid="{83606428-C868-4873-ADC5-628088C0D318}">
      <formula1>Rapporte</formula1>
    </dataValidation>
    <dataValidation type="list" showInputMessage="1" sqref="C14:C24" xr:uid="{1BD9B0F5-11B1-49C8-8658-4FAC4CC788C0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43" max="3" man="1"/>
    <brk id="46" max="3" man="1"/>
    <brk id="48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1645D9-5A1F-45DB-941E-1D9CE6A98FE9}">
          <x14:formula1>
            <xm:f>Einstellungen!$N$71:$N$74</xm:f>
          </x14:formula1>
          <xm:sqref>G1</xm:sqref>
        </x14:dataValidation>
        <x14:dataValidation type="list" showInputMessage="1" xr:uid="{F08FB61F-8B49-4684-B344-6471947B3CCD}">
          <x14:formula1>
            <xm:f>Einstellungen!$B$71:$B$84</xm:f>
          </x14:formula1>
          <xm:sqref>B14:B16</xm:sqref>
        </x14:dataValidation>
        <x14:dataValidation type="list" allowBlank="1" showInputMessage="1" xr:uid="{266F68D5-E5BD-4493-91E2-0E2E012717D9}">
          <x14:formula1>
            <xm:f>Einstellungen!$H$71:$H$86</xm:f>
          </x14:formula1>
          <xm:sqref>D14:D24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BB7E-A185-4220-A7F3-FA847B9B1292}">
  <sheetPr>
    <tabColor theme="5" tint="0.59999389629810485"/>
    <pageSetUpPr fitToPage="1"/>
  </sheetPr>
  <dimension ref="A1:N96"/>
  <sheetViews>
    <sheetView showGridLines="0" view="pageBreakPreview" topLeftCell="A8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4" ht="18" customHeight="1" x14ac:dyDescent="0.3">
      <c r="A2" s="57" t="s">
        <v>3</v>
      </c>
      <c r="B2" s="1"/>
      <c r="C2" s="1"/>
      <c r="D2" s="48" t="str">
        <f>IF(EXACT($G$1,"Genehmigt durch Kdt"),"","PROVISORISCH")</f>
        <v>PROVISORISCH</v>
      </c>
      <c r="N2" s="42">
        <v>9</v>
      </c>
    </row>
    <row r="3" spans="1:14" ht="13.95" customHeight="1" x14ac:dyDescent="0.25">
      <c r="A3" s="274" t="s">
        <v>208</v>
      </c>
      <c r="B3" s="275"/>
      <c r="C3" s="275"/>
      <c r="D3" s="275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customHeight="1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9 für DIENSTAG, 29.09.2026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8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8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6" s="8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6" s="8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6" s="8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6" s="8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6" s="8" customFormat="1" x14ac:dyDescent="0.25">
      <c r="A21" s="35"/>
      <c r="B21" s="7"/>
      <c r="C21" s="7"/>
      <c r="D21" s="7"/>
    </row>
    <row r="22" spans="1:6" s="8" customFormat="1" x14ac:dyDescent="0.25">
      <c r="A22" s="27" t="s">
        <v>191</v>
      </c>
      <c r="B22" s="7"/>
      <c r="C22" s="7"/>
      <c r="D22" s="7"/>
    </row>
    <row r="23" spans="1:6" s="8" customFormat="1" x14ac:dyDescent="0.25">
      <c r="A23" s="13" t="s">
        <v>428</v>
      </c>
      <c r="B23" s="7" t="s">
        <v>429</v>
      </c>
      <c r="C23" s="7"/>
      <c r="D23" s="7"/>
    </row>
    <row r="24" spans="1:6" s="8" customFormat="1" x14ac:dyDescent="0.25">
      <c r="A24" s="13"/>
      <c r="B24" s="7"/>
      <c r="C24" s="7"/>
      <c r="D24" s="7"/>
    </row>
    <row r="25" spans="1:6" s="8" customFormat="1" x14ac:dyDescent="0.25">
      <c r="A25" s="30" t="s">
        <v>430</v>
      </c>
      <c r="B25" s="7"/>
      <c r="C25" s="7"/>
      <c r="D25" s="7"/>
    </row>
    <row r="26" spans="1:6" s="52" customFormat="1" ht="12" x14ac:dyDescent="0.25">
      <c r="A26" s="30"/>
      <c r="B26" s="7"/>
      <c r="C26" s="7"/>
      <c r="D26" s="7"/>
      <c r="E26" s="111" t="s">
        <v>316</v>
      </c>
      <c r="F26" s="112"/>
    </row>
    <row r="27" spans="1:6" s="52" customFormat="1" ht="11.4" x14ac:dyDescent="0.2">
      <c r="A27" s="13"/>
      <c r="B27" s="7"/>
      <c r="C27" s="7"/>
      <c r="D27" s="7"/>
      <c r="E27" s="111"/>
      <c r="F27" s="112"/>
    </row>
    <row r="28" spans="1:6" s="52" customFormat="1" ht="12" x14ac:dyDescent="0.25">
      <c r="A28" s="27" t="s">
        <v>431</v>
      </c>
      <c r="B28" s="7"/>
      <c r="C28" s="7"/>
      <c r="D28" s="7"/>
      <c r="E28" s="111"/>
      <c r="F28" s="112"/>
    </row>
    <row r="29" spans="1:6" s="8" customFormat="1" x14ac:dyDescent="0.25">
      <c r="A29" s="27"/>
      <c r="B29" s="7"/>
      <c r="C29" s="7"/>
      <c r="D29" s="7"/>
    </row>
    <row r="30" spans="1:6" s="8" customFormat="1" x14ac:dyDescent="0.25">
      <c r="A30" s="13"/>
      <c r="B30" s="7"/>
      <c r="C30" s="7"/>
      <c r="D30" s="7"/>
    </row>
    <row r="31" spans="1:6" s="8" customFormat="1" x14ac:dyDescent="0.25">
      <c r="A31" s="27" t="s">
        <v>63</v>
      </c>
      <c r="B31" s="7"/>
      <c r="C31" s="7"/>
      <c r="D31" s="7"/>
    </row>
    <row r="32" spans="1:6" s="8" customFormat="1" x14ac:dyDescent="0.25">
      <c r="A32" s="27"/>
      <c r="B32" s="7"/>
      <c r="C32" s="7"/>
      <c r="D32" s="7"/>
      <c r="E32" s="45" t="s">
        <v>316</v>
      </c>
      <c r="F32" s="44"/>
    </row>
    <row r="33" spans="1:6" s="8" customFormat="1" x14ac:dyDescent="0.25">
      <c r="A33" s="13"/>
      <c r="B33" s="7"/>
      <c r="C33" s="7"/>
      <c r="D33" s="7"/>
      <c r="E33" s="45"/>
      <c r="F33" s="44"/>
    </row>
    <row r="34" spans="1:6" s="8" customFormat="1" x14ac:dyDescent="0.25">
      <c r="A34" s="27" t="s">
        <v>64</v>
      </c>
      <c r="B34" s="7"/>
      <c r="C34" s="7"/>
      <c r="D34" s="7"/>
      <c r="E34" s="45"/>
      <c r="F34" s="44"/>
    </row>
    <row r="35" spans="1:6" s="8" customFormat="1" x14ac:dyDescent="0.25">
      <c r="A35" s="27"/>
      <c r="B35" s="7"/>
      <c r="C35" s="7"/>
      <c r="D35" s="7"/>
    </row>
    <row r="36" spans="1:6" s="8" customFormat="1" x14ac:dyDescent="0.25">
      <c r="A36" s="27"/>
      <c r="B36" s="7"/>
      <c r="C36" s="7"/>
      <c r="D36" s="7"/>
    </row>
    <row r="37" spans="1:6" s="8" customFormat="1" x14ac:dyDescent="0.25">
      <c r="A37" s="27" t="s">
        <v>66</v>
      </c>
      <c r="B37" s="7"/>
      <c r="C37" s="7"/>
      <c r="D37" s="7"/>
    </row>
    <row r="38" spans="1:6" s="8" customFormat="1" x14ac:dyDescent="0.25">
      <c r="A38" s="27"/>
      <c r="B38" s="7"/>
      <c r="C38" s="7"/>
      <c r="D38" s="7"/>
    </row>
    <row r="39" spans="1:6" s="8" customFormat="1" x14ac:dyDescent="0.25">
      <c r="A39" s="7"/>
      <c r="B39" s="7"/>
      <c r="C39" s="7"/>
      <c r="D39" s="7"/>
    </row>
    <row r="40" spans="1:6" s="8" customFormat="1" x14ac:dyDescent="0.25">
      <c r="A40" s="35"/>
      <c r="B40" s="7"/>
      <c r="C40" s="7"/>
      <c r="D40" s="7"/>
    </row>
    <row r="41" spans="1:6" s="8" customFormat="1" x14ac:dyDescent="0.25">
      <c r="A41" s="26" t="s">
        <v>255</v>
      </c>
      <c r="B41" s="9"/>
      <c r="C41" s="9"/>
      <c r="D41" s="9"/>
    </row>
    <row r="42" spans="1:6" s="8" customFormat="1" ht="3" customHeight="1" x14ac:dyDescent="0.25">
      <c r="A42" s="37"/>
      <c r="B42" s="6"/>
      <c r="C42" s="6"/>
      <c r="D42" s="6"/>
    </row>
    <row r="43" spans="1:6" s="8" customFormat="1" x14ac:dyDescent="0.25">
      <c r="A43" s="7" t="s">
        <v>413</v>
      </c>
      <c r="B43" s="52"/>
      <c r="C43" s="7"/>
      <c r="D43" s="7"/>
    </row>
    <row r="44" spans="1:6" s="8" customFormat="1" x14ac:dyDescent="0.25">
      <c r="A44" s="22"/>
      <c r="B44" s="10"/>
      <c r="C44" s="7"/>
      <c r="D44" s="11"/>
    </row>
    <row r="45" spans="1:6" s="8" customFormat="1" x14ac:dyDescent="0.25">
      <c r="A45" s="26" t="s">
        <v>270</v>
      </c>
      <c r="B45" s="5"/>
      <c r="C45" s="5"/>
      <c r="D45" s="5"/>
    </row>
    <row r="46" spans="1:6" s="8" customFormat="1" ht="3" customHeight="1" x14ac:dyDescent="0.25">
      <c r="A46" s="38"/>
      <c r="B46" s="12"/>
      <c r="C46" s="12"/>
      <c r="D46" s="12"/>
    </row>
    <row r="47" spans="1:6" s="8" customFormat="1" x14ac:dyDescent="0.25">
      <c r="A47" s="37" t="s">
        <v>432</v>
      </c>
      <c r="B47" s="6" t="s">
        <v>82</v>
      </c>
      <c r="C47" s="7" t="s">
        <v>79</v>
      </c>
      <c r="D47" s="6" t="s">
        <v>239</v>
      </c>
    </row>
    <row r="48" spans="1:6" s="8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</row>
    <row r="49" spans="1:4" s="8" customFormat="1" x14ac:dyDescent="0.25">
      <c r="A49" s="22"/>
      <c r="B49" s="10"/>
      <c r="C49" s="10"/>
      <c r="D49" s="11"/>
    </row>
    <row r="50" spans="1:4" s="8" customFormat="1" x14ac:dyDescent="0.25">
      <c r="A50" s="26" t="s">
        <v>273</v>
      </c>
      <c r="B50" s="5"/>
      <c r="C50" s="5"/>
      <c r="D50" s="5"/>
    </row>
    <row r="51" spans="1:4" s="8" customFormat="1" ht="3" customHeight="1" x14ac:dyDescent="0.25">
      <c r="A51" s="37"/>
      <c r="B51" s="12"/>
      <c r="C51" s="12"/>
      <c r="D51" s="12"/>
    </row>
    <row r="52" spans="1:4" s="8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  <c r="D52" s="113"/>
    </row>
    <row r="53" spans="1:4" s="8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8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8" customFormat="1" x14ac:dyDescent="0.25">
      <c r="A55" s="40" t="s">
        <v>249</v>
      </c>
      <c r="B55" s="13" t="s">
        <v>423</v>
      </c>
      <c r="C55" s="17" t="str">
        <f>VLOOKUP(Einstellungen!$C$6+$N$2-1,Tagesof[#Data],2)</f>
        <v>Lt Gemeinder</v>
      </c>
      <c r="D55" s="17"/>
    </row>
    <row r="56" spans="1:4" s="8" customFormat="1" x14ac:dyDescent="0.25">
      <c r="A56" s="52"/>
      <c r="B56" s="35"/>
      <c r="C56" s="17"/>
      <c r="D56" s="17"/>
    </row>
    <row r="57" spans="1:4" s="8" customFormat="1" x14ac:dyDescent="0.25">
      <c r="A57" s="52"/>
      <c r="B57" s="35"/>
      <c r="C57" s="17"/>
      <c r="D57" s="17"/>
    </row>
    <row r="58" spans="1:4" s="8" customFormat="1" x14ac:dyDescent="0.25">
      <c r="A58" s="35"/>
      <c r="B58" s="15"/>
      <c r="C58" s="7"/>
      <c r="D58" s="7"/>
    </row>
    <row r="59" spans="1:4" s="8" customFormat="1" x14ac:dyDescent="0.25">
      <c r="A59" s="28" t="s">
        <v>283</v>
      </c>
      <c r="B59" s="12"/>
      <c r="C59" s="113"/>
      <c r="D59" s="49" t="s">
        <v>3</v>
      </c>
    </row>
    <row r="60" spans="1:4" s="8" customFormat="1" x14ac:dyDescent="0.25">
      <c r="A60" s="29" t="s">
        <v>416</v>
      </c>
      <c r="B60" s="16"/>
      <c r="C60" s="113"/>
      <c r="D60" s="17"/>
    </row>
    <row r="61" spans="1:4" s="8" customFormat="1" x14ac:dyDescent="0.25">
      <c r="A61" s="11" t="s">
        <v>285</v>
      </c>
      <c r="B61" s="16"/>
      <c r="C61" s="113"/>
      <c r="D61" s="14"/>
    </row>
    <row r="62" spans="1:4" s="8" customFormat="1" x14ac:dyDescent="0.25">
      <c r="A62" s="113"/>
      <c r="B62" s="16"/>
      <c r="C62" s="113"/>
      <c r="D62" s="3"/>
    </row>
    <row r="63" spans="1:4" s="8" customFormat="1" x14ac:dyDescent="0.25">
      <c r="A63" s="28" t="s">
        <v>286</v>
      </c>
      <c r="B63" s="16"/>
      <c r="C63" s="113"/>
      <c r="D63" s="23" t="s">
        <v>42</v>
      </c>
    </row>
    <row r="64" spans="1:4" s="8" customFormat="1" x14ac:dyDescent="0.25">
      <c r="A64" s="29" t="s">
        <v>287</v>
      </c>
      <c r="B64" s="16"/>
      <c r="C64" s="113"/>
      <c r="D64" s="18" t="s">
        <v>79</v>
      </c>
    </row>
    <row r="65" spans="1:4" s="8" customFormat="1" x14ac:dyDescent="0.25">
      <c r="A65" s="39"/>
      <c r="B65" s="3"/>
      <c r="C65" s="3"/>
      <c r="D65" s="3"/>
    </row>
    <row r="66" spans="1:4" s="8" customFormat="1" x14ac:dyDescent="0.25">
      <c r="A66" s="39"/>
      <c r="B66" s="3"/>
      <c r="C66" s="3"/>
      <c r="D66" s="3"/>
    </row>
    <row r="67" spans="1:4" s="8" customFormat="1" x14ac:dyDescent="0.25">
      <c r="A67" s="39"/>
      <c r="B67" s="3"/>
      <c r="C67" s="3"/>
      <c r="D67" s="3"/>
    </row>
    <row r="68" spans="1:4" s="8" customFormat="1" x14ac:dyDescent="0.25">
      <c r="A68" s="39"/>
      <c r="B68" s="3"/>
      <c r="C68" s="3"/>
      <c r="D68" s="3"/>
    </row>
    <row r="69" spans="1:4" s="8" customFormat="1" x14ac:dyDescent="0.25">
      <c r="A69" s="39"/>
      <c r="B69" s="3"/>
      <c r="C69" s="3"/>
      <c r="D69" s="3"/>
    </row>
    <row r="70" spans="1:4" s="8" customFormat="1" x14ac:dyDescent="0.25">
      <c r="A70" s="39"/>
      <c r="B70" s="3"/>
      <c r="C70" s="3"/>
      <c r="D70" s="3"/>
    </row>
    <row r="71" spans="1:4" s="8" customFormat="1" ht="12" customHeight="1" x14ac:dyDescent="0.25">
      <c r="A71" s="39"/>
      <c r="B71" s="3"/>
      <c r="C71" s="3"/>
      <c r="D71" s="3"/>
    </row>
    <row r="72" spans="1:4" s="8" customFormat="1" x14ac:dyDescent="0.25">
      <c r="A72" s="39"/>
      <c r="B72" s="3"/>
      <c r="C72" s="3"/>
      <c r="D72" s="3"/>
    </row>
    <row r="73" spans="1:4" s="8" customFormat="1" x14ac:dyDescent="0.25">
      <c r="A73" s="39"/>
      <c r="B73" s="3"/>
      <c r="C73" s="3"/>
      <c r="D73" s="3"/>
    </row>
    <row r="74" spans="1:4" s="8" customFormat="1" x14ac:dyDescent="0.25">
      <c r="A74" s="39"/>
      <c r="B74" s="3"/>
      <c r="C74" s="3"/>
      <c r="D74" s="3"/>
    </row>
    <row r="75" spans="1:4" s="8" customFormat="1" x14ac:dyDescent="0.25">
      <c r="A75" s="39"/>
      <c r="B75" s="3"/>
      <c r="C75" s="3"/>
      <c r="D75" s="3"/>
    </row>
    <row r="76" spans="1:4" s="8" customFormat="1" x14ac:dyDescent="0.25">
      <c r="A76" s="39"/>
      <c r="B76" s="3"/>
      <c r="C76" s="3"/>
      <c r="D76" s="3"/>
    </row>
    <row r="77" spans="1:4" s="8" customFormat="1" x14ac:dyDescent="0.25">
      <c r="A77" s="39"/>
      <c r="B77" s="3"/>
      <c r="C77" s="3"/>
      <c r="D77" s="3"/>
    </row>
    <row r="78" spans="1:4" ht="7.5" customHeight="1" x14ac:dyDescent="0.25"/>
    <row r="80" spans="1:4" ht="7.5" customHeight="1" x14ac:dyDescent="0.25"/>
    <row r="81" spans="1:4" s="8" customFormat="1" x14ac:dyDescent="0.25">
      <c r="A81" s="39"/>
      <c r="B81" s="3"/>
      <c r="C81" s="3"/>
      <c r="D81" s="3"/>
    </row>
    <row r="82" spans="1:4" s="8" customFormat="1" x14ac:dyDescent="0.25">
      <c r="A82" s="39"/>
      <c r="B82" s="3"/>
      <c r="C82" s="3"/>
      <c r="D82" s="3"/>
    </row>
    <row r="83" spans="1:4" s="8" customFormat="1" ht="11.25" customHeight="1" x14ac:dyDescent="0.25">
      <c r="A83" s="39"/>
      <c r="B83" s="3"/>
      <c r="C83" s="3"/>
      <c r="D83" s="3"/>
    </row>
    <row r="84" spans="1:4" ht="7.5" customHeight="1" x14ac:dyDescent="0.25"/>
    <row r="86" spans="1:4" ht="7.5" customHeight="1" x14ac:dyDescent="0.25"/>
    <row r="87" spans="1:4" ht="7.5" customHeight="1" x14ac:dyDescent="0.25"/>
    <row r="88" spans="1:4" s="8" customFormat="1" x14ac:dyDescent="0.25">
      <c r="A88" s="39"/>
      <c r="B88" s="3"/>
      <c r="C88" s="3"/>
      <c r="D88" s="3"/>
    </row>
    <row r="89" spans="1:4" s="8" customFormat="1" x14ac:dyDescent="0.25">
      <c r="A89" s="39"/>
      <c r="B89" s="3"/>
      <c r="C89" s="3"/>
      <c r="D89" s="3"/>
    </row>
    <row r="90" spans="1:4" s="1" customFormat="1" ht="7.5" customHeight="1" x14ac:dyDescent="0.25">
      <c r="A90" s="39"/>
      <c r="B90" s="3"/>
      <c r="C90" s="3"/>
      <c r="D90" s="3"/>
    </row>
    <row r="91" spans="1:4" s="1" customFormat="1" x14ac:dyDescent="0.25">
      <c r="A91" s="39"/>
      <c r="B91" s="3"/>
      <c r="C91" s="3"/>
      <c r="D91" s="3"/>
    </row>
    <row r="92" spans="1:4" s="1" customFormat="1" ht="7.5" customHeight="1" x14ac:dyDescent="0.25">
      <c r="A92" s="39"/>
      <c r="B92" s="3"/>
      <c r="C92" s="3"/>
      <c r="D92" s="3"/>
    </row>
    <row r="95" spans="1:4" s="8" customFormat="1" x14ac:dyDescent="0.25">
      <c r="A95" s="39"/>
      <c r="B95" s="3"/>
      <c r="C95" s="3"/>
      <c r="D95" s="3"/>
    </row>
    <row r="96" spans="1:4" s="8" customFormat="1" x14ac:dyDescent="0.25">
      <c r="A96" s="39"/>
      <c r="B96" s="3"/>
      <c r="C96" s="3"/>
      <c r="D96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75" priority="1" operator="equal">
      <formula>"Verworfen"</formula>
    </cfRule>
    <cfRule type="cellIs" dxfId="74" priority="2" operator="equal">
      <formula>"Genehmigt durch Kdt"</formula>
    </cfRule>
    <cfRule type="cellIs" dxfId="73" priority="3" operator="equal">
      <formula>"Bereit für Kdt"</formula>
    </cfRule>
    <cfRule type="cellIs" dxfId="72" priority="4" operator="equal">
      <formula>"Entwurf"</formula>
    </cfRule>
  </conditionalFormatting>
  <dataValidations count="8">
    <dataValidation type="list" allowBlank="1" showInputMessage="1" showErrorMessage="1" sqref="D50 D64" xr:uid="{74CCE0E7-2399-466D-8BE9-26B061CB4301}">
      <formula1>VerantwortungTgbf</formula1>
    </dataValidation>
    <dataValidation type="list" allowBlank="1" showInputMessage="1" showErrorMessage="1" sqref="D5" xr:uid="{FF485400-C231-4130-821E-1F29A3E1C045}">
      <formula1>ENTWURF</formula1>
    </dataValidation>
    <dataValidation type="list" allowBlank="1" showInputMessage="1" showErrorMessage="1" sqref="D49 D63" xr:uid="{69D9F541-5561-453E-8964-DB7516BB7086}">
      <formula1>WerUnterschrift</formula1>
    </dataValidation>
    <dataValidation type="list" allowBlank="1" showInputMessage="1" showErrorMessage="1" sqref="A46 A50 A60 A64" xr:uid="{7A5C5A64-1859-488D-B6F4-05BB6D306437}">
      <formula1>Verteiler</formula1>
    </dataValidation>
    <dataValidation type="list" allowBlank="1" showInputMessage="1" showErrorMessage="1" sqref="A7" xr:uid="{1A442072-4D45-471F-8497-1172E5FF99A5}">
      <formula1>Landkarten</formula1>
    </dataValidation>
    <dataValidation type="list" showInputMessage="1" sqref="A26:A28 B24:B25 B41:B42 A39 A43" xr:uid="{E723932F-2FAD-4BFD-A4BB-EC4128F2D1E4}">
      <formula1>Tätigkeiten</formula1>
    </dataValidation>
    <dataValidation type="list" allowBlank="1" showInputMessage="1" sqref="D36:D37 C39 C42:C43 D50:D51 C53 C56:C57" xr:uid="{59BB9920-4B44-482D-B2C3-5BDFA007362F}">
      <formula1>Räumlichkeiten</formula1>
    </dataValidation>
    <dataValidation type="list" showInputMessage="1" sqref="C14:C35 C41:C42 C45:C46 C49" xr:uid="{341ACA19-1AB7-43F0-8FB6-026784F56C35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1" manualBreakCount="1">
    <brk id="40" max="3" man="1"/>
  </rowBreaks>
  <colBreaks count="1" manualBreakCount="1">
    <brk id="1" max="6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7BED9AB-1E2B-4D15-BEC9-000B96C15AFC}">
          <x14:formula1>
            <xm:f>Einstellungen!$N$71:$N$74</xm:f>
          </x14:formula1>
          <xm:sqref>G1</xm:sqref>
        </x14:dataValidation>
        <x14:dataValidation type="list" showInputMessage="1" xr:uid="{DC5ED326-AB7B-4B0F-AB7A-27B54512D1C5}">
          <x14:formula1>
            <xm:f>Einstellungen!$B$71:$B$84</xm:f>
          </x14:formula1>
          <xm:sqref>B14:B40</xm:sqref>
        </x14:dataValidation>
        <x14:dataValidation type="list" allowBlank="1" showInputMessage="1" xr:uid="{88230002-CF87-4AFB-8E87-39D022357E18}">
          <x14:formula1>
            <xm:f>Einstellungen!$H$71:$H$86</xm:f>
          </x14:formula1>
          <xm:sqref>D14:D49</xm:sqref>
        </x14:dataValidation>
        <x14:dataValidation type="list" showInputMessage="1" xr:uid="{11B931D5-F2CE-4DA7-8CC6-85CF2052FD83}">
          <x14:formula1>
            <xm:f>Einstellungen!$K$71:$K$75</xm:f>
          </x14:formula1>
          <xm:sqref>C13:C40 C43:C44 C47:C48</xm:sqref>
        </x14:dataValidation>
        <x14:dataValidation type="list" allowBlank="1" showInputMessage="1" showErrorMessage="1" xr:uid="{C3402F74-6ED8-4F7B-BA4F-2F4EE84BA50B}">
          <x14:formula1>
            <xm:f>Einstellungen!$E$71:$E$74</xm:f>
          </x14:formula1>
          <xm:sqref>B47:B49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BCB3-70DD-486C-A1EB-E3DBA33B83E6}">
  <sheetPr>
    <tabColor theme="5" tint="0.59999389629810485"/>
    <pageSetUpPr fitToPage="1"/>
  </sheetPr>
  <dimension ref="A1:N99"/>
  <sheetViews>
    <sheetView showGridLines="0" view="pageBreakPreview" topLeftCell="A26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>
        <v>10</v>
      </c>
    </row>
    <row r="3" spans="1:14" ht="13.95" customHeight="1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customHeight="1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10 für MITTWOCH, 30.09.2026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6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6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6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6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6" s="113" customFormat="1" x14ac:dyDescent="0.25">
      <c r="A21" s="35"/>
      <c r="B21" s="7"/>
      <c r="C21" s="7"/>
      <c r="D21" s="7"/>
    </row>
    <row r="22" spans="1:6" s="113" customFormat="1" x14ac:dyDescent="0.25">
      <c r="A22" s="27" t="s">
        <v>191</v>
      </c>
      <c r="B22" s="7"/>
      <c r="C22" s="7"/>
      <c r="D22" s="7"/>
    </row>
    <row r="23" spans="1:6" s="113" customFormat="1" x14ac:dyDescent="0.25">
      <c r="A23" s="27"/>
      <c r="B23" s="7"/>
      <c r="C23" s="7"/>
      <c r="D23" s="7"/>
    </row>
    <row r="24" spans="1:6" s="113" customFormat="1" x14ac:dyDescent="0.25">
      <c r="A24" s="13"/>
      <c r="B24" s="7"/>
      <c r="C24" s="7"/>
      <c r="D24" s="7"/>
    </row>
    <row r="25" spans="1:6" s="113" customFormat="1" x14ac:dyDescent="0.25">
      <c r="A25" s="30" t="s">
        <v>430</v>
      </c>
      <c r="B25" s="7"/>
      <c r="C25" s="7"/>
      <c r="D25" s="7"/>
    </row>
    <row r="26" spans="1:6" s="113" customFormat="1" x14ac:dyDescent="0.25">
      <c r="A26" s="30"/>
      <c r="B26" s="7"/>
      <c r="C26" s="7"/>
      <c r="D26" s="7"/>
    </row>
    <row r="27" spans="1:6" s="113" customFormat="1" x14ac:dyDescent="0.25">
      <c r="A27" s="13"/>
      <c r="B27" s="7"/>
      <c r="C27" s="7"/>
      <c r="D27" s="7"/>
    </row>
    <row r="28" spans="1:6" s="113" customFormat="1" x14ac:dyDescent="0.25">
      <c r="A28" s="27" t="s">
        <v>431</v>
      </c>
      <c r="B28" s="7"/>
      <c r="C28" s="7"/>
      <c r="D28" s="7"/>
    </row>
    <row r="29" spans="1:6" s="113" customFormat="1" x14ac:dyDescent="0.25">
      <c r="A29" s="27"/>
      <c r="B29" s="7"/>
      <c r="C29" s="7"/>
      <c r="D29" s="7"/>
    </row>
    <row r="30" spans="1:6" s="113" customFormat="1" x14ac:dyDescent="0.25">
      <c r="A30" s="13"/>
      <c r="B30" s="7"/>
      <c r="C30" s="7"/>
      <c r="D30" s="7"/>
    </row>
    <row r="31" spans="1:6" s="113" customFormat="1" x14ac:dyDescent="0.25">
      <c r="A31" s="27" t="s">
        <v>63</v>
      </c>
      <c r="B31" s="7"/>
      <c r="C31" s="7"/>
      <c r="D31" s="7"/>
    </row>
    <row r="32" spans="1:6" s="113" customFormat="1" ht="12.75" customHeight="1" x14ac:dyDescent="0.25">
      <c r="A32" s="27"/>
      <c r="B32" s="7"/>
      <c r="C32" s="7"/>
      <c r="D32" s="7"/>
      <c r="E32" s="111" t="s">
        <v>316</v>
      </c>
      <c r="F32" s="112"/>
    </row>
    <row r="33" spans="1:6" s="113" customFormat="1" ht="12.75" customHeight="1" x14ac:dyDescent="0.25">
      <c r="A33" s="13"/>
      <c r="B33" s="7"/>
      <c r="C33" s="7"/>
      <c r="D33" s="7"/>
      <c r="E33" s="111"/>
      <c r="F33" s="112"/>
    </row>
    <row r="34" spans="1:6" s="113" customFormat="1" x14ac:dyDescent="0.25">
      <c r="A34" s="27" t="s">
        <v>64</v>
      </c>
      <c r="B34" s="7"/>
      <c r="C34" s="7"/>
      <c r="D34" s="7"/>
      <c r="E34" s="111"/>
      <c r="F34" s="112"/>
    </row>
    <row r="35" spans="1:6" s="113" customFormat="1" ht="3.75" customHeight="1" x14ac:dyDescent="0.25">
      <c r="A35" s="27"/>
      <c r="B35" s="7"/>
      <c r="C35" s="7"/>
      <c r="D35" s="7"/>
    </row>
    <row r="36" spans="1:6" s="113" customFormat="1" ht="12.75" customHeight="1" x14ac:dyDescent="0.25">
      <c r="A36" s="27"/>
      <c r="B36" s="7"/>
      <c r="C36" s="7"/>
      <c r="D36" s="7"/>
      <c r="E36" s="45" t="s">
        <v>316</v>
      </c>
      <c r="F36" s="114"/>
    </row>
    <row r="37" spans="1:6" s="113" customFormat="1" x14ac:dyDescent="0.25">
      <c r="A37" s="27" t="s">
        <v>66</v>
      </c>
      <c r="B37" s="7"/>
      <c r="C37" s="7"/>
      <c r="D37" s="7"/>
      <c r="E37" s="45"/>
      <c r="F37" s="114"/>
    </row>
    <row r="38" spans="1:6" s="113" customFormat="1" x14ac:dyDescent="0.25">
      <c r="A38" s="27"/>
      <c r="B38" s="7"/>
      <c r="C38" s="7"/>
      <c r="D38" s="7"/>
    </row>
    <row r="39" spans="1:6" s="113" customFormat="1" x14ac:dyDescent="0.25">
      <c r="A39" s="7"/>
      <c r="B39" s="7"/>
      <c r="C39" s="7"/>
      <c r="D39" s="7"/>
    </row>
    <row r="40" spans="1:6" s="113" customFormat="1" ht="3.75" customHeigh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6" customHeight="1" x14ac:dyDescent="0.25">
      <c r="A42" s="37"/>
      <c r="B42" s="6"/>
      <c r="C42" s="6"/>
      <c r="D42" s="6"/>
    </row>
    <row r="43" spans="1:6" s="113" customFormat="1" x14ac:dyDescent="0.25">
      <c r="A43" s="7" t="s">
        <v>413</v>
      </c>
      <c r="B43" s="52"/>
      <c r="C43" s="7"/>
      <c r="D43" s="7"/>
    </row>
    <row r="44" spans="1:6" s="113" customFormat="1" x14ac:dyDescent="0.25">
      <c r="A44" s="22"/>
      <c r="B44" s="10"/>
      <c r="C44" s="7"/>
      <c r="D44" s="11"/>
    </row>
    <row r="45" spans="1:6" s="113" customFormat="1" x14ac:dyDescent="0.25">
      <c r="A45" s="26" t="s">
        <v>270</v>
      </c>
      <c r="B45" s="5"/>
      <c r="C45" s="5"/>
      <c r="D45" s="5"/>
    </row>
    <row r="46" spans="1:6" s="113" customFormat="1" ht="3.6" customHeight="1" x14ac:dyDescent="0.25">
      <c r="A46" s="38"/>
      <c r="B46" s="12"/>
      <c r="C46" s="12"/>
      <c r="D46" s="12"/>
    </row>
    <row r="47" spans="1:6" s="113" customFormat="1" x14ac:dyDescent="0.25">
      <c r="A47" s="37" t="s">
        <v>432</v>
      </c>
      <c r="B47" s="6" t="s">
        <v>82</v>
      </c>
      <c r="C47" s="7" t="s">
        <v>79</v>
      </c>
      <c r="D47" s="6" t="s">
        <v>239</v>
      </c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2.4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>VLOOKUP(Einstellungen!$C$6+$N$2-1,Tagesof[#Data],2)</f>
        <v>Lt Köchli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6"/>
      <c r="B65"/>
      <c r="C65"/>
      <c r="D65"/>
    </row>
    <row r="66" spans="1:4" s="113" customFormat="1" x14ac:dyDescent="0.25">
      <c r="A66" s="116"/>
      <c r="B66"/>
      <c r="C66"/>
      <c r="D66"/>
    </row>
    <row r="67" spans="1:4" s="113" customFormat="1" x14ac:dyDescent="0.25">
      <c r="A67" s="116"/>
      <c r="B67"/>
      <c r="C67"/>
      <c r="D67"/>
    </row>
    <row r="68" spans="1:4" s="113" customFormat="1" x14ac:dyDescent="0.25">
      <c r="A68" s="116"/>
      <c r="B68"/>
      <c r="C68"/>
      <c r="D68"/>
    </row>
    <row r="69" spans="1:4" s="113" customFormat="1" x14ac:dyDescent="0.25">
      <c r="A69" s="116"/>
      <c r="B69"/>
      <c r="C69"/>
      <c r="D69"/>
    </row>
    <row r="70" spans="1:4" s="113" customFormat="1" x14ac:dyDescent="0.25">
      <c r="A70" s="116"/>
      <c r="B70"/>
      <c r="C70"/>
      <c r="D70"/>
    </row>
    <row r="71" spans="1:4" s="113" customFormat="1" x14ac:dyDescent="0.25">
      <c r="A71" s="116"/>
      <c r="B71"/>
      <c r="C71"/>
      <c r="D71"/>
    </row>
    <row r="72" spans="1:4" s="113" customFormat="1" x14ac:dyDescent="0.25">
      <c r="A72" s="116"/>
      <c r="B72"/>
      <c r="C72"/>
      <c r="D72"/>
    </row>
    <row r="73" spans="1:4" s="113" customFormat="1" x14ac:dyDescent="0.25">
      <c r="A73" s="116"/>
      <c r="B73"/>
      <c r="C73"/>
      <c r="D73"/>
    </row>
    <row r="74" spans="1:4" s="113" customFormat="1" ht="12" customHeight="1" x14ac:dyDescent="0.25">
      <c r="A74" s="116"/>
      <c r="B74"/>
      <c r="C74"/>
      <c r="D74"/>
    </row>
    <row r="75" spans="1:4" s="113" customFormat="1" x14ac:dyDescent="0.25">
      <c r="A75" s="116"/>
      <c r="B75"/>
      <c r="C75"/>
      <c r="D75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ht="7.5" customHeight="1" x14ac:dyDescent="0.25"/>
    <row r="83" spans="1:4" ht="7.5" customHeight="1" x14ac:dyDescent="0.25"/>
    <row r="84" spans="1:4" s="113" customForma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  <row r="86" spans="1:4" s="113" customFormat="1" ht="11.25" customHeight="1" x14ac:dyDescent="0.25">
      <c r="A86" s="116"/>
      <c r="B86"/>
      <c r="C86"/>
      <c r="D86"/>
    </row>
    <row r="87" spans="1:4" ht="7.5" customHeight="1" x14ac:dyDescent="0.25"/>
    <row r="89" spans="1:4" ht="7.5" customHeight="1" x14ac:dyDescent="0.25"/>
    <row r="90" spans="1:4" ht="7.5" customHeight="1" x14ac:dyDescent="0.25"/>
    <row r="91" spans="1:4" s="113" customFormat="1" x14ac:dyDescent="0.25">
      <c r="A91" s="116"/>
      <c r="B91"/>
      <c r="C91"/>
      <c r="D91"/>
    </row>
    <row r="92" spans="1:4" s="113" customFormat="1" x14ac:dyDescent="0.25">
      <c r="A92" s="116"/>
      <c r="B92"/>
      <c r="C92"/>
      <c r="D92"/>
    </row>
    <row r="93" spans="1:4" s="115" customFormat="1" ht="7.5" customHeight="1" x14ac:dyDescent="0.25">
      <c r="A93" s="116"/>
      <c r="B93"/>
      <c r="C93"/>
      <c r="D93"/>
    </row>
    <row r="94" spans="1:4" s="115" customFormat="1" x14ac:dyDescent="0.25">
      <c r="A94" s="116"/>
      <c r="B94"/>
      <c r="C94"/>
      <c r="D94"/>
    </row>
    <row r="95" spans="1:4" s="115" customFormat="1" ht="7.5" customHeight="1" x14ac:dyDescent="0.25">
      <c r="A95" s="116"/>
      <c r="B95"/>
      <c r="C95"/>
      <c r="D95"/>
    </row>
    <row r="98" spans="1:4" s="113" customFormat="1" x14ac:dyDescent="0.25">
      <c r="A98" s="116"/>
      <c r="B98"/>
      <c r="C98"/>
      <c r="D98"/>
    </row>
    <row r="99" spans="1:4" s="113" customFormat="1" x14ac:dyDescent="0.25">
      <c r="A99" s="116"/>
      <c r="B99"/>
      <c r="C99"/>
      <c r="D99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71" priority="1" operator="equal">
      <formula>"Verworfen"</formula>
    </cfRule>
    <cfRule type="cellIs" dxfId="70" priority="2" operator="equal">
      <formula>"Genehmigt durch Kdt"</formula>
    </cfRule>
    <cfRule type="cellIs" dxfId="69" priority="3" operator="equal">
      <formula>"Bereit für Kdt"</formula>
    </cfRule>
    <cfRule type="cellIs" dxfId="68" priority="4" operator="equal">
      <formula>"Entwurf"</formula>
    </cfRule>
  </conditionalFormatting>
  <dataValidations count="8">
    <dataValidation type="list" allowBlank="1" showInputMessage="1" showErrorMessage="1" sqref="D64" xr:uid="{39C95D5F-0215-43D8-A5E0-95FC0F9B9643}">
      <formula1>VerantwortungTgbf</formula1>
    </dataValidation>
    <dataValidation type="list" allowBlank="1" showInputMessage="1" showErrorMessage="1" sqref="D5" xr:uid="{18BCE1F8-3FB3-4967-899E-CA8C55DFBBB8}">
      <formula1>ENTWURF</formula1>
    </dataValidation>
    <dataValidation type="list" allowBlank="1" showInputMessage="1" showErrorMessage="1" sqref="D63" xr:uid="{44004F2C-0250-4475-9800-7F2A9300D3EE}">
      <formula1>WerUnterschrift</formula1>
    </dataValidation>
    <dataValidation type="list" allowBlank="1" showInputMessage="1" showErrorMessage="1" sqref="A60 A64" xr:uid="{2B833DCD-F0CC-4776-BDEB-0111275C4305}">
      <formula1>Verteiler</formula1>
    </dataValidation>
    <dataValidation type="list" allowBlank="1" showInputMessage="1" showErrorMessage="1" sqref="A7" xr:uid="{A9499D3C-2B0B-4034-BF6D-5A2BF8CAECA0}">
      <formula1>Landkarten</formula1>
    </dataValidation>
    <dataValidation type="list" showInputMessage="1" sqref="B41:B42 A39 A43" xr:uid="{BF2E7E7C-5378-4768-B2DE-E0FB8DE2A79C}">
      <formula1>Tätigkeiten</formula1>
    </dataValidation>
    <dataValidation type="list" allowBlank="1" showInputMessage="1" sqref="D50:D51 C53 C56:C57" xr:uid="{9AEAA68F-BBB7-47AB-8F47-7D4FD52C5D9E}">
      <formula1>Räumlichkeiten</formula1>
    </dataValidation>
    <dataValidation type="list" showInputMessage="1" sqref="C41:C42 C45:C46 C49" xr:uid="{370ED602-970B-41ED-BC8A-A8E02F46AF01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1" manualBreakCount="1">
    <brk id="40" max="3" man="1"/>
  </rowBreaks>
  <colBreaks count="1" manualBreakCount="1">
    <brk id="1" max="6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2718DA7-CE74-4CD8-A326-8C6665D2CC38}">
          <x14:formula1>
            <xm:f>Einstellungen!$N$71:$N$74</xm:f>
          </x14:formula1>
          <xm:sqref>G1</xm:sqref>
        </x14:dataValidation>
        <x14:dataValidation type="list" allowBlank="1" showInputMessage="1" xr:uid="{4DD0796F-8015-48D9-8B60-E1F8E314A010}">
          <x14:formula1>
            <xm:f>Einstellungen!$H$71:$H$86</xm:f>
          </x14:formula1>
          <xm:sqref>D14:D49</xm:sqref>
        </x14:dataValidation>
        <x14:dataValidation type="list" showInputMessage="1" xr:uid="{1004E801-467D-42AD-9B43-F12265D12721}">
          <x14:formula1>
            <xm:f>Einstellungen!$K$71:$K$75</xm:f>
          </x14:formula1>
          <xm:sqref>C13:C40 C43:C44 C47:C48</xm:sqref>
        </x14:dataValidation>
        <x14:dataValidation type="list" showInputMessage="1" xr:uid="{CCABC159-05F6-414C-B88B-D25663F6BABF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2AAA0790-AE4D-4192-B6D4-C063F378909C}">
          <x14:formula1>
            <xm:f>Einstellungen!$E$71:$E$74</xm:f>
          </x14:formula1>
          <xm:sqref>B47:B49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E4C3-F339-41CD-85CD-0C9F3E14E728}">
  <sheetPr>
    <tabColor theme="5" tint="0.59999389629810485"/>
    <pageSetUpPr fitToPage="1"/>
  </sheetPr>
  <dimension ref="A1:N105"/>
  <sheetViews>
    <sheetView showGridLines="0" view="pageBreakPreview" topLeftCell="A25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>
        <v>11</v>
      </c>
    </row>
    <row r="3" spans="1:14" ht="13.95" customHeight="1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customHeight="1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11 für DONNERSTAG, 01.10.2026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ht="12.75" customHeigh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ht="12.75" customHeight="1" x14ac:dyDescent="0.25">
      <c r="A38" s="27"/>
      <c r="B38" s="7"/>
      <c r="C38" s="7"/>
      <c r="D38" s="7"/>
      <c r="E38" s="111" t="s">
        <v>316</v>
      </c>
      <c r="F38" s="112"/>
    </row>
    <row r="39" spans="1:6" s="113" customFormat="1" ht="12.75" customHeight="1" x14ac:dyDescent="0.25">
      <c r="A39" s="7"/>
      <c r="B39" s="7"/>
      <c r="C39" s="7"/>
      <c r="D39" s="7"/>
      <c r="E39" s="111"/>
      <c r="F39" s="112"/>
    </row>
    <row r="40" spans="1:6" s="113" customFormat="1" x14ac:dyDescent="0.25">
      <c r="A40" s="35"/>
      <c r="B40" s="7"/>
      <c r="C40" s="7"/>
      <c r="D40" s="7"/>
      <c r="E40" s="111"/>
      <c r="F40" s="112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6" customHeight="1" x14ac:dyDescent="0.25">
      <c r="A42" s="37"/>
      <c r="B42" s="6"/>
      <c r="C42" s="6"/>
      <c r="D42" s="6"/>
      <c r="E42" s="45" t="s">
        <v>316</v>
      </c>
      <c r="F42" s="114"/>
    </row>
    <row r="43" spans="1:6" s="113" customFormat="1" x14ac:dyDescent="0.25">
      <c r="A43" s="7" t="s">
        <v>413</v>
      </c>
      <c r="B43" s="52"/>
      <c r="C43" s="7"/>
      <c r="D43" s="7"/>
      <c r="E43" s="45"/>
      <c r="F43" s="114"/>
    </row>
    <row r="44" spans="1:6" s="113" customFormat="1" x14ac:dyDescent="0.25">
      <c r="A44" s="22"/>
      <c r="B44" s="10"/>
      <c r="C44" s="7"/>
      <c r="D44" s="11"/>
    </row>
    <row r="45" spans="1:6" s="113" customFormat="1" x14ac:dyDescent="0.25">
      <c r="A45" s="26" t="s">
        <v>270</v>
      </c>
      <c r="B45" s="5"/>
      <c r="C45" s="5"/>
      <c r="D45" s="5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x14ac:dyDescent="0.25">
      <c r="A47" s="37" t="s">
        <v>432</v>
      </c>
      <c r="B47" s="6" t="s">
        <v>82</v>
      </c>
      <c r="C47" s="7" t="s">
        <v>79</v>
      </c>
      <c r="D47" s="6" t="s">
        <v>239</v>
      </c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4.2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>VLOOKUP(Einstellungen!$C$6+$N$2-1,Tagesof[#Data],2)</f>
        <v>Lt Lehner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42"/>
      <c r="B65" s="17"/>
      <c r="C65" s="17"/>
      <c r="D65" s="17"/>
    </row>
    <row r="66" spans="1:4" s="113" customFormat="1" x14ac:dyDescent="0.25">
      <c r="A66" s="43"/>
      <c r="B66" s="17"/>
      <c r="C66" s="17"/>
      <c r="D66" s="17"/>
    </row>
    <row r="67" spans="1:4" s="113" customFormat="1" x14ac:dyDescent="0.25">
      <c r="A67" s="42"/>
      <c r="B67" s="17"/>
      <c r="C67" s="17"/>
      <c r="D67" s="17"/>
    </row>
    <row r="68" spans="1:4" s="113" customFormat="1" x14ac:dyDescent="0.25">
      <c r="A68" s="42"/>
      <c r="B68" s="17"/>
      <c r="C68" s="17"/>
      <c r="D68" s="17"/>
    </row>
    <row r="69" spans="1:4" s="113" customFormat="1" x14ac:dyDescent="0.25">
      <c r="A69" s="43"/>
      <c r="B69" s="17"/>
      <c r="C69" s="17"/>
      <c r="D69" s="17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116"/>
      <c r="B71"/>
      <c r="C71"/>
      <c r="D71"/>
    </row>
    <row r="72" spans="1:4" s="113" customFormat="1" x14ac:dyDescent="0.25">
      <c r="A72" s="116"/>
      <c r="B72"/>
      <c r="C72"/>
      <c r="D72"/>
    </row>
    <row r="73" spans="1:4" s="113" customFormat="1" x14ac:dyDescent="0.25">
      <c r="A73" s="116"/>
      <c r="B73"/>
      <c r="C73"/>
      <c r="D73"/>
    </row>
    <row r="74" spans="1:4" s="113" customFormat="1" x14ac:dyDescent="0.25">
      <c r="A74" s="116"/>
      <c r="B74"/>
      <c r="C74"/>
      <c r="D74"/>
    </row>
    <row r="75" spans="1:4" s="113" customFormat="1" x14ac:dyDescent="0.25">
      <c r="A75" s="116"/>
      <c r="B75"/>
      <c r="C75"/>
      <c r="D75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ht="12" customHeigh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ht="7.5" customHeight="1" x14ac:dyDescent="0.25"/>
    <row r="89" spans="1:4" ht="7.5" customHeight="1" x14ac:dyDescent="0.25"/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s="113" customFormat="1" ht="11.25" customHeight="1" x14ac:dyDescent="0.25">
      <c r="A92" s="116"/>
      <c r="B92"/>
      <c r="C92"/>
      <c r="D92"/>
    </row>
    <row r="93" spans="1:4" ht="7.5" customHeight="1" x14ac:dyDescent="0.25"/>
    <row r="95" spans="1:4" ht="7.5" customHeight="1" x14ac:dyDescent="0.25"/>
    <row r="96" spans="1:4" ht="7.5" customHeight="1" x14ac:dyDescent="0.25"/>
    <row r="97" spans="1:4" s="113" customFormat="1" x14ac:dyDescent="0.25">
      <c r="A97" s="116"/>
      <c r="B97"/>
      <c r="C97"/>
      <c r="D97"/>
    </row>
    <row r="98" spans="1:4" s="113" customFormat="1" x14ac:dyDescent="0.25">
      <c r="A98" s="116"/>
      <c r="B98"/>
      <c r="C98"/>
      <c r="D98"/>
    </row>
    <row r="99" spans="1:4" s="115" customFormat="1" ht="7.5" customHeight="1" x14ac:dyDescent="0.25">
      <c r="A99" s="116"/>
      <c r="B99"/>
      <c r="C99"/>
      <c r="D99"/>
    </row>
    <row r="100" spans="1:4" s="115" customFormat="1" x14ac:dyDescent="0.25">
      <c r="A100" s="116"/>
      <c r="B100"/>
      <c r="C100"/>
      <c r="D100"/>
    </row>
    <row r="101" spans="1:4" s="115" customFormat="1" ht="7.5" customHeight="1" x14ac:dyDescent="0.25">
      <c r="A101" s="116"/>
      <c r="B101"/>
      <c r="C101"/>
      <c r="D101"/>
    </row>
    <row r="104" spans="1:4" s="113" customFormat="1" x14ac:dyDescent="0.25">
      <c r="A104" s="116"/>
      <c r="B104"/>
      <c r="C104"/>
      <c r="D104"/>
    </row>
    <row r="105" spans="1:4" s="113" customFormat="1" x14ac:dyDescent="0.25">
      <c r="A105" s="116"/>
      <c r="B105"/>
      <c r="C105"/>
      <c r="D105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67" priority="1" operator="equal">
      <formula>"Verworfen"</formula>
    </cfRule>
    <cfRule type="cellIs" dxfId="66" priority="2" operator="equal">
      <formula>"Genehmigt durch Kdt"</formula>
    </cfRule>
    <cfRule type="cellIs" dxfId="65" priority="3" operator="equal">
      <formula>"Bereit für Kdt"</formula>
    </cfRule>
    <cfRule type="cellIs" dxfId="64" priority="4" operator="equal">
      <formula>"Entwurf"</formula>
    </cfRule>
  </conditionalFormatting>
  <dataValidations count="8">
    <dataValidation type="list" allowBlank="1" showInputMessage="1" showErrorMessage="1" sqref="D64" xr:uid="{F0D55639-229E-42CD-BD1D-C0FD3D02CCC7}">
      <formula1>VerantwortungTgbf</formula1>
    </dataValidation>
    <dataValidation type="list" allowBlank="1" showInputMessage="1" showErrorMessage="1" sqref="D5" xr:uid="{5071BCD5-27F2-449B-8A97-CBAD3BDCF617}">
      <formula1>ENTWURF</formula1>
    </dataValidation>
    <dataValidation type="list" allowBlank="1" showInputMessage="1" showErrorMessage="1" sqref="D63" xr:uid="{7A301A3E-0F90-4BB5-A914-967C70744781}">
      <formula1>WerUnterschrift</formula1>
    </dataValidation>
    <dataValidation type="list" allowBlank="1" showInputMessage="1" showErrorMessage="1" sqref="A60 A64" xr:uid="{DF0C8C8F-3B91-41EE-83DB-451D371EE31D}">
      <formula1>Verteiler</formula1>
    </dataValidation>
    <dataValidation type="list" allowBlank="1" showInputMessage="1" showErrorMessage="1" sqref="A7" xr:uid="{58549776-30BC-4DFE-B398-0F47F48350C6}">
      <formula1>Landkarten</formula1>
    </dataValidation>
    <dataValidation type="list" showInputMessage="1" sqref="B41:B42 A39 A43" xr:uid="{A00D6F88-86E7-437A-A776-6F9CE31B5927}">
      <formula1>Tätigkeiten</formula1>
    </dataValidation>
    <dataValidation type="list" allowBlank="1" showInputMessage="1" sqref="D50:D51 C53 C56:C57" xr:uid="{4C6295B8-455D-4D8A-ABE3-3F5565E611AA}">
      <formula1>Räumlichkeiten</formula1>
    </dataValidation>
    <dataValidation type="list" showInputMessage="1" sqref="C41:C42 C45:C46 C49" xr:uid="{8A24C073-A5E1-41E6-B782-5B71C8628D4C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44" max="3" man="1"/>
    <brk id="66" max="3" man="1"/>
    <brk id="68" max="3" man="1"/>
  </rowBreaks>
  <colBreaks count="1" manualBreakCount="1">
    <brk id="1" max="6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EF06A5A-9494-4B12-AA7E-A402B4A567A7}">
          <x14:formula1>
            <xm:f>Einstellungen!$N$71:$N$74</xm:f>
          </x14:formula1>
          <xm:sqref>G1</xm:sqref>
        </x14:dataValidation>
        <x14:dataValidation type="list" allowBlank="1" showInputMessage="1" xr:uid="{35E27908-8AEE-4F77-B458-39996E2D24A2}">
          <x14:formula1>
            <xm:f>Einstellungen!$H$71:$H$86</xm:f>
          </x14:formula1>
          <xm:sqref>D14:D49</xm:sqref>
        </x14:dataValidation>
        <x14:dataValidation type="list" showInputMessage="1" xr:uid="{56E4ED71-8A3E-4300-817A-931B9ABF0A49}">
          <x14:formula1>
            <xm:f>Einstellungen!$K$71:$K$75</xm:f>
          </x14:formula1>
          <xm:sqref>C13:C40 C43:C44 C47:C48</xm:sqref>
        </x14:dataValidation>
        <x14:dataValidation type="list" showInputMessage="1" xr:uid="{C022D6BB-5667-4AA5-A406-C9D5E6F0C66F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95E9B91D-1FB8-4129-B2B9-9772C7B0CEAD}">
          <x14:formula1>
            <xm:f>Einstellungen!$E$71:$E$74</xm:f>
          </x14:formula1>
          <xm:sqref>B47:B49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966B-5C42-42A2-82B0-92653D672EF4}">
  <sheetPr>
    <tabColor theme="5" tint="0.59999389629810485"/>
    <pageSetUpPr fitToPage="1"/>
  </sheetPr>
  <dimension ref="A1:N112"/>
  <sheetViews>
    <sheetView showGridLines="0" view="pageBreakPreview" topLeftCell="A23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>
        <v>12</v>
      </c>
    </row>
    <row r="3" spans="1:14" ht="13.95" customHeight="1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customHeight="1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12 für FREITAG, 02.10.2026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13" t="s">
        <v>249</v>
      </c>
      <c r="B23" s="7" t="s">
        <v>434</v>
      </c>
      <c r="C23" s="7" t="s">
        <v>89</v>
      </c>
      <c r="D23" s="7" t="s">
        <v>435</v>
      </c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13" t="s">
        <v>249</v>
      </c>
      <c r="B26" s="7" t="s">
        <v>436</v>
      </c>
      <c r="C26" s="7" t="s">
        <v>437</v>
      </c>
      <c r="D26" s="7" t="s">
        <v>435</v>
      </c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13" t="s">
        <v>249</v>
      </c>
      <c r="B29" s="7" t="s">
        <v>438</v>
      </c>
      <c r="C29" s="7" t="s">
        <v>439</v>
      </c>
      <c r="D29" s="7" t="s">
        <v>435</v>
      </c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13" t="s">
        <v>249</v>
      </c>
      <c r="B32" s="7" t="s">
        <v>440</v>
      </c>
      <c r="C32" s="7" t="s">
        <v>84</v>
      </c>
      <c r="D32" s="7" t="s">
        <v>441</v>
      </c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13" t="s">
        <v>335</v>
      </c>
      <c r="B35" s="7" t="s">
        <v>442</v>
      </c>
      <c r="C35" s="7" t="s">
        <v>84</v>
      </c>
      <c r="D35" s="7" t="s">
        <v>435</v>
      </c>
    </row>
    <row r="36" spans="1:6" s="113" customFormat="1" x14ac:dyDescent="0.25">
      <c r="A36" s="7" t="s">
        <v>338</v>
      </c>
      <c r="B36" s="7" t="s">
        <v>443</v>
      </c>
      <c r="C36" s="7" t="s">
        <v>84</v>
      </c>
      <c r="D36" s="7" t="s">
        <v>444</v>
      </c>
    </row>
    <row r="37" spans="1:6" s="113" customFormat="1" x14ac:dyDescent="0.25">
      <c r="A37" s="27"/>
      <c r="B37" s="7"/>
      <c r="C37" s="7"/>
      <c r="D37" s="7"/>
    </row>
    <row r="38" spans="1:6" s="113" customFormat="1" x14ac:dyDescent="0.25">
      <c r="A38" s="27" t="s">
        <v>66</v>
      </c>
      <c r="B38" s="7"/>
      <c r="C38" s="7"/>
      <c r="D38" s="7"/>
    </row>
    <row r="39" spans="1:6" s="113" customFormat="1" x14ac:dyDescent="0.25">
      <c r="A39" s="13" t="s">
        <v>335</v>
      </c>
      <c r="B39" s="7" t="s">
        <v>442</v>
      </c>
      <c r="C39" s="7" t="s">
        <v>84</v>
      </c>
      <c r="D39" s="7" t="s">
        <v>435</v>
      </c>
    </row>
    <row r="40" spans="1:6" s="113" customFormat="1" x14ac:dyDescent="0.25">
      <c r="A40" s="7" t="s">
        <v>338</v>
      </c>
      <c r="B40" s="7" t="s">
        <v>443</v>
      </c>
      <c r="C40" s="7" t="s">
        <v>84</v>
      </c>
      <c r="D40" s="7" t="s">
        <v>435</v>
      </c>
    </row>
    <row r="41" spans="1:6" s="113" customFormat="1" x14ac:dyDescent="0.25">
      <c r="A41" s="35"/>
      <c r="B41" s="7"/>
      <c r="C41" s="7"/>
      <c r="D41" s="7"/>
    </row>
    <row r="42" spans="1:6" s="113" customFormat="1" x14ac:dyDescent="0.25">
      <c r="A42" s="26" t="s">
        <v>255</v>
      </c>
      <c r="B42" s="9"/>
      <c r="C42" s="9"/>
      <c r="D42" s="9"/>
    </row>
    <row r="43" spans="1:6" s="113" customFormat="1" ht="3.75" customHeight="1" x14ac:dyDescent="0.25">
      <c r="A43" s="37"/>
      <c r="B43" s="6"/>
      <c r="C43" s="6"/>
      <c r="D43" s="6"/>
    </row>
    <row r="44" spans="1:6" s="113" customFormat="1" ht="12.75" customHeight="1" x14ac:dyDescent="0.25">
      <c r="A44" s="7" t="s">
        <v>445</v>
      </c>
      <c r="B44" s="52" t="s">
        <v>446</v>
      </c>
      <c r="C44" s="6" t="s">
        <v>79</v>
      </c>
      <c r="D44" s="7" t="s">
        <v>92</v>
      </c>
      <c r="E44" s="111" t="s">
        <v>316</v>
      </c>
      <c r="F44" s="112"/>
    </row>
    <row r="45" spans="1:6" s="113" customFormat="1" ht="12.75" customHeight="1" x14ac:dyDescent="0.25">
      <c r="A45" s="7" t="s">
        <v>447</v>
      </c>
      <c r="B45" s="52" t="s">
        <v>448</v>
      </c>
      <c r="C45" s="6" t="s">
        <v>437</v>
      </c>
      <c r="D45" s="7" t="s">
        <v>114</v>
      </c>
      <c r="E45" s="111"/>
      <c r="F45" s="112"/>
    </row>
    <row r="46" spans="1:6" s="113" customFormat="1" ht="12.75" customHeight="1" x14ac:dyDescent="0.25">
      <c r="A46" s="22"/>
      <c r="B46" s="10"/>
      <c r="C46" s="10"/>
      <c r="D46" s="11"/>
      <c r="E46" s="111"/>
      <c r="F46" s="112"/>
    </row>
    <row r="47" spans="1:6" s="113" customFormat="1" x14ac:dyDescent="0.25">
      <c r="A47" s="26" t="s">
        <v>270</v>
      </c>
      <c r="B47" s="5"/>
      <c r="C47" s="5"/>
      <c r="D47" s="5"/>
      <c r="E47" s="111"/>
      <c r="F47" s="112"/>
    </row>
    <row r="48" spans="1:6" s="113" customFormat="1" ht="3.75" customHeight="1" x14ac:dyDescent="0.25">
      <c r="A48" s="38"/>
      <c r="B48" s="12"/>
      <c r="C48" s="12"/>
      <c r="D48" s="12"/>
    </row>
    <row r="49" spans="1:6" s="113" customFormat="1" ht="12.75" customHeight="1" x14ac:dyDescent="0.25">
      <c r="A49" s="37" t="s">
        <v>432</v>
      </c>
      <c r="B49" s="6" t="s">
        <v>82</v>
      </c>
      <c r="C49" s="6" t="s">
        <v>79</v>
      </c>
      <c r="D49" s="6" t="s">
        <v>239</v>
      </c>
      <c r="E49" s="45" t="s">
        <v>316</v>
      </c>
      <c r="F49" s="114"/>
    </row>
    <row r="50" spans="1:6" s="113" customFormat="1" x14ac:dyDescent="0.25">
      <c r="A50" s="37" t="s">
        <v>433</v>
      </c>
      <c r="B50" s="6" t="s">
        <v>77</v>
      </c>
      <c r="C50" s="6" t="s">
        <v>79</v>
      </c>
      <c r="D50" s="6" t="s">
        <v>239</v>
      </c>
      <c r="E50" s="45"/>
      <c r="F50" s="114"/>
    </row>
    <row r="51" spans="1:6" s="113" customFormat="1" x14ac:dyDescent="0.25">
      <c r="A51" s="22"/>
      <c r="B51" s="10"/>
      <c r="C51" s="10"/>
      <c r="D51" s="11"/>
    </row>
    <row r="52" spans="1:6" s="113" customFormat="1" x14ac:dyDescent="0.25">
      <c r="A52" s="26" t="s">
        <v>273</v>
      </c>
      <c r="B52" s="5"/>
      <c r="C52" s="5"/>
      <c r="D52" s="5"/>
    </row>
    <row r="53" spans="1:6" s="113" customFormat="1" ht="3.75" customHeight="1" x14ac:dyDescent="0.25">
      <c r="A53" s="37"/>
      <c r="B53" s="12"/>
      <c r="C53" s="12"/>
      <c r="D53" s="12"/>
    </row>
    <row r="54" spans="1:6" s="113" customFormat="1" x14ac:dyDescent="0.25">
      <c r="A54" s="35" t="s">
        <v>274</v>
      </c>
      <c r="B54" s="7" t="s">
        <v>275</v>
      </c>
      <c r="C54" s="17" t="s">
        <v>414</v>
      </c>
    </row>
    <row r="55" spans="1:6" s="113" customFormat="1" x14ac:dyDescent="0.25">
      <c r="A55" s="52" t="s">
        <v>274</v>
      </c>
      <c r="B55" s="35" t="s">
        <v>421</v>
      </c>
      <c r="C55" s="17" t="s">
        <v>422</v>
      </c>
      <c r="D55" s="17"/>
    </row>
    <row r="56" spans="1:6" s="113" customFormat="1" x14ac:dyDescent="0.25">
      <c r="A56" s="40" t="s">
        <v>277</v>
      </c>
      <c r="B56" s="51" t="s">
        <v>38</v>
      </c>
      <c r="C56" s="17" t="str">
        <f>Einstellungen!$K$35</f>
        <v>Lt Christophe Lopez-Polo</v>
      </c>
      <c r="D56" s="17"/>
    </row>
    <row r="57" spans="1:6" s="113" customFormat="1" x14ac:dyDescent="0.25">
      <c r="A57" s="40" t="s">
        <v>249</v>
      </c>
      <c r="B57" s="13" t="s">
        <v>423</v>
      </c>
      <c r="C57" s="17" t="str">
        <f>VLOOKUP(Einstellungen!$C$6+$N$2-1,Tagesof[#Data],2)</f>
        <v>Lt Christophe Lopez-Polo</v>
      </c>
      <c r="D57" s="17"/>
    </row>
    <row r="58" spans="1:6" s="113" customFormat="1" x14ac:dyDescent="0.25">
      <c r="A58" s="52"/>
      <c r="B58" s="35"/>
      <c r="C58" s="17"/>
      <c r="D58" s="17"/>
    </row>
    <row r="59" spans="1:6" s="113" customFormat="1" x14ac:dyDescent="0.25">
      <c r="A59" s="52"/>
      <c r="B59" s="35"/>
      <c r="C59" s="17"/>
      <c r="D59" s="17"/>
    </row>
    <row r="60" spans="1:6" s="113" customFormat="1" x14ac:dyDescent="0.25">
      <c r="A60" s="35"/>
      <c r="B60" s="15"/>
      <c r="C60" s="7"/>
      <c r="D60" s="7"/>
    </row>
    <row r="61" spans="1:6" s="113" customFormat="1" x14ac:dyDescent="0.25">
      <c r="A61" s="28" t="s">
        <v>283</v>
      </c>
      <c r="B61" s="12"/>
      <c r="D61" s="49" t="s">
        <v>3</v>
      </c>
    </row>
    <row r="62" spans="1:6" s="113" customFormat="1" x14ac:dyDescent="0.25">
      <c r="A62" s="29" t="s">
        <v>416</v>
      </c>
      <c r="B62" s="16"/>
      <c r="D62" s="17"/>
    </row>
    <row r="63" spans="1:6" s="113" customFormat="1" x14ac:dyDescent="0.25">
      <c r="A63" s="11" t="s">
        <v>285</v>
      </c>
      <c r="B63" s="16"/>
      <c r="D63" s="14"/>
    </row>
    <row r="64" spans="1:6" s="113" customFormat="1" x14ac:dyDescent="0.25">
      <c r="B64" s="16"/>
      <c r="D64"/>
    </row>
    <row r="65" spans="1:4" s="113" customFormat="1" x14ac:dyDescent="0.25">
      <c r="A65" s="28" t="s">
        <v>286</v>
      </c>
      <c r="B65" s="16"/>
      <c r="D65" s="23" t="s">
        <v>42</v>
      </c>
    </row>
    <row r="66" spans="1:4" s="113" customFormat="1" x14ac:dyDescent="0.25">
      <c r="A66" s="29" t="s">
        <v>287</v>
      </c>
      <c r="B66" s="16"/>
      <c r="D66" s="18" t="s">
        <v>79</v>
      </c>
    </row>
    <row r="67" spans="1:4" s="113" customFormat="1" x14ac:dyDescent="0.25">
      <c r="A67" s="119"/>
      <c r="B67" s="16"/>
      <c r="C67" s="16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9"/>
      <c r="D69" s="16"/>
    </row>
    <row r="70" spans="1:4" s="113" customFormat="1" x14ac:dyDescent="0.25">
      <c r="A70" s="119"/>
      <c r="B70" s="16"/>
      <c r="C70" s="16"/>
      <c r="D70" s="16"/>
    </row>
    <row r="71" spans="1:4" s="113" customFormat="1" x14ac:dyDescent="0.25">
      <c r="A71" s="119"/>
      <c r="B71" s="16"/>
      <c r="C71" s="16"/>
      <c r="D71" s="16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3"/>
      <c r="B73" s="17"/>
      <c r="C73" s="17"/>
      <c r="D73" s="17"/>
    </row>
    <row r="74" spans="1:4" s="113" customFormat="1" x14ac:dyDescent="0.25">
      <c r="A74" s="42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43"/>
      <c r="B76" s="17"/>
      <c r="C76" s="17"/>
      <c r="D76" s="17"/>
    </row>
    <row r="77" spans="1:4" s="113" customFormat="1" x14ac:dyDescent="0.25">
      <c r="A77" s="42"/>
      <c r="B77" s="17"/>
      <c r="C77" s="17"/>
      <c r="D77" s="1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ht="12" customHeigh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s="113" customFormat="1" x14ac:dyDescent="0.25">
      <c r="A92" s="116"/>
      <c r="B92"/>
      <c r="C92"/>
      <c r="D92"/>
    </row>
    <row r="93" spans="1:4" s="113" customFormat="1" x14ac:dyDescent="0.25">
      <c r="A93" s="116"/>
      <c r="B93"/>
      <c r="C93"/>
      <c r="D93"/>
    </row>
    <row r="94" spans="1:4" ht="7.5" customHeight="1" x14ac:dyDescent="0.25"/>
    <row r="96" spans="1:4" ht="7.5" customHeight="1" x14ac:dyDescent="0.25"/>
    <row r="97" spans="1:4" s="113" customFormat="1" x14ac:dyDescent="0.25">
      <c r="A97" s="116"/>
      <c r="B97"/>
      <c r="C97"/>
      <c r="D97"/>
    </row>
    <row r="98" spans="1:4" s="113" customFormat="1" x14ac:dyDescent="0.25">
      <c r="A98" s="116"/>
      <c r="B98"/>
      <c r="C98"/>
      <c r="D98"/>
    </row>
    <row r="99" spans="1:4" s="113" customFormat="1" ht="11.25" customHeight="1" x14ac:dyDescent="0.25">
      <c r="A99" s="116"/>
      <c r="B99"/>
      <c r="C99"/>
      <c r="D99"/>
    </row>
    <row r="100" spans="1:4" ht="7.5" customHeight="1" x14ac:dyDescent="0.25"/>
    <row r="102" spans="1:4" ht="7.5" customHeight="1" x14ac:dyDescent="0.25"/>
    <row r="103" spans="1:4" ht="7.5" customHeight="1" x14ac:dyDescent="0.25"/>
    <row r="104" spans="1:4" s="113" customFormat="1" x14ac:dyDescent="0.25">
      <c r="A104" s="116"/>
      <c r="B104"/>
      <c r="C104"/>
      <c r="D104"/>
    </row>
    <row r="105" spans="1:4" s="113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7" spans="1:4" s="115" customFormat="1" x14ac:dyDescent="0.25">
      <c r="A107" s="116"/>
      <c r="B107"/>
      <c r="C107"/>
      <c r="D107"/>
    </row>
    <row r="108" spans="1:4" s="115" customFormat="1" ht="7.5" customHeight="1" x14ac:dyDescent="0.25">
      <c r="A108" s="116"/>
      <c r="B108"/>
      <c r="C108"/>
      <c r="D108"/>
    </row>
    <row r="111" spans="1:4" s="113" customFormat="1" x14ac:dyDescent="0.25">
      <c r="A111" s="116"/>
      <c r="B111"/>
      <c r="C111"/>
      <c r="D111"/>
    </row>
    <row r="112" spans="1:4" s="113" customFormat="1" x14ac:dyDescent="0.25">
      <c r="A112" s="116"/>
      <c r="B112"/>
      <c r="C112"/>
      <c r="D112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63" priority="1" operator="equal">
      <formula>"Verworfen"</formula>
    </cfRule>
    <cfRule type="cellIs" dxfId="62" priority="2" operator="equal">
      <formula>"Genehmigt durch Kdt"</formula>
    </cfRule>
    <cfRule type="cellIs" dxfId="61" priority="3" operator="equal">
      <formula>"Bereit für Kdt"</formula>
    </cfRule>
    <cfRule type="cellIs" dxfId="60" priority="4" operator="equal">
      <formula>"Entwurf"</formula>
    </cfRule>
  </conditionalFormatting>
  <dataValidations count="8">
    <dataValidation type="list" showInputMessage="1" sqref="C42:C51" xr:uid="{26AC8003-D8D4-4771-9C67-C58D61B4E6A6}">
      <formula1>Verantwortung</formula1>
    </dataValidation>
    <dataValidation type="list" allowBlank="1" showInputMessage="1" sqref="D52:D53 C55 C58:C59" xr:uid="{9F0A6C2E-A11F-4ED3-9F67-49E48A79977C}">
      <formula1>Räumlichkeiten</formula1>
    </dataValidation>
    <dataValidation type="list" showInputMessage="1" sqref="B42:B43 A36 A44:A45 A40" xr:uid="{8375E3F9-A2CC-47A8-9DAB-C07B15302A9E}">
      <formula1>Tätigkeiten</formula1>
    </dataValidation>
    <dataValidation type="list" allowBlank="1" showInputMessage="1" showErrorMessage="1" sqref="A7" xr:uid="{BD86D108-0A5D-4A44-9C98-319FF324094C}">
      <formula1>Landkarten</formula1>
    </dataValidation>
    <dataValidation type="list" allowBlank="1" showInputMessage="1" showErrorMessage="1" sqref="A62 A66" xr:uid="{C251CAD1-A672-4987-B94D-CC7804F996C8}">
      <formula1>Verteiler</formula1>
    </dataValidation>
    <dataValidation type="list" allowBlank="1" showInputMessage="1" showErrorMessage="1" sqref="D65" xr:uid="{055E8483-4136-46A5-837F-74FB2EE60B08}">
      <formula1>WerUnterschrift</formula1>
    </dataValidation>
    <dataValidation type="list" allowBlank="1" showInputMessage="1" showErrorMessage="1" sqref="D5" xr:uid="{090D1EB7-6717-44B2-BFF3-C4C514FF747F}">
      <formula1>ENTWURF</formula1>
    </dataValidation>
    <dataValidation type="list" allowBlank="1" showInputMessage="1" showErrorMessage="1" sqref="D66" xr:uid="{59282B2F-4A98-41CD-99F4-08465CA2846A}">
      <formula1>VerantwortungTgbf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1" max="3" man="1"/>
    <brk id="70" max="3" man="1"/>
    <brk id="73" max="3" man="1"/>
    <brk id="75" max="3" man="1"/>
  </rowBreaks>
  <colBreaks count="1" manualBreakCount="1">
    <brk id="1" max="98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32EE8-2AE6-4977-BB04-487872A27F74}">
          <x14:formula1>
            <xm:f>Einstellungen!$N$71:$N$74</xm:f>
          </x14:formula1>
          <xm:sqref>G1</xm:sqref>
        </x14:dataValidation>
        <x14:dataValidation type="list" allowBlank="1" showInputMessage="1" showErrorMessage="1" xr:uid="{6FD0E4F4-3782-49E8-A5EB-BE099AC3520D}">
          <x14:formula1>
            <xm:f>Einstellungen!$E$71:$E$74</xm:f>
          </x14:formula1>
          <xm:sqref>B49:B51</xm:sqref>
        </x14:dataValidation>
        <x14:dataValidation type="list" showInputMessage="1" xr:uid="{38A81A06-30C3-4846-8C2F-667E80404A4B}">
          <x14:formula1>
            <xm:f>Einstellungen!$B$71:$B$84</xm:f>
          </x14:formula1>
          <xm:sqref>B14:B41</xm:sqref>
        </x14:dataValidation>
        <x14:dataValidation type="list" showInputMessage="1" xr:uid="{27CD1492-DDA8-4167-993D-E1B3CD096AAE}">
          <x14:formula1>
            <xm:f>Einstellungen!$K$71:$K$75</xm:f>
          </x14:formula1>
          <xm:sqref>C13:C41</xm:sqref>
        </x14:dataValidation>
        <x14:dataValidation type="list" allowBlank="1" showInputMessage="1" xr:uid="{BF3B1248-7579-49C6-8462-9F582EBC0844}">
          <x14:formula1>
            <xm:f>Einstellungen!$H$71:$H$86</xm:f>
          </x14:formula1>
          <xm:sqref>D14:D51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3A90-1F8D-4322-A65A-1FE44E39F159}">
  <sheetPr>
    <tabColor theme="5" tint="0.59999389629810485"/>
    <pageSetUpPr fitToPage="1"/>
  </sheetPr>
  <dimension ref="A1:N86"/>
  <sheetViews>
    <sheetView showGridLines="0" view="pageBreakPreview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>
        <v>13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13 für SAMSTAG, 03.10.2026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138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449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288</v>
      </c>
      <c r="B16" s="7" t="s">
        <v>450</v>
      </c>
      <c r="C16" s="7" t="s">
        <v>79</v>
      </c>
      <c r="D16" s="7" t="s">
        <v>92</v>
      </c>
    </row>
    <row r="17" spans="1:6" s="113" customFormat="1" x14ac:dyDescent="0.25">
      <c r="A17" s="70" t="s">
        <v>145</v>
      </c>
      <c r="B17" s="7" t="s">
        <v>105</v>
      </c>
      <c r="C17" s="7" t="s">
        <v>89</v>
      </c>
      <c r="D17" s="7" t="s">
        <v>96</v>
      </c>
    </row>
    <row r="18" spans="1:6" s="113" customFormat="1" x14ac:dyDescent="0.25">
      <c r="A18" s="35"/>
      <c r="B18" s="7"/>
      <c r="C18" s="7"/>
      <c r="D18" s="7"/>
    </row>
    <row r="19" spans="1:6" s="113" customFormat="1" x14ac:dyDescent="0.25">
      <c r="A19" s="26" t="s">
        <v>255</v>
      </c>
      <c r="B19" s="9"/>
      <c r="C19" s="9"/>
      <c r="D19" s="9"/>
    </row>
    <row r="20" spans="1:6" s="113" customFormat="1" ht="3.75" customHeight="1" x14ac:dyDescent="0.25">
      <c r="A20" s="37"/>
      <c r="B20" s="6"/>
      <c r="C20" s="6"/>
      <c r="D20" s="6"/>
    </row>
    <row r="21" spans="1:6" s="113" customFormat="1" ht="12.75" customHeight="1" x14ac:dyDescent="0.25">
      <c r="A21" s="7" t="s">
        <v>413</v>
      </c>
      <c r="B21" s="52"/>
      <c r="C21" s="7"/>
      <c r="D21" s="7"/>
      <c r="E21" s="111" t="s">
        <v>316</v>
      </c>
      <c r="F21" s="112"/>
    </row>
    <row r="22" spans="1:6" s="113" customFormat="1" ht="12.75" customHeight="1" x14ac:dyDescent="0.25">
      <c r="A22" s="22"/>
      <c r="B22" s="10"/>
      <c r="C22" s="10"/>
      <c r="D22" s="11"/>
      <c r="E22" s="111"/>
      <c r="F22" s="112"/>
    </row>
    <row r="23" spans="1:6" s="113" customFormat="1" x14ac:dyDescent="0.25">
      <c r="A23" s="26" t="s">
        <v>270</v>
      </c>
      <c r="B23" s="5"/>
      <c r="C23" s="5"/>
      <c r="D23" s="5"/>
      <c r="E23" s="111"/>
      <c r="F23" s="112"/>
    </row>
    <row r="24" spans="1:6" s="113" customFormat="1" ht="3.75" customHeight="1" x14ac:dyDescent="0.25">
      <c r="A24" s="38"/>
      <c r="B24" s="12"/>
      <c r="C24" s="12"/>
      <c r="D24" s="12"/>
    </row>
    <row r="25" spans="1:6" s="113" customFormat="1" ht="12.75" customHeight="1" x14ac:dyDescent="0.25">
      <c r="A25" s="7" t="s">
        <v>413</v>
      </c>
      <c r="B25" s="6"/>
      <c r="C25" s="6"/>
      <c r="D25" s="6"/>
      <c r="E25" s="45" t="s">
        <v>316</v>
      </c>
      <c r="F25" s="114"/>
    </row>
    <row r="26" spans="1:6" s="113" customFormat="1" x14ac:dyDescent="0.25">
      <c r="A26" s="22"/>
      <c r="B26" s="10"/>
      <c r="C26" s="10"/>
      <c r="D26" s="11"/>
    </row>
    <row r="27" spans="1:6" s="113" customFormat="1" x14ac:dyDescent="0.25">
      <c r="A27" s="26" t="s">
        <v>273</v>
      </c>
      <c r="B27" s="5"/>
      <c r="C27" s="5"/>
      <c r="D27" s="5"/>
    </row>
    <row r="28" spans="1:6" s="113" customFormat="1" ht="3.75" customHeight="1" x14ac:dyDescent="0.25">
      <c r="A28" s="37"/>
      <c r="B28" s="12"/>
      <c r="C28" s="12"/>
      <c r="D28" s="12"/>
    </row>
    <row r="29" spans="1:6" s="113" customFormat="1" x14ac:dyDescent="0.25">
      <c r="A29" s="35" t="s">
        <v>274</v>
      </c>
      <c r="B29" s="7" t="s">
        <v>275</v>
      </c>
      <c r="C29" s="17" t="s">
        <v>414</v>
      </c>
    </row>
    <row r="30" spans="1:6" s="113" customFormat="1" x14ac:dyDescent="0.25">
      <c r="A30" s="52" t="s">
        <v>274</v>
      </c>
      <c r="B30" s="35" t="s">
        <v>421</v>
      </c>
      <c r="C30" s="17" t="s">
        <v>422</v>
      </c>
      <c r="D30" s="17"/>
    </row>
    <row r="31" spans="1:6" s="113" customFormat="1" x14ac:dyDescent="0.25">
      <c r="A31" s="40" t="s">
        <v>249</v>
      </c>
      <c r="B31" s="13" t="s">
        <v>451</v>
      </c>
      <c r="C31" s="17" t="str">
        <f>VLOOKUP(Einstellungen!$C$6+$N$2-1,Tagesof[#Data],2)</f>
        <v>Lt Omura</v>
      </c>
      <c r="D31" s="17"/>
    </row>
    <row r="32" spans="1:6" s="113" customFormat="1" x14ac:dyDescent="0.25">
      <c r="A32" s="52"/>
      <c r="B32" s="35"/>
      <c r="C32" s="17"/>
      <c r="D32" s="17"/>
    </row>
    <row r="33" spans="1:4" s="113" customFormat="1" x14ac:dyDescent="0.25">
      <c r="A33" s="52"/>
      <c r="B33" s="35"/>
      <c r="C33" s="17"/>
      <c r="D33" s="17"/>
    </row>
    <row r="34" spans="1:4" s="113" customFormat="1" x14ac:dyDescent="0.25">
      <c r="A34" s="35"/>
      <c r="B34" s="15"/>
      <c r="C34" s="7"/>
      <c r="D34" s="7"/>
    </row>
    <row r="35" spans="1:4" s="113" customFormat="1" x14ac:dyDescent="0.25">
      <c r="A35" s="28" t="s">
        <v>283</v>
      </c>
      <c r="B35" s="12"/>
      <c r="D35" s="49" t="s">
        <v>3</v>
      </c>
    </row>
    <row r="36" spans="1:4" s="113" customFormat="1" x14ac:dyDescent="0.25">
      <c r="A36" s="29" t="s">
        <v>416</v>
      </c>
      <c r="B36" s="16"/>
      <c r="D36" s="17"/>
    </row>
    <row r="37" spans="1:4" s="113" customFormat="1" x14ac:dyDescent="0.25">
      <c r="A37" s="11" t="s">
        <v>285</v>
      </c>
      <c r="B37" s="16"/>
      <c r="D37" s="14"/>
    </row>
    <row r="38" spans="1:4" s="113" customFormat="1" x14ac:dyDescent="0.25">
      <c r="B38" s="16"/>
      <c r="D38"/>
    </row>
    <row r="39" spans="1:4" s="113" customFormat="1" x14ac:dyDescent="0.25">
      <c r="A39" s="28" t="s">
        <v>286</v>
      </c>
      <c r="B39" s="16"/>
      <c r="D39" s="23" t="s">
        <v>42</v>
      </c>
    </row>
    <row r="40" spans="1:4" s="113" customFormat="1" x14ac:dyDescent="0.25">
      <c r="A40" s="29" t="s">
        <v>287</v>
      </c>
      <c r="B40" s="16"/>
      <c r="D40" s="18" t="s">
        <v>79</v>
      </c>
    </row>
    <row r="41" spans="1:4" s="113" customFormat="1" x14ac:dyDescent="0.25">
      <c r="A41" s="119"/>
      <c r="B41" s="16"/>
      <c r="C41" s="16"/>
      <c r="D41" s="16"/>
    </row>
    <row r="42" spans="1:4" s="113" customFormat="1" x14ac:dyDescent="0.25">
      <c r="A42" s="119"/>
      <c r="B42" s="16"/>
      <c r="C42" s="16"/>
      <c r="D42" s="16"/>
    </row>
    <row r="43" spans="1:4" s="113" customFormat="1" x14ac:dyDescent="0.25">
      <c r="A43" s="119"/>
      <c r="B43" s="16"/>
      <c r="C43" s="19"/>
      <c r="D43" s="16"/>
    </row>
    <row r="44" spans="1:4" s="113" customFormat="1" x14ac:dyDescent="0.25">
      <c r="A44" s="119"/>
      <c r="B44" s="16"/>
      <c r="C44" s="16"/>
      <c r="D44" s="16"/>
    </row>
    <row r="45" spans="1:4" s="113" customFormat="1" x14ac:dyDescent="0.25">
      <c r="A45" s="119"/>
      <c r="B45" s="16"/>
      <c r="C45" s="16"/>
      <c r="D45" s="16"/>
    </row>
    <row r="46" spans="1:4" s="113" customFormat="1" x14ac:dyDescent="0.25">
      <c r="A46" s="42"/>
      <c r="B46" s="17"/>
      <c r="C46" s="17"/>
      <c r="D46" s="17"/>
    </row>
    <row r="47" spans="1:4" s="113" customFormat="1" x14ac:dyDescent="0.25">
      <c r="A47" s="43"/>
      <c r="B47" s="17"/>
      <c r="C47" s="17"/>
      <c r="D47" s="17"/>
    </row>
    <row r="48" spans="1:4" s="113" customFormat="1" x14ac:dyDescent="0.25">
      <c r="A48" s="42"/>
      <c r="B48" s="17"/>
      <c r="C48" s="17"/>
      <c r="D48" s="17"/>
    </row>
    <row r="49" spans="1:4" s="113" customFormat="1" x14ac:dyDescent="0.25">
      <c r="A49" s="42"/>
      <c r="B49" s="17"/>
      <c r="C49" s="17"/>
      <c r="D49" s="17"/>
    </row>
    <row r="50" spans="1:4" s="113" customFormat="1" x14ac:dyDescent="0.25">
      <c r="A50" s="43"/>
      <c r="B50" s="17"/>
      <c r="C50" s="17"/>
      <c r="D50" s="17"/>
    </row>
    <row r="51" spans="1:4" s="113" customFormat="1" x14ac:dyDescent="0.25">
      <c r="A51" s="42"/>
      <c r="B51" s="17"/>
      <c r="C51" s="17"/>
      <c r="D51" s="17"/>
    </row>
    <row r="52" spans="1:4" s="113" customFormat="1" x14ac:dyDescent="0.25">
      <c r="A52" s="116"/>
      <c r="B52"/>
      <c r="C52"/>
      <c r="D52"/>
    </row>
    <row r="53" spans="1:4" s="113" customFormat="1" x14ac:dyDescent="0.25">
      <c r="A53" s="116"/>
      <c r="B53"/>
      <c r="C53"/>
      <c r="D53"/>
    </row>
    <row r="54" spans="1:4" s="113" customFormat="1" x14ac:dyDescent="0.25">
      <c r="A54" s="116"/>
      <c r="B54"/>
      <c r="C54"/>
      <c r="D54"/>
    </row>
    <row r="55" spans="1:4" s="113" customFormat="1" x14ac:dyDescent="0.25">
      <c r="A55" s="116"/>
      <c r="B55"/>
      <c r="C55"/>
      <c r="D55"/>
    </row>
    <row r="56" spans="1:4" s="113" customFormat="1" x14ac:dyDescent="0.25">
      <c r="A56" s="116"/>
      <c r="B56"/>
      <c r="C56"/>
      <c r="D56"/>
    </row>
    <row r="57" spans="1:4" s="113" customFormat="1" x14ac:dyDescent="0.25">
      <c r="A57" s="116"/>
      <c r="B57"/>
      <c r="C57"/>
      <c r="D57"/>
    </row>
    <row r="58" spans="1:4" s="113" customFormat="1" x14ac:dyDescent="0.25">
      <c r="A58" s="116"/>
      <c r="B58"/>
      <c r="C58"/>
      <c r="D58"/>
    </row>
    <row r="59" spans="1:4" s="113" customFormat="1" x14ac:dyDescent="0.25">
      <c r="A59" s="116"/>
      <c r="B59"/>
      <c r="C59"/>
      <c r="D59"/>
    </row>
    <row r="60" spans="1:4" s="113" customFormat="1" x14ac:dyDescent="0.25">
      <c r="A60" s="116"/>
      <c r="B60"/>
      <c r="C60"/>
      <c r="D60"/>
    </row>
    <row r="61" spans="1:4" s="113" customFormat="1" ht="12" customHeight="1" x14ac:dyDescent="0.25">
      <c r="A61" s="116"/>
      <c r="B61"/>
      <c r="C61"/>
      <c r="D61"/>
    </row>
    <row r="62" spans="1:4" s="113" customFormat="1" x14ac:dyDescent="0.25">
      <c r="A62" s="116"/>
      <c r="B62"/>
      <c r="C62"/>
      <c r="D62"/>
    </row>
    <row r="63" spans="1:4" s="113" customFormat="1" x14ac:dyDescent="0.25">
      <c r="A63" s="116"/>
      <c r="B63"/>
      <c r="C63"/>
      <c r="D63"/>
    </row>
    <row r="64" spans="1:4" s="113" customFormat="1" x14ac:dyDescent="0.25">
      <c r="A64" s="116"/>
      <c r="B64"/>
      <c r="C64"/>
      <c r="D64"/>
    </row>
    <row r="65" spans="1:4" s="113" customFormat="1" x14ac:dyDescent="0.25">
      <c r="A65" s="116"/>
      <c r="B65"/>
      <c r="C65"/>
      <c r="D65"/>
    </row>
    <row r="66" spans="1:4" s="113" customFormat="1" x14ac:dyDescent="0.25">
      <c r="A66" s="116"/>
      <c r="B66"/>
      <c r="C66"/>
      <c r="D66"/>
    </row>
    <row r="67" spans="1:4" s="113" customFormat="1" x14ac:dyDescent="0.25">
      <c r="A67" s="116"/>
      <c r="B67"/>
      <c r="C67"/>
      <c r="D67"/>
    </row>
    <row r="68" spans="1:4" ht="7.5" customHeight="1" x14ac:dyDescent="0.25"/>
    <row r="70" spans="1:4" ht="7.5" customHeight="1" x14ac:dyDescent="0.25"/>
    <row r="71" spans="1:4" s="113" customFormat="1" x14ac:dyDescent="0.25">
      <c r="A71" s="116"/>
      <c r="B71"/>
      <c r="C71"/>
      <c r="D71"/>
    </row>
    <row r="72" spans="1:4" s="113" customFormat="1" x14ac:dyDescent="0.25">
      <c r="A72" s="116"/>
      <c r="B72"/>
      <c r="C72"/>
      <c r="D72"/>
    </row>
    <row r="73" spans="1:4" s="113" customFormat="1" ht="11.25" customHeight="1" x14ac:dyDescent="0.25">
      <c r="A73" s="116"/>
      <c r="B73"/>
      <c r="C73"/>
      <c r="D73"/>
    </row>
    <row r="74" spans="1:4" ht="7.5" customHeight="1" x14ac:dyDescent="0.25"/>
    <row r="76" spans="1:4" ht="7.5" customHeight="1" x14ac:dyDescent="0.25"/>
    <row r="77" spans="1:4" ht="7.5" customHeight="1" x14ac:dyDescent="0.25"/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5" customFormat="1" ht="7.5" customHeight="1" x14ac:dyDescent="0.25">
      <c r="A80" s="116"/>
      <c r="B80"/>
      <c r="C80"/>
      <c r="D80"/>
    </row>
    <row r="81" spans="1:4" s="115" customFormat="1" x14ac:dyDescent="0.25">
      <c r="A81" s="116"/>
      <c r="B81"/>
      <c r="C81"/>
      <c r="D81"/>
    </row>
    <row r="82" spans="1:4" s="115" customFormat="1" ht="7.5" customHeight="1" x14ac:dyDescent="0.25">
      <c r="A82" s="116"/>
      <c r="B82"/>
      <c r="C82"/>
      <c r="D82"/>
    </row>
    <row r="85" spans="1:4" s="113" customForma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59" priority="1" operator="equal">
      <formula>"Verworfen"</formula>
    </cfRule>
    <cfRule type="cellIs" dxfId="58" priority="2" operator="equal">
      <formula>"Genehmigt durch Kdt"</formula>
    </cfRule>
    <cfRule type="cellIs" dxfId="57" priority="3" operator="equal">
      <formula>"Bereit für Kdt"</formula>
    </cfRule>
    <cfRule type="cellIs" dxfId="56" priority="4" operator="equal">
      <formula>"Entwurf"</formula>
    </cfRule>
  </conditionalFormatting>
  <dataValidations count="8">
    <dataValidation type="list" allowBlank="1" showInputMessage="1" showErrorMessage="1" sqref="D40" xr:uid="{B1BDB37B-07C7-4CC9-927B-95A3DB93B8AC}">
      <formula1>VerantwortungTgbf</formula1>
    </dataValidation>
    <dataValidation type="list" allowBlank="1" showInputMessage="1" showErrorMessage="1" sqref="D5" xr:uid="{9FC0A007-C4A5-42CC-B64A-DCF051F3E881}">
      <formula1>ENTWURF</formula1>
    </dataValidation>
    <dataValidation type="list" allowBlank="1" showInputMessage="1" showErrorMessage="1" sqref="D39" xr:uid="{A1E0A43E-8C6E-4340-8105-56B834B85EB4}">
      <formula1>WerUnterschrift</formula1>
    </dataValidation>
    <dataValidation type="list" allowBlank="1" showInputMessage="1" showErrorMessage="1" sqref="A36 A40" xr:uid="{2E75C73D-8A6D-459F-8756-78D88F68B261}">
      <formula1>Verteiler</formula1>
    </dataValidation>
    <dataValidation type="list" allowBlank="1" showInputMessage="1" showErrorMessage="1" sqref="A7" xr:uid="{C9B531BA-8592-4A83-8BF6-BF9CE556D73F}">
      <formula1>Landkarten</formula1>
    </dataValidation>
    <dataValidation type="list" showInputMessage="1" sqref="B19:B20 A21 A25" xr:uid="{679E2A8B-B22B-4312-B7C6-85596B8810E3}">
      <formula1>Tätigkeiten</formula1>
    </dataValidation>
    <dataValidation type="list" allowBlank="1" showInputMessage="1" sqref="D27:D28 C30 C32:C33" xr:uid="{FAA7A0BC-4C34-43BF-827C-DD46D6DFA69D}">
      <formula1>Räumlichkeiten</formula1>
    </dataValidation>
    <dataValidation type="list" showInputMessage="1" sqref="C19:C26" xr:uid="{A5EC4252-B3C4-4654-B319-F14BD166D590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44" max="3" man="1"/>
    <brk id="47" max="3" man="1"/>
    <brk id="49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DE3FFB0-066C-4F49-B394-7A97885F6896}">
          <x14:formula1>
            <xm:f>Einstellungen!$N$71:$N$74</xm:f>
          </x14:formula1>
          <xm:sqref>G1</xm:sqref>
        </x14:dataValidation>
        <x14:dataValidation type="list" showInputMessage="1" xr:uid="{4882255E-05DF-4568-819D-647DF887C074}">
          <x14:formula1>
            <xm:f>Einstellungen!$K$71:$K$75</xm:f>
          </x14:formula1>
          <xm:sqref>C13:C18</xm:sqref>
        </x14:dataValidation>
        <x14:dataValidation type="list" showInputMessage="1" xr:uid="{8468A722-D270-434E-AB7E-1642D8725DEC}">
          <x14:formula1>
            <xm:f>Einstellungen!$B$71:$B$84</xm:f>
          </x14:formula1>
          <xm:sqref>B14:B18</xm:sqref>
        </x14:dataValidation>
        <x14:dataValidation type="list" allowBlank="1" showInputMessage="1" showErrorMessage="1" xr:uid="{18FACF3A-2A32-4C6D-AD4E-FC93C507BFF8}">
          <x14:formula1>
            <xm:f>Einstellungen!$E$71:$E$74</xm:f>
          </x14:formula1>
          <xm:sqref>B25:B26</xm:sqref>
        </x14:dataValidation>
        <x14:dataValidation type="list" allowBlank="1" showInputMessage="1" xr:uid="{F882AB6C-FED9-402D-81DD-74DE06E41CF7}">
          <x14:formula1>
            <xm:f>Einstellungen!$H$71:$H$86</xm:f>
          </x14:formula1>
          <xm:sqref>D14:D26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99C8-B556-4991-92AF-C379F269B0E1}">
  <sheetPr>
    <tabColor theme="9" tint="0.59999389629810485"/>
    <pageSetUpPr fitToPage="1"/>
  </sheetPr>
  <dimension ref="A1:N83"/>
  <sheetViews>
    <sheetView showGridLines="0" view="pageBreakPreview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>
        <v>14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14 für SONNTAG, 04.10.2026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452</v>
      </c>
      <c r="B13" s="7"/>
      <c r="C13" s="7"/>
      <c r="D13" s="7"/>
    </row>
    <row r="14" spans="1:14" s="113" customFormat="1" ht="12" customHeight="1" x14ac:dyDescent="0.25">
      <c r="A14" s="69">
        <v>2330</v>
      </c>
      <c r="B14" s="7" t="s">
        <v>113</v>
      </c>
      <c r="C14" s="7" t="s">
        <v>37</v>
      </c>
      <c r="D14" s="7" t="s">
        <v>83</v>
      </c>
    </row>
    <row r="15" spans="1:14" s="113" customFormat="1" x14ac:dyDescent="0.25">
      <c r="A15" s="35"/>
      <c r="B15" s="7"/>
      <c r="C15" s="7"/>
      <c r="D15" s="7"/>
    </row>
    <row r="16" spans="1:14" s="113" customFormat="1" x14ac:dyDescent="0.25">
      <c r="A16" s="26" t="s">
        <v>255</v>
      </c>
      <c r="B16" s="9"/>
      <c r="C16" s="9"/>
      <c r="D16" s="9"/>
    </row>
    <row r="17" spans="1:6" s="113" customFormat="1" ht="3.75" customHeight="1" x14ac:dyDescent="0.25">
      <c r="A17" s="37"/>
      <c r="B17" s="6"/>
      <c r="C17" s="6"/>
      <c r="D17" s="6"/>
    </row>
    <row r="18" spans="1:6" s="113" customFormat="1" ht="12.75" customHeight="1" x14ac:dyDescent="0.25">
      <c r="A18" s="7" t="s">
        <v>413</v>
      </c>
      <c r="B18" s="52"/>
      <c r="C18" s="7"/>
      <c r="D18" s="7"/>
      <c r="E18" s="111" t="s">
        <v>316</v>
      </c>
      <c r="F18" s="112"/>
    </row>
    <row r="19" spans="1:6" s="113" customFormat="1" ht="12.75" customHeight="1" x14ac:dyDescent="0.25">
      <c r="A19" s="22"/>
      <c r="B19" s="10"/>
      <c r="C19" s="10"/>
      <c r="D19" s="11"/>
      <c r="E19" s="111"/>
      <c r="F19" s="112"/>
    </row>
    <row r="20" spans="1:6" s="113" customFormat="1" x14ac:dyDescent="0.25">
      <c r="A20" s="26" t="s">
        <v>270</v>
      </c>
      <c r="B20" s="5"/>
      <c r="C20" s="5"/>
      <c r="D20" s="5"/>
      <c r="E20" s="111"/>
      <c r="F20" s="112"/>
    </row>
    <row r="21" spans="1:6" s="113" customFormat="1" ht="3.75" customHeight="1" x14ac:dyDescent="0.25">
      <c r="A21" s="38"/>
      <c r="B21" s="12"/>
      <c r="C21" s="12"/>
      <c r="D21" s="12"/>
    </row>
    <row r="22" spans="1:6" s="113" customFormat="1" ht="12.75" customHeight="1" x14ac:dyDescent="0.25">
      <c r="A22" s="7" t="s">
        <v>413</v>
      </c>
      <c r="B22" s="6"/>
      <c r="C22" s="7"/>
      <c r="D22" s="6"/>
      <c r="E22" s="45" t="s">
        <v>316</v>
      </c>
      <c r="F22" s="114"/>
    </row>
    <row r="23" spans="1:6" s="113" customFormat="1" x14ac:dyDescent="0.25">
      <c r="A23" s="22"/>
      <c r="B23" s="10"/>
      <c r="C23" s="10"/>
      <c r="D23" s="11"/>
    </row>
    <row r="24" spans="1:6" s="113" customFormat="1" x14ac:dyDescent="0.25">
      <c r="A24" s="26" t="s">
        <v>273</v>
      </c>
      <c r="B24" s="5"/>
      <c r="C24" s="5"/>
      <c r="D24" s="5"/>
    </row>
    <row r="25" spans="1:6" s="113" customFormat="1" ht="3.75" customHeight="1" x14ac:dyDescent="0.25">
      <c r="A25" s="37"/>
      <c r="B25" s="12"/>
      <c r="C25" s="12"/>
      <c r="D25" s="12"/>
    </row>
    <row r="26" spans="1:6" s="113" customFormat="1" x14ac:dyDescent="0.25">
      <c r="A26" s="35" t="s">
        <v>274</v>
      </c>
      <c r="B26" s="7" t="s">
        <v>275</v>
      </c>
      <c r="C26" s="17" t="s">
        <v>414</v>
      </c>
    </row>
    <row r="27" spans="1:6" s="113" customFormat="1" x14ac:dyDescent="0.25">
      <c r="A27" s="52" t="s">
        <v>274</v>
      </c>
      <c r="B27" s="35" t="s">
        <v>421</v>
      </c>
      <c r="C27" s="17" t="s">
        <v>422</v>
      </c>
      <c r="D27" s="17"/>
    </row>
    <row r="28" spans="1:6" s="113" customFormat="1" x14ac:dyDescent="0.25">
      <c r="A28" s="40" t="s">
        <v>249</v>
      </c>
      <c r="B28" s="13" t="s">
        <v>451</v>
      </c>
      <c r="C28" s="17" t="str">
        <f>VLOOKUP(Einstellungen!$C$6+$N$2-1,Tagesof[#Data],2)</f>
        <v>Lt Omura</v>
      </c>
      <c r="D28" s="17"/>
    </row>
    <row r="29" spans="1:6" s="113" customFormat="1" x14ac:dyDescent="0.25">
      <c r="A29" s="52"/>
      <c r="B29" s="35"/>
      <c r="C29" s="17"/>
      <c r="D29" s="17"/>
    </row>
    <row r="30" spans="1:6" s="113" customFormat="1" x14ac:dyDescent="0.25">
      <c r="A30" s="52"/>
      <c r="B30" s="35"/>
      <c r="C30" s="17"/>
      <c r="D30" s="17"/>
    </row>
    <row r="31" spans="1:6" s="113" customFormat="1" x14ac:dyDescent="0.25">
      <c r="A31" s="35"/>
      <c r="B31" s="15"/>
      <c r="C31" s="7"/>
      <c r="D31" s="7"/>
    </row>
    <row r="32" spans="1:6" s="113" customFormat="1" x14ac:dyDescent="0.25">
      <c r="A32" s="28" t="s">
        <v>283</v>
      </c>
      <c r="B32" s="12"/>
      <c r="D32" s="49" t="s">
        <v>3</v>
      </c>
    </row>
    <row r="33" spans="1:4" s="113" customFormat="1" x14ac:dyDescent="0.25">
      <c r="A33" s="29" t="s">
        <v>416</v>
      </c>
      <c r="B33" s="16"/>
      <c r="D33" s="17"/>
    </row>
    <row r="34" spans="1:4" s="113" customFormat="1" x14ac:dyDescent="0.25">
      <c r="A34" s="11" t="s">
        <v>285</v>
      </c>
      <c r="B34" s="16"/>
      <c r="D34" s="14"/>
    </row>
    <row r="35" spans="1:4" s="113" customFormat="1" x14ac:dyDescent="0.25">
      <c r="B35" s="16"/>
      <c r="D35"/>
    </row>
    <row r="36" spans="1:4" s="113" customFormat="1" x14ac:dyDescent="0.25">
      <c r="A36" s="28" t="s">
        <v>286</v>
      </c>
      <c r="B36" s="16"/>
      <c r="D36" s="23" t="s">
        <v>42</v>
      </c>
    </row>
    <row r="37" spans="1:4" s="113" customFormat="1" x14ac:dyDescent="0.25">
      <c r="A37" s="29" t="s">
        <v>287</v>
      </c>
      <c r="B37" s="16"/>
      <c r="D37" s="18" t="s">
        <v>79</v>
      </c>
    </row>
    <row r="38" spans="1:4" s="113" customFormat="1" x14ac:dyDescent="0.25">
      <c r="A38" s="119"/>
      <c r="B38" s="16"/>
      <c r="C38" s="16"/>
      <c r="D38" s="16"/>
    </row>
    <row r="39" spans="1:4" s="113" customFormat="1" x14ac:dyDescent="0.25">
      <c r="A39" s="119"/>
      <c r="B39" s="16"/>
      <c r="C39" s="16"/>
      <c r="D39" s="16"/>
    </row>
    <row r="40" spans="1:4" s="113" customFormat="1" x14ac:dyDescent="0.25">
      <c r="A40" s="119"/>
      <c r="B40" s="16"/>
      <c r="C40" s="19"/>
      <c r="D40" s="16"/>
    </row>
    <row r="41" spans="1:4" s="113" customFormat="1" x14ac:dyDescent="0.25">
      <c r="A41" s="119"/>
      <c r="B41" s="16"/>
      <c r="C41" s="16"/>
      <c r="D41" s="16"/>
    </row>
    <row r="42" spans="1:4" s="113" customFormat="1" x14ac:dyDescent="0.25">
      <c r="A42" s="119"/>
      <c r="B42" s="16"/>
      <c r="C42" s="16"/>
      <c r="D42" s="16"/>
    </row>
    <row r="43" spans="1:4" s="113" customFormat="1" x14ac:dyDescent="0.25">
      <c r="A43" s="42"/>
      <c r="B43" s="17"/>
      <c r="C43" s="17"/>
      <c r="D43" s="17"/>
    </row>
    <row r="44" spans="1:4" s="113" customFormat="1" x14ac:dyDescent="0.25">
      <c r="A44" s="43"/>
      <c r="B44" s="17"/>
      <c r="C44" s="17"/>
      <c r="D44" s="17"/>
    </row>
    <row r="45" spans="1:4" s="113" customFormat="1" x14ac:dyDescent="0.25">
      <c r="A45" s="42"/>
      <c r="B45" s="17"/>
      <c r="C45" s="17"/>
      <c r="D45" s="17"/>
    </row>
    <row r="46" spans="1:4" s="113" customFormat="1" x14ac:dyDescent="0.25">
      <c r="A46" s="42"/>
      <c r="B46" s="17"/>
      <c r="C46" s="17"/>
      <c r="D46" s="17"/>
    </row>
    <row r="47" spans="1:4" s="113" customFormat="1" x14ac:dyDescent="0.25">
      <c r="A47" s="43"/>
      <c r="B47" s="17"/>
      <c r="C47" s="17"/>
      <c r="D47" s="17"/>
    </row>
    <row r="48" spans="1:4" s="113" customFormat="1" x14ac:dyDescent="0.25">
      <c r="A48" s="42"/>
      <c r="B48" s="17"/>
      <c r="C48" s="17"/>
      <c r="D48" s="17"/>
    </row>
    <row r="49" spans="1:4" s="113" customFormat="1" x14ac:dyDescent="0.25">
      <c r="A49" s="116"/>
      <c r="B49"/>
      <c r="C49"/>
      <c r="D49"/>
    </row>
    <row r="50" spans="1:4" s="113" customFormat="1" x14ac:dyDescent="0.25">
      <c r="A50" s="116"/>
      <c r="B50"/>
      <c r="C50"/>
      <c r="D50"/>
    </row>
    <row r="51" spans="1:4" s="113" customFormat="1" x14ac:dyDescent="0.25">
      <c r="A51" s="116"/>
      <c r="B51"/>
      <c r="C51"/>
      <c r="D51"/>
    </row>
    <row r="52" spans="1:4" s="113" customFormat="1" x14ac:dyDescent="0.25">
      <c r="A52" s="116"/>
      <c r="B52"/>
      <c r="C52"/>
      <c r="D52"/>
    </row>
    <row r="53" spans="1:4" s="113" customFormat="1" x14ac:dyDescent="0.25">
      <c r="A53" s="116"/>
      <c r="B53"/>
      <c r="C53"/>
      <c r="D53"/>
    </row>
    <row r="54" spans="1:4" s="113" customFormat="1" x14ac:dyDescent="0.25">
      <c r="A54" s="116"/>
      <c r="B54"/>
      <c r="C54"/>
      <c r="D54"/>
    </row>
    <row r="55" spans="1:4" s="113" customFormat="1" x14ac:dyDescent="0.25">
      <c r="A55" s="116"/>
      <c r="B55"/>
      <c r="C55"/>
      <c r="D55"/>
    </row>
    <row r="56" spans="1:4" s="113" customFormat="1" x14ac:dyDescent="0.25">
      <c r="A56" s="116"/>
      <c r="B56"/>
      <c r="C56"/>
      <c r="D56"/>
    </row>
    <row r="57" spans="1:4" s="113" customFormat="1" x14ac:dyDescent="0.25">
      <c r="A57" s="116"/>
      <c r="B57"/>
      <c r="C57"/>
      <c r="D57"/>
    </row>
    <row r="58" spans="1:4" s="113" customFormat="1" ht="12" customHeight="1" x14ac:dyDescent="0.25">
      <c r="A58" s="116"/>
      <c r="B58"/>
      <c r="C58"/>
      <c r="D58"/>
    </row>
    <row r="59" spans="1:4" s="113" customFormat="1" x14ac:dyDescent="0.25">
      <c r="A59" s="116"/>
      <c r="B59"/>
      <c r="C59"/>
      <c r="D59"/>
    </row>
    <row r="60" spans="1:4" s="113" customFormat="1" x14ac:dyDescent="0.25">
      <c r="A60" s="116"/>
      <c r="B60"/>
      <c r="C60"/>
      <c r="D60"/>
    </row>
    <row r="61" spans="1:4" s="113" customFormat="1" x14ac:dyDescent="0.25">
      <c r="A61" s="116"/>
      <c r="B61"/>
      <c r="C61"/>
      <c r="D61"/>
    </row>
    <row r="62" spans="1:4" s="113" customFormat="1" x14ac:dyDescent="0.25">
      <c r="A62" s="116"/>
      <c r="B62"/>
      <c r="C62"/>
      <c r="D62"/>
    </row>
    <row r="63" spans="1:4" s="113" customFormat="1" x14ac:dyDescent="0.25">
      <c r="A63" s="116"/>
      <c r="B63"/>
      <c r="C63"/>
      <c r="D63"/>
    </row>
    <row r="64" spans="1:4" s="113" customFormat="1" x14ac:dyDescent="0.25">
      <c r="A64" s="116"/>
      <c r="B64"/>
      <c r="C64"/>
      <c r="D64"/>
    </row>
    <row r="65" spans="1:4" ht="7.5" customHeight="1" x14ac:dyDescent="0.25"/>
    <row r="67" spans="1:4" ht="7.5" customHeight="1" x14ac:dyDescent="0.25"/>
    <row r="68" spans="1:4" s="113" customFormat="1" x14ac:dyDescent="0.25">
      <c r="A68" s="116"/>
      <c r="B68"/>
      <c r="C68"/>
      <c r="D68"/>
    </row>
    <row r="69" spans="1:4" s="113" customFormat="1" x14ac:dyDescent="0.25">
      <c r="A69" s="116"/>
      <c r="B69"/>
      <c r="C69"/>
      <c r="D69"/>
    </row>
    <row r="70" spans="1:4" s="113" customFormat="1" ht="11.25" customHeight="1" x14ac:dyDescent="0.25">
      <c r="A70" s="116"/>
      <c r="B70"/>
      <c r="C70"/>
      <c r="D70"/>
    </row>
    <row r="71" spans="1:4" ht="7.5" customHeight="1" x14ac:dyDescent="0.25"/>
    <row r="73" spans="1:4" ht="7.5" customHeight="1" x14ac:dyDescent="0.25"/>
    <row r="74" spans="1:4" ht="7.5" customHeight="1" x14ac:dyDescent="0.25"/>
    <row r="75" spans="1:4" s="113" customFormat="1" x14ac:dyDescent="0.25">
      <c r="A75" s="116"/>
      <c r="B75"/>
      <c r="C75"/>
      <c r="D75"/>
    </row>
    <row r="76" spans="1:4" s="113" customFormat="1" x14ac:dyDescent="0.25">
      <c r="A76" s="116"/>
      <c r="B76"/>
      <c r="C76"/>
      <c r="D76"/>
    </row>
    <row r="77" spans="1:4" s="115" customFormat="1" ht="7.5" customHeight="1" x14ac:dyDescent="0.25">
      <c r="A77" s="116"/>
      <c r="B77"/>
      <c r="C77"/>
      <c r="D77"/>
    </row>
    <row r="78" spans="1:4" s="115" customFormat="1" x14ac:dyDescent="0.25">
      <c r="A78" s="116"/>
      <c r="B78"/>
      <c r="C78"/>
      <c r="D78"/>
    </row>
    <row r="79" spans="1:4" s="115" customFormat="1" ht="7.5" customHeight="1" x14ac:dyDescent="0.25">
      <c r="A79" s="116"/>
      <c r="B79"/>
      <c r="C79"/>
      <c r="D79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55" priority="1" operator="equal">
      <formula>"Verworfen"</formula>
    </cfRule>
    <cfRule type="cellIs" dxfId="54" priority="2" operator="equal">
      <formula>"Genehmigt durch Kdt"</formula>
    </cfRule>
    <cfRule type="cellIs" dxfId="53" priority="3" operator="equal">
      <formula>"Bereit für Kdt"</formula>
    </cfRule>
    <cfRule type="cellIs" dxfId="52" priority="4" operator="equal">
      <formula>"Entwurf"</formula>
    </cfRule>
  </conditionalFormatting>
  <dataValidations count="8">
    <dataValidation type="list" allowBlank="1" showInputMessage="1" showErrorMessage="1" sqref="D37" xr:uid="{B5B0095A-BF49-48BD-BE71-3A8B22578F5F}">
      <formula1>VerantwortungTgbf</formula1>
    </dataValidation>
    <dataValidation type="list" allowBlank="1" showInputMessage="1" showErrorMessage="1" sqref="D5" xr:uid="{E7ABD710-A064-40FE-AE00-E0EF52F7D8D0}">
      <formula1>ENTWURF</formula1>
    </dataValidation>
    <dataValidation type="list" allowBlank="1" showInputMessage="1" showErrorMessage="1" sqref="D36" xr:uid="{214BE1DC-4BBB-4A57-8FF4-1B2784F642A5}">
      <formula1>WerUnterschrift</formula1>
    </dataValidation>
    <dataValidation type="list" allowBlank="1" showInputMessage="1" showErrorMessage="1" sqref="A33 A37" xr:uid="{86E0DF97-EB09-49BF-81E9-1F243E8E1828}">
      <formula1>Verteiler</formula1>
    </dataValidation>
    <dataValidation type="list" allowBlank="1" showInputMessage="1" showErrorMessage="1" sqref="A7" xr:uid="{1105C711-0244-4EA8-99F6-582777461CCC}">
      <formula1>Landkarten</formula1>
    </dataValidation>
    <dataValidation type="list" showInputMessage="1" sqref="B16:B17 A18 A22" xr:uid="{BADAB2B2-6D15-497E-98FB-8F4B1CA985C5}">
      <formula1>Tätigkeiten</formula1>
    </dataValidation>
    <dataValidation type="list" allowBlank="1" showInputMessage="1" sqref="D24:D25 C27 C29:C30" xr:uid="{5E3F0D92-7C37-4D79-A48C-6E5F03D0CF36}">
      <formula1>Räumlichkeiten</formula1>
    </dataValidation>
    <dataValidation type="list" showInputMessage="1" sqref="C16:C21 C23" xr:uid="{8058BC8A-6EB1-40A1-8919-4DFC269175F5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3" manualBreakCount="3">
    <brk id="41" max="3" man="1"/>
    <brk id="44" max="3" man="1"/>
    <brk id="46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9908B4E-A568-4A47-A288-1F93D9DAAEBC}">
          <x14:formula1>
            <xm:f>Einstellungen!$N$71:$N$74</xm:f>
          </x14:formula1>
          <xm:sqref>G1</xm:sqref>
        </x14:dataValidation>
        <x14:dataValidation type="list" allowBlank="1" showInputMessage="1" showErrorMessage="1" xr:uid="{50BBC3F4-195B-4ECF-A73C-C1BECAB6C944}">
          <x14:formula1>
            <xm:f>Einstellungen!$E$71:$E$74</xm:f>
          </x14:formula1>
          <xm:sqref>B23</xm:sqref>
        </x14:dataValidation>
        <x14:dataValidation type="list" showInputMessage="1" xr:uid="{65A9755B-D6F3-49DE-B571-53B2FA3F93FD}">
          <x14:formula1>
            <xm:f>Einstellungen!$K$71:$K$75</xm:f>
          </x14:formula1>
          <xm:sqref>C22 C13:C15</xm:sqref>
        </x14:dataValidation>
        <x14:dataValidation type="list" allowBlank="1" showInputMessage="1" xr:uid="{489615C5-01C3-42D9-B30C-22BD4482BF20}">
          <x14:formula1>
            <xm:f>Einstellungen!$E$71:$E$74</xm:f>
          </x14:formula1>
          <xm:sqref>B22</xm:sqref>
        </x14:dataValidation>
        <x14:dataValidation type="list" showInputMessage="1" xr:uid="{AA92F8A4-C8A6-492B-9232-C6246C8C4D5C}">
          <x14:formula1>
            <xm:f>Einstellungen!$B$71:$B$84</xm:f>
          </x14:formula1>
          <xm:sqref>B14:B15</xm:sqref>
        </x14:dataValidation>
        <x14:dataValidation type="list" allowBlank="1" showInputMessage="1" xr:uid="{016DA1B7-C4B2-4D70-B72A-23B688862621}">
          <x14:formula1>
            <xm:f>Einstellungen!$H$71:$H$86</xm:f>
          </x14:formula1>
          <xm:sqref>D14:D23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5E8D-B98F-48C4-BE9E-F6193DC964CA}">
  <sheetPr>
    <tabColor theme="9" tint="0.59999389629810485"/>
    <pageSetUpPr fitToPage="1"/>
  </sheetPr>
  <dimension ref="A1:N107"/>
  <sheetViews>
    <sheetView showGridLines="0" view="pageBreakPreview" topLeftCell="A16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4" style="116" customWidth="1"/>
    <col min="2" max="2" width="40.886718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3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15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15 für MONTAG, 05.10.2026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12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.75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12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12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12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Oblt Sieber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7"/>
      <c r="C67" s="17"/>
      <c r="D67" s="17"/>
    </row>
    <row r="68" spans="1:4" s="113" customFormat="1" x14ac:dyDescent="0.25">
      <c r="A68" s="119"/>
      <c r="B68" s="17"/>
      <c r="C68" s="17"/>
      <c r="D68" s="17"/>
    </row>
    <row r="69" spans="1:4" s="113" customFormat="1" x14ac:dyDescent="0.25">
      <c r="A69" s="42"/>
      <c r="B69" s="17"/>
      <c r="C69" s="17"/>
      <c r="D69" s="17"/>
    </row>
    <row r="70" spans="1:4" s="113" customFormat="1" x14ac:dyDescent="0.25">
      <c r="A70" s="43"/>
      <c r="B70" s="17"/>
      <c r="C70" s="17"/>
      <c r="D70" s="17"/>
    </row>
    <row r="71" spans="1:4" s="113" customFormat="1" x14ac:dyDescent="0.25">
      <c r="A71" s="42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3"/>
      <c r="B73"/>
      <c r="C73"/>
      <c r="D73"/>
    </row>
    <row r="74" spans="1:4" s="113" customFormat="1" x14ac:dyDescent="0.25">
      <c r="A74" s="42"/>
      <c r="B74"/>
      <c r="C74"/>
      <c r="D74"/>
    </row>
    <row r="75" spans="1:4" s="113" customFormat="1" x14ac:dyDescent="0.25">
      <c r="A75" s="116"/>
      <c r="B75"/>
      <c r="C75"/>
      <c r="D75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ht="12" customHeigh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ht="7.5" customHeight="1" x14ac:dyDescent="0.25"/>
    <row r="91" spans="1:4" ht="7.5" customHeight="1" x14ac:dyDescent="0.25"/>
    <row r="92" spans="1:4" s="113" customFormat="1" x14ac:dyDescent="0.25">
      <c r="A92" s="116"/>
      <c r="B92"/>
      <c r="C92"/>
      <c r="D92"/>
    </row>
    <row r="93" spans="1:4" s="113" customFormat="1" x14ac:dyDescent="0.25">
      <c r="A93" s="116"/>
      <c r="B93"/>
      <c r="C93"/>
      <c r="D93"/>
    </row>
    <row r="94" spans="1:4" s="113" customFormat="1" ht="11.25" customHeight="1" x14ac:dyDescent="0.25">
      <c r="A94" s="116"/>
      <c r="B94"/>
      <c r="C94"/>
      <c r="D94"/>
    </row>
    <row r="95" spans="1:4" ht="7.5" customHeight="1" x14ac:dyDescent="0.25"/>
    <row r="97" spans="1:4" ht="7.5" customHeight="1" x14ac:dyDescent="0.25"/>
    <row r="98" spans="1:4" ht="7.5" customHeight="1" x14ac:dyDescent="0.25"/>
    <row r="99" spans="1:4" s="113" customFormat="1" x14ac:dyDescent="0.25">
      <c r="A99" s="116"/>
      <c r="B99"/>
      <c r="C99"/>
      <c r="D99"/>
    </row>
    <row r="100" spans="1:4" s="113" customFormat="1" x14ac:dyDescent="0.25">
      <c r="A100" s="116"/>
      <c r="B100"/>
      <c r="C100"/>
      <c r="D100"/>
    </row>
    <row r="101" spans="1:4" s="115" customFormat="1" ht="7.5" customHeight="1" x14ac:dyDescent="0.25">
      <c r="A101" s="116"/>
      <c r="B101"/>
      <c r="C101"/>
      <c r="D101"/>
    </row>
    <row r="102" spans="1:4" s="115" customFormat="1" x14ac:dyDescent="0.25">
      <c r="A102" s="116"/>
      <c r="B102"/>
      <c r="C102"/>
      <c r="D102"/>
    </row>
    <row r="103" spans="1:4" s="115" customFormat="1" ht="7.5" customHeight="1" x14ac:dyDescent="0.25">
      <c r="A103" s="116"/>
      <c r="B103"/>
      <c r="C103"/>
      <c r="D103"/>
    </row>
    <row r="106" spans="1:4" s="113" customFormat="1" x14ac:dyDescent="0.25">
      <c r="A106" s="116"/>
      <c r="B106"/>
      <c r="C106"/>
      <c r="D106"/>
    </row>
    <row r="107" spans="1:4" s="113" customFormat="1" x14ac:dyDescent="0.25">
      <c r="A107" s="116"/>
      <c r="B107"/>
      <c r="C107"/>
      <c r="D107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51" priority="1" operator="equal">
      <formula>"Verworfen"</formula>
    </cfRule>
    <cfRule type="cellIs" dxfId="50" priority="2" operator="equal">
      <formula>"Genehmigt durch Kdt"</formula>
    </cfRule>
    <cfRule type="cellIs" dxfId="49" priority="3" operator="equal">
      <formula>"Bereit für Kdt"</formula>
    </cfRule>
    <cfRule type="cellIs" dxfId="48" priority="4" operator="equal">
      <formula>"Entwurf"</formula>
    </cfRule>
  </conditionalFormatting>
  <dataValidations count="8">
    <dataValidation type="list" allowBlank="1" showInputMessage="1" showErrorMessage="1" sqref="D64" xr:uid="{D6818D8D-C650-4CB9-84E0-AE6D294CD82C}">
      <formula1>VerantwortungTgbf</formula1>
    </dataValidation>
    <dataValidation type="list" allowBlank="1" showInputMessage="1" showErrorMessage="1" sqref="D5" xr:uid="{38085462-3D30-4C5D-AC01-E2384FC8E0D7}">
      <formula1>ENTWURF</formula1>
    </dataValidation>
    <dataValidation type="list" allowBlank="1" showInputMessage="1" showErrorMessage="1" sqref="D63" xr:uid="{618F1454-4931-4469-B166-29C854369DC1}">
      <formula1>WerUnterschrift</formula1>
    </dataValidation>
    <dataValidation type="list" allowBlank="1" showInputMessage="1" showErrorMessage="1" sqref="A60 A64" xr:uid="{C573125A-E7E8-4E36-8284-ADFFF6305C54}">
      <formula1>Verteiler</formula1>
    </dataValidation>
    <dataValidation type="list" allowBlank="1" showInputMessage="1" showErrorMessage="1" sqref="A7" xr:uid="{D406CA48-F9EA-463C-9AA0-0C9C8905E4B5}">
      <formula1>Landkarten</formula1>
    </dataValidation>
    <dataValidation type="list" showInputMessage="1" sqref="B41:B42 A39 A43" xr:uid="{824908A5-A95C-4187-AEF1-446B2F3D697D}">
      <formula1>Tätigkeiten</formula1>
    </dataValidation>
    <dataValidation type="list" allowBlank="1" showInputMessage="1" sqref="D50:D51 C53 C56:C57" xr:uid="{25D778F8-12D8-40AB-9D39-C1FC256B2BFE}">
      <formula1>Räumlichkeiten</formula1>
    </dataValidation>
    <dataValidation type="list" showInputMessage="1" sqref="C41:C42 C45:C46 C49" xr:uid="{616EA949-CC1D-4C60-8565-EEA59189A6F7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11" scale="32" orientation="landscape" r:id="rId1"/>
  <headerFooter alignWithMargins="0">
    <oddFooter>&amp;C&amp;P/&amp;N</oddFooter>
  </headerFooter>
  <rowBreaks count="2" manualBreakCount="2">
    <brk id="68" max="3" man="1"/>
    <brk id="70" max="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1156CF9C-D61E-4CD3-A3D9-590109DF68B1}">
          <x14:formula1>
            <xm:f>Einstellungen!$H$71:$H$86</xm:f>
          </x14:formula1>
          <xm:sqref>D14:D49</xm:sqref>
        </x14:dataValidation>
        <x14:dataValidation type="list" showInputMessage="1" xr:uid="{0CB59AD9-A2D7-4B61-A2F7-91132AE7D813}">
          <x14:formula1>
            <xm:f>Einstellungen!$K$71:$K$75</xm:f>
          </x14:formula1>
          <xm:sqref>C13:C40 C43:C44 C47:C48</xm:sqref>
        </x14:dataValidation>
        <x14:dataValidation type="list" showInputMessage="1" xr:uid="{81B1523F-E8DF-4C77-930A-8818C75DFDFF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5917C554-731B-445C-BA8B-C2D40D17A65B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A99F32E5-79F1-4AFE-89C6-7A37C499D7B9}">
          <x14:formula1>
            <xm:f>Einstellungen!$N$71:$N$74</xm:f>
          </x14:formula1>
          <xm:sqref>G1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3C0F-27B3-45AC-A70F-E26966C770D9}">
  <sheetPr>
    <tabColor theme="9" tint="0.59999389629810485"/>
    <pageSetUpPr fitToPage="1"/>
  </sheetPr>
  <dimension ref="A1:N110"/>
  <sheetViews>
    <sheetView showGridLines="0" view="pageBreakPreview" topLeftCell="A10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16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16 für DIENSTAG, 06.10.2026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x14ac:dyDescent="0.25">
      <c r="A47" s="37" t="s">
        <v>433</v>
      </c>
      <c r="B47" s="6" t="s">
        <v>77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267</v>
      </c>
      <c r="B48" s="6" t="s">
        <v>82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Gemeinder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47" priority="1" operator="equal">
      <formula>"Verworfen"</formula>
    </cfRule>
    <cfRule type="cellIs" dxfId="46" priority="2" operator="equal">
      <formula>"Genehmigt durch Kdt"</formula>
    </cfRule>
    <cfRule type="cellIs" dxfId="45" priority="3" operator="equal">
      <formula>"Bereit für Kdt"</formula>
    </cfRule>
    <cfRule type="cellIs" dxfId="44" priority="4" operator="equal">
      <formula>"Entwurf"</formula>
    </cfRule>
  </conditionalFormatting>
  <dataValidations count="8">
    <dataValidation type="list" allowBlank="1" showInputMessage="1" showErrorMessage="1" sqref="D64" xr:uid="{C6769976-0E03-4D12-A9A3-4FAD7C8E0EC3}">
      <formula1>VerantwortungTgbf</formula1>
    </dataValidation>
    <dataValidation type="list" allowBlank="1" showInputMessage="1" showErrorMessage="1" sqref="D5" xr:uid="{F143CEDF-23A8-437F-938B-CCDB8FBC9589}">
      <formula1>ENTWURF</formula1>
    </dataValidation>
    <dataValidation type="list" allowBlank="1" showInputMessage="1" showErrorMessage="1" sqref="D63" xr:uid="{DDE97A25-A479-4A3C-8909-053DEBF00070}">
      <formula1>WerUnterschrift</formula1>
    </dataValidation>
    <dataValidation type="list" allowBlank="1" showInputMessage="1" showErrorMessage="1" sqref="A60 A64" xr:uid="{88830DF9-CEC6-4FC1-856A-06205C6992DE}">
      <formula1>Verteiler</formula1>
    </dataValidation>
    <dataValidation type="list" allowBlank="1" showInputMessage="1" showErrorMessage="1" sqref="A7" xr:uid="{9ECDFE66-5C72-4A29-AF93-DA1ED95ABCDE}">
      <formula1>Landkarten</formula1>
    </dataValidation>
    <dataValidation type="list" showInputMessage="1" sqref="B41:B42 A39 A43" xr:uid="{B13B4622-6687-4354-B168-C5A521F57591}">
      <formula1>Tätigkeiten</formula1>
    </dataValidation>
    <dataValidation type="list" allowBlank="1" showInputMessage="1" sqref="D50:D51 C53 C56:C57" xr:uid="{52387D1A-DFC9-4300-8559-088501EF249A}">
      <formula1>Räumlichkeiten</formula1>
    </dataValidation>
    <dataValidation type="list" showInputMessage="1" sqref="C41:C42 C45:C46 C49" xr:uid="{D5B4B8C9-EBAC-4923-8F3D-BB7C3177CAE9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xr:uid="{55516EA6-3360-45F6-A8F6-5FE2C7415038}">
          <x14:formula1>
            <xm:f>Einstellungen!$K$71:$K$75</xm:f>
          </x14:formula1>
          <xm:sqref>C13:C40 C43:C44 C47:C48</xm:sqref>
        </x14:dataValidation>
        <x14:dataValidation type="list" showInputMessage="1" xr:uid="{744CC88D-0B06-4D9B-BA1E-1C9B26311108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4256745E-53C8-475B-BEA5-9C865E34B77A}">
          <x14:formula1>
            <xm:f>Einstellungen!$N$71:$N$74</xm:f>
          </x14:formula1>
          <xm:sqref>G1</xm:sqref>
        </x14:dataValidation>
        <x14:dataValidation type="list" allowBlank="1" showInputMessage="1" xr:uid="{59CCE391-1474-4B89-905D-893F0951076A}">
          <x14:formula1>
            <xm:f>Einstellungen!$H$71:$H$86</xm:f>
          </x14:formula1>
          <xm:sqref>D14:D49</xm:sqref>
        </x14:dataValidation>
        <x14:dataValidation type="list" allowBlank="1" showInputMessage="1" showErrorMessage="1" xr:uid="{07984A27-DC4B-43E1-B928-254176BBB22F}">
          <x14:formula1>
            <xm:f>Einstellungen!$E$71:$E$74</xm:f>
          </x14:formula1>
          <xm:sqref>B47:B49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82B8-B5C5-4621-BF8A-677AB7C17090}">
  <sheetPr>
    <tabColor theme="9" tint="0.59999389629810485"/>
    <pageSetUpPr fitToPage="1"/>
  </sheetPr>
  <dimension ref="A1:N110"/>
  <sheetViews>
    <sheetView showGridLines="0" view="pageBreakPreview" topLeftCell="A29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17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17 für MITTWOCH, 07.10.2026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Köchli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43" priority="1" operator="equal">
      <formula>"Verworfen"</formula>
    </cfRule>
    <cfRule type="cellIs" dxfId="42" priority="2" operator="equal">
      <formula>"Genehmigt durch Kdt"</formula>
    </cfRule>
    <cfRule type="cellIs" dxfId="41" priority="3" operator="equal">
      <formula>"Bereit für Kdt"</formula>
    </cfRule>
    <cfRule type="cellIs" dxfId="40" priority="4" operator="equal">
      <formula>"Entwurf"</formula>
    </cfRule>
  </conditionalFormatting>
  <dataValidations count="8">
    <dataValidation type="list" allowBlank="1" showInputMessage="1" showErrorMessage="1" sqref="D64" xr:uid="{631A0D2B-8259-459E-83DF-DD0AFF0FBDEC}">
      <formula1>VerantwortungTgbf</formula1>
    </dataValidation>
    <dataValidation type="list" allowBlank="1" showInputMessage="1" showErrorMessage="1" sqref="D5" xr:uid="{2B25C8A6-CEFE-4A63-B2EE-D9D691B4D234}">
      <formula1>ENTWURF</formula1>
    </dataValidation>
    <dataValidation type="list" allowBlank="1" showInputMessage="1" showErrorMessage="1" sqref="D63" xr:uid="{D547184C-CC85-4DE8-AD44-9168080DD4A9}">
      <formula1>WerUnterschrift</formula1>
    </dataValidation>
    <dataValidation type="list" allowBlank="1" showInputMessage="1" showErrorMessage="1" sqref="A60 A64" xr:uid="{2D5F34B7-BBEC-45BD-9676-7E9E5D3F2B50}">
      <formula1>Verteiler</formula1>
    </dataValidation>
    <dataValidation type="list" allowBlank="1" showInputMessage="1" showErrorMessage="1" sqref="A7" xr:uid="{4D7AF0FB-7A20-40D5-8790-96963FFD445A}">
      <formula1>Landkarten</formula1>
    </dataValidation>
    <dataValidation type="list" showInputMessage="1" sqref="B41:B42 A39 A43" xr:uid="{55DB700C-84B5-4431-BE90-55523182B07E}">
      <formula1>Tätigkeiten</formula1>
    </dataValidation>
    <dataValidation type="list" allowBlank="1" showInputMessage="1" sqref="D50:D51 C53 C56:C57" xr:uid="{1803CDC4-1CA9-41AC-B45F-B21B3B463E03}">
      <formula1>Räumlichkeiten</formula1>
    </dataValidation>
    <dataValidation type="list" showInputMessage="1" sqref="C41:C42 C45:C46 C49" xr:uid="{D2D076AB-0E2D-4F59-BA64-E2CF10D20B8E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8438E5CA-FB02-40D5-8178-11BCF1B10CE3}">
          <x14:formula1>
            <xm:f>Einstellungen!$H$71:$H$86</xm:f>
          </x14:formula1>
          <xm:sqref>D14:D49</xm:sqref>
        </x14:dataValidation>
        <x14:dataValidation type="list" showInputMessage="1" xr:uid="{AFF36D2B-7057-4F54-B90F-CF330ED57A3F}">
          <x14:formula1>
            <xm:f>Einstellungen!$K$71:$K$75</xm:f>
          </x14:formula1>
          <xm:sqref>C13:C40 C43:C44 C47:C48</xm:sqref>
        </x14:dataValidation>
        <x14:dataValidation type="list" showInputMessage="1" xr:uid="{A42B33C8-A020-4E1F-A6A5-040C46FD677F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0C42F2AC-3C2D-4AC9-9D0E-6EB622C4F29A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ECF038C0-B330-434B-9C70-28FCB40AF968}">
          <x14:formula1>
            <xm:f>Einstellungen!$N$71:$N$74</xm:f>
          </x14:formula1>
          <xm:sqref>G1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D6BD-0845-4C8A-B2E5-24E15C14861E}">
  <sheetPr>
    <tabColor theme="9" tint="0.59999389629810485"/>
    <pageSetUpPr fitToPage="1"/>
  </sheetPr>
  <dimension ref="A1:N110"/>
  <sheetViews>
    <sheetView showGridLines="0" view="pageBreakPreview" topLeftCell="A27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18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18 für DONNERSTAG, 08.10.2026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Lehner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39" priority="1" operator="equal">
      <formula>"Verworfen"</formula>
    </cfRule>
    <cfRule type="cellIs" dxfId="38" priority="2" operator="equal">
      <formula>"Genehmigt durch Kdt"</formula>
    </cfRule>
    <cfRule type="cellIs" dxfId="37" priority="3" operator="equal">
      <formula>"Bereit für Kdt"</formula>
    </cfRule>
    <cfRule type="cellIs" dxfId="36" priority="4" operator="equal">
      <formula>"Entwurf"</formula>
    </cfRule>
  </conditionalFormatting>
  <dataValidations count="8">
    <dataValidation type="list" allowBlank="1" showInputMessage="1" showErrorMessage="1" sqref="D64" xr:uid="{3B339BF0-CD00-470A-AD5C-86C3D8AE5EA2}">
      <formula1>VerantwortungTgbf</formula1>
    </dataValidation>
    <dataValidation type="list" allowBlank="1" showInputMessage="1" showErrorMessage="1" sqref="D5" xr:uid="{F50424EF-AE06-4E11-87D8-86CBEF1FF2BB}">
      <formula1>ENTWURF</formula1>
    </dataValidation>
    <dataValidation type="list" allowBlank="1" showInputMessage="1" showErrorMessage="1" sqref="D63" xr:uid="{1FD4A048-AC0C-47D3-90BF-9B4D17FECD44}">
      <formula1>WerUnterschrift</formula1>
    </dataValidation>
    <dataValidation type="list" allowBlank="1" showInputMessage="1" showErrorMessage="1" sqref="A60 A64" xr:uid="{586CD48C-1D45-4B3C-900B-B8E826A334A7}">
      <formula1>Verteiler</formula1>
    </dataValidation>
    <dataValidation type="list" allowBlank="1" showInputMessage="1" showErrorMessage="1" sqref="A7" xr:uid="{F4D2880D-BAE3-417F-A0BD-EE458610C706}">
      <formula1>Landkarten</formula1>
    </dataValidation>
    <dataValidation type="list" showInputMessage="1" sqref="B41:B42 A39 A43" xr:uid="{FAA91D13-93EF-44DB-A6A5-13F8B29F48BA}">
      <formula1>Tätigkeiten</formula1>
    </dataValidation>
    <dataValidation type="list" allowBlank="1" showInputMessage="1" sqref="D50:D51 C53 C56:C57" xr:uid="{0040ED78-BE3A-4FF4-8BAC-ACF2F79C5747}">
      <formula1>Räumlichkeiten</formula1>
    </dataValidation>
    <dataValidation type="list" showInputMessage="1" sqref="C41:C42 C45:C46 C49" xr:uid="{2C1E3F4F-BC52-49A3-BFDB-80F63437A7EC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471036BB-26A6-4D42-8579-387189524E31}">
          <x14:formula1>
            <xm:f>Einstellungen!$H$71:$H$86</xm:f>
          </x14:formula1>
          <xm:sqref>D14:D49</xm:sqref>
        </x14:dataValidation>
        <x14:dataValidation type="list" showInputMessage="1" xr:uid="{409149DA-26BB-4954-9CB9-DCB59BF2140E}">
          <x14:formula1>
            <xm:f>Einstellungen!$K$71:$K$75</xm:f>
          </x14:formula1>
          <xm:sqref>C13:C40 C43:C44 C47:C48</xm:sqref>
        </x14:dataValidation>
        <x14:dataValidation type="list" showInputMessage="1" xr:uid="{3CAA34B8-94E1-4093-906E-C61AC79EB20E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9F02238D-259B-460C-8E44-FEBEF5A34EDC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D7199F1C-21D7-4F16-8606-B558E8A418F4}">
          <x14:formula1>
            <xm:f>Einstellungen!$N$71:$N$74</xm:f>
          </x14:formula1>
          <xm:sqref>G1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0CC6-105D-4810-B990-703D99E0FE43}">
  <sheetPr>
    <tabColor theme="9" tint="0.59999389629810485"/>
    <pageSetUpPr fitToPage="1"/>
  </sheetPr>
  <dimension ref="A1:N110"/>
  <sheetViews>
    <sheetView showGridLines="0" view="pageBreakPreview" topLeftCell="A24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19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19 für FREITAG, 09.10.2026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Christophe Lopez-Polo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35" priority="1" operator="equal">
      <formula>"Verworfen"</formula>
    </cfRule>
    <cfRule type="cellIs" dxfId="34" priority="2" operator="equal">
      <formula>"Genehmigt durch Kdt"</formula>
    </cfRule>
    <cfRule type="cellIs" dxfId="33" priority="3" operator="equal">
      <formula>"Bereit für Kdt"</formula>
    </cfRule>
    <cfRule type="cellIs" dxfId="32" priority="4" operator="equal">
      <formula>"Entwurf"</formula>
    </cfRule>
  </conditionalFormatting>
  <dataValidations count="8">
    <dataValidation type="list" allowBlank="1" showInputMessage="1" showErrorMessage="1" sqref="D64" xr:uid="{692DE32D-BB87-4207-A0F5-97A431DF8F94}">
      <formula1>VerantwortungTgbf</formula1>
    </dataValidation>
    <dataValidation type="list" allowBlank="1" showInputMessage="1" showErrorMessage="1" sqref="D5" xr:uid="{3AAE859B-265F-4BF6-8C3B-36F9CC42213F}">
      <formula1>ENTWURF</formula1>
    </dataValidation>
    <dataValidation type="list" allowBlank="1" showInputMessage="1" showErrorMessage="1" sqref="D63" xr:uid="{5D25DE88-3A52-435B-B0B4-14CAC975EFF7}">
      <formula1>WerUnterschrift</formula1>
    </dataValidation>
    <dataValidation type="list" allowBlank="1" showInputMessage="1" showErrorMessage="1" sqref="A60 A64" xr:uid="{DD59E6DA-B6DF-43BB-9F23-A02EF005D43B}">
      <formula1>Verteiler</formula1>
    </dataValidation>
    <dataValidation type="list" allowBlank="1" showInputMessage="1" showErrorMessage="1" sqref="A7" xr:uid="{DD38B8F8-9FC4-4461-8332-DDAEC9388321}">
      <formula1>Landkarten</formula1>
    </dataValidation>
    <dataValidation type="list" showInputMessage="1" sqref="B41:B42 A39 A43" xr:uid="{840970E6-A99C-41A1-BCB9-207B013897A0}">
      <formula1>Tätigkeiten</formula1>
    </dataValidation>
    <dataValidation type="list" allowBlank="1" showInputMessage="1" sqref="D50:D51 C53 C56:C57" xr:uid="{326E5BF6-1687-4541-9E18-24B1724BE645}">
      <formula1>Räumlichkeiten</formula1>
    </dataValidation>
    <dataValidation type="list" showInputMessage="1" sqref="C41:C42 C45:C46 C49" xr:uid="{E6FD95FC-2045-4EB0-80C2-F96C978890CF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DC2122A8-D917-4B3C-A688-7354240A7C2F}">
          <x14:formula1>
            <xm:f>Einstellungen!$H$71:$H$86</xm:f>
          </x14:formula1>
          <xm:sqref>D14:D49</xm:sqref>
        </x14:dataValidation>
        <x14:dataValidation type="list" showInputMessage="1" xr:uid="{713E5C63-750A-4508-8DAA-2FAB531201FA}">
          <x14:formula1>
            <xm:f>Einstellungen!$K$71:$K$75</xm:f>
          </x14:formula1>
          <xm:sqref>C13:C40 C43:C44 C47:C48</xm:sqref>
        </x14:dataValidation>
        <x14:dataValidation type="list" showInputMessage="1" xr:uid="{FB7282E8-EE68-4507-99B2-E5F4DF5C80BB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0ECB1CCC-8629-4C14-8012-DED77B798469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125557CD-2131-490D-AB3E-BD3F619438C2}">
          <x14:formula1>
            <xm:f>Einstellungen!$N$71:$N$74</xm:f>
          </x14:formula1>
          <xm:sqref>G1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4FE1-49FC-48E1-A06C-491C6892031D}">
  <sheetPr>
    <tabColor theme="9" tint="0.59999389629810485"/>
    <pageSetUpPr fitToPage="1"/>
  </sheetPr>
  <dimension ref="A1:N87"/>
  <sheetViews>
    <sheetView showGridLines="0" view="pageBreakPreview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90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/>
      <c r="N2" s="42">
        <v>20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20 für SAMSTAG, 10.10.2026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138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453</v>
      </c>
      <c r="B15" s="7" t="s">
        <v>81</v>
      </c>
      <c r="C15" s="7" t="s">
        <v>424</v>
      </c>
      <c r="D15" s="7" t="s">
        <v>96</v>
      </c>
    </row>
    <row r="16" spans="1:14" s="113" customFormat="1" x14ac:dyDescent="0.25">
      <c r="A16" s="69" t="s">
        <v>454</v>
      </c>
      <c r="B16" s="7" t="s">
        <v>450</v>
      </c>
      <c r="C16" s="7" t="s">
        <v>79</v>
      </c>
      <c r="D16" s="7" t="s">
        <v>96</v>
      </c>
    </row>
    <row r="17" spans="1:6" s="113" customFormat="1" x14ac:dyDescent="0.25">
      <c r="A17" s="69" t="s">
        <v>7</v>
      </c>
      <c r="B17" s="7" t="s">
        <v>455</v>
      </c>
      <c r="C17" s="7" t="s">
        <v>89</v>
      </c>
      <c r="D17" s="7" t="s">
        <v>83</v>
      </c>
    </row>
    <row r="18" spans="1:6" s="113" customFormat="1" x14ac:dyDescent="0.25">
      <c r="A18" s="70" t="s">
        <v>142</v>
      </c>
      <c r="B18" s="7" t="s">
        <v>105</v>
      </c>
      <c r="C18" s="7" t="s">
        <v>89</v>
      </c>
      <c r="D18" s="7" t="s">
        <v>96</v>
      </c>
    </row>
    <row r="19" spans="1:6" s="113" customFormat="1" x14ac:dyDescent="0.25">
      <c r="A19" s="35"/>
      <c r="B19" s="7"/>
      <c r="C19" s="7"/>
      <c r="D19" s="7"/>
    </row>
    <row r="20" spans="1:6" s="113" customFormat="1" x14ac:dyDescent="0.25">
      <c r="A20" s="26" t="s">
        <v>255</v>
      </c>
      <c r="B20" s="9"/>
      <c r="C20" s="9"/>
      <c r="D20" s="9"/>
    </row>
    <row r="21" spans="1:6" s="113" customFormat="1" ht="3.75" customHeight="1" x14ac:dyDescent="0.25">
      <c r="A21" s="37"/>
      <c r="B21" s="6"/>
      <c r="C21" s="6"/>
      <c r="D21" s="6"/>
    </row>
    <row r="22" spans="1:6" s="113" customFormat="1" ht="12.75" customHeight="1" x14ac:dyDescent="0.25">
      <c r="A22" s="7" t="s">
        <v>413</v>
      </c>
      <c r="B22" s="52"/>
      <c r="C22" s="7"/>
      <c r="D22" s="7"/>
      <c r="E22" s="111" t="s">
        <v>316</v>
      </c>
      <c r="F22" s="112"/>
    </row>
    <row r="23" spans="1:6" s="113" customFormat="1" ht="12.75" customHeight="1" x14ac:dyDescent="0.25">
      <c r="A23" s="22"/>
      <c r="B23" s="10"/>
      <c r="C23" s="10"/>
      <c r="D23" s="11"/>
      <c r="E23" s="111"/>
      <c r="F23" s="112"/>
    </row>
    <row r="24" spans="1:6" s="113" customFormat="1" x14ac:dyDescent="0.25">
      <c r="A24" s="26" t="s">
        <v>270</v>
      </c>
      <c r="B24" s="5"/>
      <c r="C24" s="5"/>
      <c r="D24" s="5"/>
      <c r="E24" s="111"/>
      <c r="F24" s="112"/>
    </row>
    <row r="25" spans="1:6" s="113" customFormat="1" ht="3.75" customHeight="1" x14ac:dyDescent="0.25">
      <c r="A25" s="38"/>
      <c r="B25" s="12"/>
      <c r="C25" s="12"/>
      <c r="D25" s="12"/>
    </row>
    <row r="26" spans="1:6" s="113" customFormat="1" ht="12.75" customHeight="1" x14ac:dyDescent="0.25">
      <c r="A26" s="7" t="s">
        <v>413</v>
      </c>
      <c r="B26" s="6"/>
      <c r="C26" s="6"/>
      <c r="D26" s="6"/>
      <c r="E26" s="45" t="s">
        <v>316</v>
      </c>
      <c r="F26" s="114"/>
    </row>
    <row r="27" spans="1:6" s="113" customFormat="1" x14ac:dyDescent="0.25">
      <c r="A27" s="22"/>
      <c r="B27" s="10"/>
      <c r="C27" s="10"/>
      <c r="D27" s="11"/>
    </row>
    <row r="28" spans="1:6" s="113" customFormat="1" x14ac:dyDescent="0.25">
      <c r="A28" s="26" t="s">
        <v>273</v>
      </c>
      <c r="B28" s="5"/>
      <c r="C28" s="5"/>
      <c r="D28" s="5"/>
    </row>
    <row r="29" spans="1:6" s="113" customFormat="1" ht="3.75" customHeight="1" x14ac:dyDescent="0.25">
      <c r="A29" s="37"/>
      <c r="B29" s="12"/>
      <c r="C29" s="12"/>
      <c r="D29" s="12"/>
    </row>
    <row r="30" spans="1:6" s="113" customFormat="1" x14ac:dyDescent="0.25">
      <c r="A30" s="35" t="s">
        <v>274</v>
      </c>
      <c r="B30" s="7" t="s">
        <v>275</v>
      </c>
      <c r="C30" s="17" t="s">
        <v>414</v>
      </c>
    </row>
    <row r="31" spans="1:6" s="113" customFormat="1" x14ac:dyDescent="0.25">
      <c r="A31" s="52" t="s">
        <v>274</v>
      </c>
      <c r="B31" s="35" t="s">
        <v>421</v>
      </c>
      <c r="C31" s="17" t="s">
        <v>422</v>
      </c>
      <c r="D31" s="17"/>
    </row>
    <row r="32" spans="1:6" s="113" customFormat="1" x14ac:dyDescent="0.25">
      <c r="A32" s="40" t="s">
        <v>249</v>
      </c>
      <c r="B32" s="13" t="s">
        <v>451</v>
      </c>
      <c r="C32" s="17" t="str">
        <f>VLOOKUP(Einstellungen!$C$6+$N$2-1,Tagesof[#Data],2)</f>
        <v>Lt Lehner</v>
      </c>
      <c r="D32" s="17"/>
    </row>
    <row r="33" spans="1:4" s="113" customFormat="1" x14ac:dyDescent="0.25">
      <c r="A33" s="40"/>
      <c r="B33" s="13"/>
      <c r="C33" s="17"/>
      <c r="D33" s="17"/>
    </row>
    <row r="34" spans="1:4" s="113" customFormat="1" x14ac:dyDescent="0.25">
      <c r="A34" s="22"/>
      <c r="B34" s="10"/>
      <c r="C34" s="10"/>
      <c r="D34" s="11"/>
    </row>
    <row r="35" spans="1:4" s="113" customFormat="1" x14ac:dyDescent="0.25">
      <c r="A35" s="35"/>
      <c r="B35" s="15"/>
      <c r="C35" s="7"/>
      <c r="D35" s="7"/>
    </row>
    <row r="36" spans="1:4" s="113" customFormat="1" x14ac:dyDescent="0.25">
      <c r="A36" s="28" t="s">
        <v>283</v>
      </c>
      <c r="B36" s="12"/>
      <c r="D36" s="49" t="s">
        <v>3</v>
      </c>
    </row>
    <row r="37" spans="1:4" s="113" customFormat="1" x14ac:dyDescent="0.25">
      <c r="A37" s="29" t="s">
        <v>416</v>
      </c>
      <c r="B37" s="16"/>
      <c r="D37" s="17"/>
    </row>
    <row r="38" spans="1:4" s="113" customFormat="1" x14ac:dyDescent="0.25">
      <c r="A38" s="11" t="s">
        <v>285</v>
      </c>
      <c r="B38" s="16"/>
      <c r="D38" s="14"/>
    </row>
    <row r="39" spans="1:4" s="113" customFormat="1" x14ac:dyDescent="0.25">
      <c r="B39" s="16"/>
      <c r="D39"/>
    </row>
    <row r="40" spans="1:4" s="113" customFormat="1" x14ac:dyDescent="0.25">
      <c r="A40" s="28" t="s">
        <v>286</v>
      </c>
      <c r="B40" s="16"/>
      <c r="D40" s="23" t="s">
        <v>42</v>
      </c>
    </row>
    <row r="41" spans="1:4" s="113" customFormat="1" x14ac:dyDescent="0.25">
      <c r="A41" s="29" t="s">
        <v>287</v>
      </c>
      <c r="B41" s="16"/>
      <c r="D41" s="18" t="s">
        <v>79</v>
      </c>
    </row>
    <row r="42" spans="1:4" s="113" customFormat="1" x14ac:dyDescent="0.25">
      <c r="A42" s="119"/>
      <c r="B42" s="16"/>
      <c r="C42" s="16"/>
      <c r="D42" s="16"/>
    </row>
    <row r="43" spans="1:4" s="113" customFormat="1" x14ac:dyDescent="0.25">
      <c r="A43" s="119"/>
      <c r="B43" s="16"/>
      <c r="C43" s="16"/>
      <c r="D43" s="16"/>
    </row>
    <row r="44" spans="1:4" s="113" customFormat="1" x14ac:dyDescent="0.25">
      <c r="A44" s="119"/>
      <c r="B44" s="16"/>
      <c r="C44" s="19"/>
      <c r="D44" s="16"/>
    </row>
    <row r="45" spans="1:4" s="113" customFormat="1" x14ac:dyDescent="0.25">
      <c r="A45" s="119"/>
      <c r="B45" s="16"/>
      <c r="C45" s="16"/>
      <c r="D45" s="16"/>
    </row>
    <row r="46" spans="1:4" s="113" customFormat="1" x14ac:dyDescent="0.25">
      <c r="A46" s="119"/>
      <c r="B46" s="16"/>
      <c r="C46" s="16"/>
      <c r="D46" s="16"/>
    </row>
    <row r="47" spans="1:4" s="113" customFormat="1" x14ac:dyDescent="0.25">
      <c r="A47" s="42"/>
      <c r="B47" s="17"/>
      <c r="C47" s="17"/>
      <c r="D47" s="17"/>
    </row>
    <row r="48" spans="1:4" s="113" customFormat="1" x14ac:dyDescent="0.25">
      <c r="A48" s="43"/>
      <c r="B48" s="17"/>
      <c r="C48" s="17"/>
      <c r="D48" s="17"/>
    </row>
    <row r="49" spans="1:4" s="113" customFormat="1" x14ac:dyDescent="0.25">
      <c r="A49" s="42"/>
      <c r="B49" s="17"/>
      <c r="C49" s="17"/>
      <c r="D49" s="17"/>
    </row>
    <row r="50" spans="1:4" s="113" customFormat="1" x14ac:dyDescent="0.25">
      <c r="A50" s="42"/>
      <c r="B50" s="17"/>
      <c r="C50" s="17"/>
      <c r="D50" s="17"/>
    </row>
    <row r="51" spans="1:4" s="113" customFormat="1" x14ac:dyDescent="0.25">
      <c r="A51" s="43"/>
      <c r="B51" s="17"/>
      <c r="C51" s="17"/>
      <c r="D51" s="17"/>
    </row>
    <row r="52" spans="1:4" s="113" customFormat="1" x14ac:dyDescent="0.25">
      <c r="A52" s="42"/>
      <c r="B52" s="17"/>
      <c r="C52" s="17"/>
      <c r="D52" s="17"/>
    </row>
    <row r="53" spans="1:4" s="113" customFormat="1" x14ac:dyDescent="0.25">
      <c r="A53" s="116"/>
      <c r="B53"/>
      <c r="C53"/>
      <c r="D53"/>
    </row>
    <row r="54" spans="1:4" s="113" customFormat="1" x14ac:dyDescent="0.25">
      <c r="A54" s="116"/>
      <c r="B54"/>
      <c r="C54"/>
      <c r="D54"/>
    </row>
    <row r="55" spans="1:4" s="113" customFormat="1" x14ac:dyDescent="0.25">
      <c r="A55" s="116"/>
      <c r="B55"/>
      <c r="C55"/>
      <c r="D55"/>
    </row>
    <row r="56" spans="1:4" s="113" customFormat="1" x14ac:dyDescent="0.25">
      <c r="A56" s="116"/>
      <c r="B56"/>
      <c r="C56"/>
      <c r="D56"/>
    </row>
    <row r="57" spans="1:4" s="113" customFormat="1" x14ac:dyDescent="0.25">
      <c r="A57" s="116"/>
      <c r="B57"/>
      <c r="C57"/>
      <c r="D57"/>
    </row>
    <row r="58" spans="1:4" s="113" customFormat="1" x14ac:dyDescent="0.25">
      <c r="A58" s="116"/>
      <c r="B58"/>
      <c r="C58"/>
      <c r="D58"/>
    </row>
    <row r="59" spans="1:4" s="113" customFormat="1" x14ac:dyDescent="0.25">
      <c r="A59" s="116"/>
      <c r="B59"/>
      <c r="C59"/>
      <c r="D59"/>
    </row>
    <row r="60" spans="1:4" s="113" customFormat="1" x14ac:dyDescent="0.25">
      <c r="A60" s="116"/>
      <c r="B60"/>
      <c r="C60"/>
      <c r="D60"/>
    </row>
    <row r="61" spans="1:4" s="113" customFormat="1" x14ac:dyDescent="0.25">
      <c r="A61" s="116"/>
      <c r="B61"/>
      <c r="C61"/>
      <c r="D61"/>
    </row>
    <row r="62" spans="1:4" s="113" customFormat="1" ht="12" customHeight="1" x14ac:dyDescent="0.25">
      <c r="A62" s="116"/>
      <c r="B62"/>
      <c r="C62"/>
      <c r="D62"/>
    </row>
    <row r="63" spans="1:4" s="113" customFormat="1" x14ac:dyDescent="0.25">
      <c r="A63" s="116"/>
      <c r="B63"/>
      <c r="C63"/>
      <c r="D63"/>
    </row>
    <row r="64" spans="1:4" s="113" customFormat="1" x14ac:dyDescent="0.25">
      <c r="A64" s="116"/>
      <c r="B64"/>
      <c r="C64"/>
      <c r="D64"/>
    </row>
    <row r="65" spans="1:4" s="113" customFormat="1" x14ac:dyDescent="0.25">
      <c r="A65" s="116"/>
      <c r="B65"/>
      <c r="C65"/>
      <c r="D65"/>
    </row>
    <row r="66" spans="1:4" s="113" customFormat="1" x14ac:dyDescent="0.25">
      <c r="A66" s="116"/>
      <c r="B66"/>
      <c r="C66"/>
      <c r="D66"/>
    </row>
    <row r="67" spans="1:4" s="113" customFormat="1" x14ac:dyDescent="0.25">
      <c r="A67" s="116"/>
      <c r="B67"/>
      <c r="C67"/>
      <c r="D67"/>
    </row>
    <row r="68" spans="1:4" s="113" customFormat="1" x14ac:dyDescent="0.25">
      <c r="A68" s="116"/>
      <c r="B68"/>
      <c r="C68"/>
      <c r="D68"/>
    </row>
    <row r="69" spans="1:4" ht="7.5" customHeight="1" x14ac:dyDescent="0.25"/>
    <row r="71" spans="1:4" ht="7.5" customHeight="1" x14ac:dyDescent="0.25"/>
    <row r="72" spans="1:4" s="113" customFormat="1" x14ac:dyDescent="0.25">
      <c r="A72" s="116"/>
      <c r="B72"/>
      <c r="C72"/>
      <c r="D72"/>
    </row>
    <row r="73" spans="1:4" s="113" customFormat="1" x14ac:dyDescent="0.25">
      <c r="A73" s="116"/>
      <c r="B73"/>
      <c r="C73"/>
      <c r="D73"/>
    </row>
    <row r="74" spans="1:4" s="113" customFormat="1" ht="11.25" customHeight="1" x14ac:dyDescent="0.25">
      <c r="A74" s="116"/>
      <c r="B74"/>
      <c r="C74"/>
      <c r="D74"/>
    </row>
    <row r="75" spans="1:4" ht="7.5" customHeight="1" x14ac:dyDescent="0.25"/>
    <row r="77" spans="1:4" ht="7.5" customHeight="1" x14ac:dyDescent="0.25"/>
    <row r="78" spans="1:4" ht="7.5" customHeight="1" x14ac:dyDescent="0.25"/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5" customFormat="1" ht="7.5" customHeight="1" x14ac:dyDescent="0.25">
      <c r="A81" s="116"/>
      <c r="B81"/>
      <c r="C81"/>
      <c r="D81"/>
    </row>
    <row r="82" spans="1:4" s="115" customFormat="1" x14ac:dyDescent="0.25">
      <c r="A82" s="116"/>
      <c r="B82"/>
      <c r="C82"/>
      <c r="D82"/>
    </row>
    <row r="83" spans="1:4" s="115" customFormat="1" ht="7.5" customHeight="1" x14ac:dyDescent="0.25">
      <c r="A83" s="116"/>
      <c r="B83"/>
      <c r="C83"/>
      <c r="D83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31" priority="1" operator="equal">
      <formula>"Verworfen"</formula>
    </cfRule>
    <cfRule type="cellIs" dxfId="30" priority="2" operator="equal">
      <formula>"Genehmigt durch Kdt"</formula>
    </cfRule>
    <cfRule type="cellIs" dxfId="29" priority="3" operator="equal">
      <formula>"Bereit für Kdt"</formula>
    </cfRule>
    <cfRule type="cellIs" dxfId="28" priority="4" operator="equal">
      <formula>"Entwurf"</formula>
    </cfRule>
  </conditionalFormatting>
  <dataValidations count="8">
    <dataValidation type="list" allowBlank="1" showInputMessage="1" sqref="D28:D29 C31" xr:uid="{3C76CE4B-8FBC-4237-A1D8-64A2DC6100CE}">
      <formula1>Räumlichkeiten</formula1>
    </dataValidation>
    <dataValidation type="list" allowBlank="1" showInputMessage="1" showErrorMessage="1" sqref="A7" xr:uid="{87EC79EE-B4C5-4939-80FB-C7E6F470F382}">
      <formula1>Landkarten</formula1>
    </dataValidation>
    <dataValidation type="list" allowBlank="1" showInputMessage="1" showErrorMessage="1" sqref="A37 A41" xr:uid="{ADDFEC2A-6AD7-4245-BD8D-34E5E90481E3}">
      <formula1>Verteiler</formula1>
    </dataValidation>
    <dataValidation type="list" allowBlank="1" showInputMessage="1" showErrorMessage="1" sqref="D40" xr:uid="{90588093-D4AC-4234-9F6E-A660F5D83BAE}">
      <formula1>WerUnterschrift</formula1>
    </dataValidation>
    <dataValidation type="list" allowBlank="1" showInputMessage="1" showErrorMessage="1" sqref="D5" xr:uid="{80ED05FC-B748-470F-BAF5-4BEA57CF820E}">
      <formula1>ENTWURF</formula1>
    </dataValidation>
    <dataValidation type="list" allowBlank="1" showInputMessage="1" showErrorMessage="1" sqref="D41" xr:uid="{86857B02-BB5A-41E6-B94C-F904126D8F5D}">
      <formula1>VerantwortungTgbf</formula1>
    </dataValidation>
    <dataValidation type="list" showInputMessage="1" sqref="C34 C20:C27" xr:uid="{CFDEA4F6-4C38-4D7E-87D7-C2B8594F20EE}">
      <formula1>Verantwortung</formula1>
    </dataValidation>
    <dataValidation type="list" showInputMessage="1" sqref="B20:B21 A22 A26" xr:uid="{0BC48C1A-044E-4ABD-90C7-B50E6A4D3709}">
      <formula1>Tätigkeiten</formula1>
    </dataValidation>
  </dataValidations>
  <pageMargins left="0.70866141732283472" right="0.70866141732283472" top="0.74803149606299213" bottom="0.74803149606299213" header="0.31496062992125984" footer="0.31496062992125984"/>
  <pageSetup paperSize="11" scale="58" fitToHeight="0" orientation="portrait" r:id="rId1"/>
  <headerFooter alignWithMargins="0">
    <oddFooter>&amp;C&amp;P/&amp;N</oddFooter>
  </headerFooter>
  <rowBreaks count="3" manualBreakCount="3">
    <brk id="45" max="3" man="1"/>
    <brk id="48" max="3" man="1"/>
    <brk id="50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A0BC5B-EC87-4C19-BB13-44FC03A33353}">
          <x14:formula1>
            <xm:f>Einstellungen!$N$71:$N$74</xm:f>
          </x14:formula1>
          <xm:sqref>G1</xm:sqref>
        </x14:dataValidation>
        <x14:dataValidation type="list" showInputMessage="1" xr:uid="{822A5211-E705-44F5-9446-82E0DDC10B6E}">
          <x14:formula1>
            <xm:f>Einstellungen!$K$71:$K$75</xm:f>
          </x14:formula1>
          <xm:sqref>C13:C19</xm:sqref>
        </x14:dataValidation>
        <x14:dataValidation type="list" allowBlank="1" showInputMessage="1" showErrorMessage="1" xr:uid="{1424BDEE-F8DA-4250-BE8F-EDB4407A70BB}">
          <x14:formula1>
            <xm:f>Einstellungen!$E$71:$E$74</xm:f>
          </x14:formula1>
          <xm:sqref>B34 B26:B27</xm:sqref>
        </x14:dataValidation>
        <x14:dataValidation type="list" showInputMessage="1" xr:uid="{8268A6A2-5B1E-47CC-BDE7-AFA76136090F}">
          <x14:formula1>
            <xm:f>Einstellungen!$B$71:$B$84</xm:f>
          </x14:formula1>
          <xm:sqref>B14:B19</xm:sqref>
        </x14:dataValidation>
        <x14:dataValidation type="list" allowBlank="1" showInputMessage="1" xr:uid="{DE798A73-CBEC-4494-8F80-DA00B0F1CA13}">
          <x14:formula1>
            <xm:f>Einstellungen!$H$71:$H$86</xm:f>
          </x14:formula1>
          <xm:sqref>D34 D14:D27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BB1C-5BD7-4052-8B44-2450A46AA618}">
  <sheetPr>
    <tabColor theme="7" tint="0.59999389629810485"/>
    <pageSetUpPr fitToPage="1"/>
  </sheetPr>
  <dimension ref="A1:N85"/>
  <sheetViews>
    <sheetView showGridLines="0" view="pageBreakPreview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9.10937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90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/>
      <c r="N2" s="42">
        <v>21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>"Tagesbefehl Nr " &amp; $N$2 &amp; " für " &amp; UPPER(CHOOSE(WEEKDAY($N$2+1,2), "Montag", "Dienstag", "Mittwoch", "Donnerstag", "Freitag", "Samstag", "Sonntag")) &amp; ", " &amp; TEXT(Einstellungen!$C$6+$N$2-1,"DD.MM.YYYY")</f>
        <v>Tagesbefehl Nr 21 für SONNTAG, 11.10.2026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456</v>
      </c>
      <c r="B14" s="7" t="s">
        <v>226</v>
      </c>
      <c r="C14" s="7" t="s">
        <v>37</v>
      </c>
      <c r="D14" s="7" t="s">
        <v>83</v>
      </c>
    </row>
    <row r="15" spans="1:14" s="113" customFormat="1" ht="12" customHeight="1" x14ac:dyDescent="0.25">
      <c r="A15" s="69" t="s">
        <v>298</v>
      </c>
      <c r="B15" s="7" t="s">
        <v>457</v>
      </c>
      <c r="C15" s="7" t="s">
        <v>84</v>
      </c>
      <c r="D15" s="7" t="s">
        <v>435</v>
      </c>
    </row>
    <row r="16" spans="1:14" s="113" customFormat="1" ht="12" customHeight="1" x14ac:dyDescent="0.25">
      <c r="A16" s="69">
        <v>1930</v>
      </c>
      <c r="B16" s="7" t="s">
        <v>458</v>
      </c>
      <c r="C16" s="7" t="s">
        <v>79</v>
      </c>
      <c r="D16" s="7" t="s">
        <v>459</v>
      </c>
    </row>
    <row r="17" spans="1:6" s="113" customFormat="1" x14ac:dyDescent="0.25">
      <c r="A17" s="35"/>
      <c r="B17" s="7"/>
      <c r="C17" s="7"/>
      <c r="D17" s="7"/>
    </row>
    <row r="18" spans="1:6" s="113" customFormat="1" x14ac:dyDescent="0.25">
      <c r="A18" s="26" t="s">
        <v>255</v>
      </c>
      <c r="B18" s="9"/>
      <c r="C18" s="9"/>
      <c r="D18" s="9"/>
    </row>
    <row r="19" spans="1:6" s="113" customFormat="1" ht="3.75" customHeight="1" x14ac:dyDescent="0.25">
      <c r="A19" s="37"/>
      <c r="B19" s="6"/>
      <c r="C19" s="6"/>
      <c r="D19" s="6"/>
    </row>
    <row r="20" spans="1:6" s="113" customFormat="1" ht="12.75" customHeight="1" x14ac:dyDescent="0.25">
      <c r="A20" s="7" t="s">
        <v>413</v>
      </c>
      <c r="B20" s="52"/>
      <c r="C20" s="7"/>
      <c r="D20" s="7"/>
      <c r="E20" s="111" t="s">
        <v>316</v>
      </c>
      <c r="F20" s="112"/>
    </row>
    <row r="21" spans="1:6" s="113" customFormat="1" ht="12.75" customHeight="1" x14ac:dyDescent="0.25">
      <c r="A21" s="22"/>
      <c r="B21" s="10"/>
      <c r="C21" s="10"/>
      <c r="D21" s="11"/>
      <c r="E21" s="111"/>
      <c r="F21" s="112"/>
    </row>
    <row r="22" spans="1:6" s="113" customFormat="1" x14ac:dyDescent="0.25">
      <c r="A22" s="26" t="s">
        <v>270</v>
      </c>
      <c r="B22" s="5"/>
      <c r="C22" s="5"/>
      <c r="D22" s="5"/>
      <c r="E22" s="111"/>
      <c r="F22" s="112"/>
    </row>
    <row r="23" spans="1:6" s="113" customFormat="1" ht="3.75" customHeight="1" x14ac:dyDescent="0.25">
      <c r="A23" s="38"/>
      <c r="B23" s="12"/>
      <c r="C23" s="12"/>
      <c r="D23" s="12"/>
    </row>
    <row r="24" spans="1:6" s="113" customFormat="1" ht="12.75" customHeight="1" x14ac:dyDescent="0.25">
      <c r="A24" s="7" t="s">
        <v>159</v>
      </c>
      <c r="B24" s="6" t="s">
        <v>460</v>
      </c>
      <c r="C24" s="7" t="s">
        <v>79</v>
      </c>
      <c r="D24" s="6" t="s">
        <v>96</v>
      </c>
      <c r="E24" s="45" t="s">
        <v>316</v>
      </c>
      <c r="F24" s="114"/>
    </row>
    <row r="25" spans="1:6" s="113" customFormat="1" x14ac:dyDescent="0.25">
      <c r="A25" s="22"/>
      <c r="B25" s="10"/>
      <c r="C25" s="10"/>
      <c r="D25" s="11"/>
    </row>
    <row r="26" spans="1:6" s="113" customFormat="1" x14ac:dyDescent="0.25">
      <c r="A26" s="26" t="s">
        <v>273</v>
      </c>
      <c r="B26" s="5"/>
      <c r="C26" s="5"/>
      <c r="D26" s="5"/>
    </row>
    <row r="27" spans="1:6" s="113" customFormat="1" ht="3.75" customHeight="1" x14ac:dyDescent="0.25">
      <c r="A27" s="37"/>
      <c r="B27" s="12"/>
      <c r="C27" s="12"/>
      <c r="D27" s="12"/>
    </row>
    <row r="28" spans="1:6" s="113" customFormat="1" x14ac:dyDescent="0.25">
      <c r="A28" s="35" t="s">
        <v>274</v>
      </c>
      <c r="B28" s="7" t="s">
        <v>275</v>
      </c>
      <c r="C28" s="17" t="s">
        <v>414</v>
      </c>
    </row>
    <row r="29" spans="1:6" s="113" customFormat="1" x14ac:dyDescent="0.25">
      <c r="A29" s="52" t="s">
        <v>274</v>
      </c>
      <c r="B29" s="35" t="s">
        <v>421</v>
      </c>
      <c r="C29" s="17" t="s">
        <v>422</v>
      </c>
      <c r="D29" s="17"/>
    </row>
    <row r="30" spans="1:6" s="113" customFormat="1" x14ac:dyDescent="0.25">
      <c r="A30" s="40" t="s">
        <v>249</v>
      </c>
      <c r="B30" s="13" t="s">
        <v>451</v>
      </c>
      <c r="C30" s="17" t="str">
        <f>VLOOKUP(Einstellungen!$C$6+$N$2-1,Tagesof[#Data],2)</f>
        <v>Lt Lehner</v>
      </c>
      <c r="D30" s="17"/>
    </row>
    <row r="31" spans="1:6" s="113" customFormat="1" x14ac:dyDescent="0.25">
      <c r="A31" s="52"/>
      <c r="B31" s="35"/>
      <c r="C31" s="17"/>
      <c r="D31" s="17"/>
    </row>
    <row r="32" spans="1:6" s="113" customFormat="1" x14ac:dyDescent="0.25">
      <c r="A32" s="52"/>
      <c r="B32" s="35"/>
      <c r="C32" s="17"/>
      <c r="D32" s="17"/>
    </row>
    <row r="33" spans="1:4" s="113" customFormat="1" x14ac:dyDescent="0.25">
      <c r="A33" s="35"/>
      <c r="B33" s="15"/>
      <c r="C33" s="7"/>
      <c r="D33" s="7"/>
    </row>
    <row r="34" spans="1:4" s="113" customFormat="1" x14ac:dyDescent="0.25">
      <c r="A34" s="28" t="s">
        <v>283</v>
      </c>
      <c r="B34" s="12"/>
      <c r="D34" s="49" t="s">
        <v>3</v>
      </c>
    </row>
    <row r="35" spans="1:4" s="113" customFormat="1" x14ac:dyDescent="0.25">
      <c r="A35" s="29" t="s">
        <v>416</v>
      </c>
      <c r="B35" s="16"/>
      <c r="D35" s="17"/>
    </row>
    <row r="36" spans="1:4" s="113" customFormat="1" x14ac:dyDescent="0.25">
      <c r="A36" s="11" t="s">
        <v>285</v>
      </c>
      <c r="B36" s="16"/>
      <c r="D36" s="14"/>
    </row>
    <row r="37" spans="1:4" s="113" customFormat="1" x14ac:dyDescent="0.25">
      <c r="B37" s="16"/>
      <c r="D37"/>
    </row>
    <row r="38" spans="1:4" s="113" customFormat="1" x14ac:dyDescent="0.25">
      <c r="A38" s="28" t="s">
        <v>286</v>
      </c>
      <c r="B38" s="16"/>
      <c r="D38" s="23" t="s">
        <v>42</v>
      </c>
    </row>
    <row r="39" spans="1:4" s="113" customFormat="1" x14ac:dyDescent="0.25">
      <c r="A39" s="29" t="s">
        <v>287</v>
      </c>
      <c r="B39" s="16"/>
      <c r="D39" s="18" t="s">
        <v>79</v>
      </c>
    </row>
    <row r="40" spans="1:4" s="113" customFormat="1" x14ac:dyDescent="0.25">
      <c r="A40" s="119"/>
      <c r="B40" s="16"/>
      <c r="C40" s="16"/>
      <c r="D40" s="16"/>
    </row>
    <row r="41" spans="1:4" s="113" customFormat="1" x14ac:dyDescent="0.25">
      <c r="A41" s="119"/>
      <c r="B41" s="16"/>
      <c r="C41" s="16"/>
      <c r="D41" s="16"/>
    </row>
    <row r="42" spans="1:4" s="113" customFormat="1" x14ac:dyDescent="0.25">
      <c r="A42" s="119"/>
      <c r="B42" s="16"/>
      <c r="C42" s="19"/>
      <c r="D42" s="16"/>
    </row>
    <row r="43" spans="1:4" s="113" customFormat="1" x14ac:dyDescent="0.25">
      <c r="A43" s="119"/>
      <c r="B43" s="16"/>
      <c r="C43" s="16"/>
      <c r="D43" s="16"/>
    </row>
    <row r="44" spans="1:4" s="113" customFormat="1" x14ac:dyDescent="0.25">
      <c r="A44" s="119"/>
      <c r="B44" s="16"/>
      <c r="C44" s="16"/>
      <c r="D44" s="16"/>
    </row>
    <row r="45" spans="1:4" s="113" customFormat="1" x14ac:dyDescent="0.25">
      <c r="A45" s="42"/>
      <c r="B45" s="17"/>
      <c r="C45" s="17"/>
      <c r="D45" s="17"/>
    </row>
    <row r="46" spans="1:4" s="113" customFormat="1" x14ac:dyDescent="0.25">
      <c r="A46" s="43"/>
      <c r="B46" s="17"/>
      <c r="C46" s="17"/>
      <c r="D46" s="17"/>
    </row>
    <row r="47" spans="1:4" s="113" customFormat="1" x14ac:dyDescent="0.25">
      <c r="A47" s="42"/>
      <c r="B47" s="17"/>
      <c r="C47" s="17"/>
      <c r="D47" s="17"/>
    </row>
    <row r="48" spans="1:4" s="113" customFormat="1" x14ac:dyDescent="0.25">
      <c r="A48" s="42"/>
      <c r="B48" s="17"/>
      <c r="C48" s="17"/>
      <c r="D48" s="17"/>
    </row>
    <row r="49" spans="1:4" s="113" customFormat="1" x14ac:dyDescent="0.25">
      <c r="A49" s="43"/>
      <c r="B49" s="17"/>
      <c r="C49" s="17"/>
      <c r="D49" s="17"/>
    </row>
    <row r="50" spans="1:4" s="113" customFormat="1" x14ac:dyDescent="0.25">
      <c r="A50" s="42"/>
      <c r="B50" s="17"/>
      <c r="C50" s="17"/>
      <c r="D50" s="17"/>
    </row>
    <row r="51" spans="1:4" s="113" customFormat="1" x14ac:dyDescent="0.25">
      <c r="A51" s="116"/>
      <c r="B51"/>
      <c r="C51"/>
      <c r="D51"/>
    </row>
    <row r="52" spans="1:4" s="113" customFormat="1" x14ac:dyDescent="0.25">
      <c r="A52" s="116"/>
      <c r="B52"/>
      <c r="C52"/>
      <c r="D52"/>
    </row>
    <row r="53" spans="1:4" s="113" customFormat="1" x14ac:dyDescent="0.25">
      <c r="A53" s="116"/>
      <c r="B53"/>
      <c r="C53"/>
      <c r="D53"/>
    </row>
    <row r="54" spans="1:4" s="113" customFormat="1" x14ac:dyDescent="0.25">
      <c r="A54" s="116"/>
      <c r="B54"/>
      <c r="C54"/>
      <c r="D54"/>
    </row>
    <row r="55" spans="1:4" s="113" customFormat="1" x14ac:dyDescent="0.25">
      <c r="A55" s="116"/>
      <c r="B55"/>
      <c r="C55"/>
      <c r="D55"/>
    </row>
    <row r="56" spans="1:4" s="113" customFormat="1" x14ac:dyDescent="0.25">
      <c r="A56" s="116"/>
      <c r="B56"/>
      <c r="C56"/>
      <c r="D56"/>
    </row>
    <row r="57" spans="1:4" s="113" customFormat="1" x14ac:dyDescent="0.25">
      <c r="A57" s="116"/>
      <c r="B57"/>
      <c r="C57"/>
      <c r="D57"/>
    </row>
    <row r="58" spans="1:4" s="113" customFormat="1" x14ac:dyDescent="0.25">
      <c r="A58" s="116"/>
      <c r="B58"/>
      <c r="C58"/>
      <c r="D58"/>
    </row>
    <row r="59" spans="1:4" s="113" customFormat="1" x14ac:dyDescent="0.25">
      <c r="A59" s="116"/>
      <c r="B59"/>
      <c r="C59"/>
      <c r="D59"/>
    </row>
    <row r="60" spans="1:4" s="113" customFormat="1" ht="12" customHeight="1" x14ac:dyDescent="0.25">
      <c r="A60" s="116"/>
      <c r="B60"/>
      <c r="C60"/>
      <c r="D60"/>
    </row>
    <row r="61" spans="1:4" s="113" customFormat="1" x14ac:dyDescent="0.25">
      <c r="A61" s="116"/>
      <c r="B61"/>
      <c r="C61"/>
      <c r="D61"/>
    </row>
    <row r="62" spans="1:4" s="113" customFormat="1" x14ac:dyDescent="0.25">
      <c r="A62" s="116"/>
      <c r="B62"/>
      <c r="C62"/>
      <c r="D62"/>
    </row>
    <row r="63" spans="1:4" s="113" customFormat="1" x14ac:dyDescent="0.25">
      <c r="A63" s="116"/>
      <c r="B63"/>
      <c r="C63"/>
      <c r="D63"/>
    </row>
    <row r="64" spans="1:4" s="113" customFormat="1" x14ac:dyDescent="0.25">
      <c r="A64" s="116"/>
      <c r="B64"/>
      <c r="C64"/>
      <c r="D64"/>
    </row>
    <row r="65" spans="1:4" s="113" customFormat="1" x14ac:dyDescent="0.25">
      <c r="A65" s="116"/>
      <c r="B65"/>
      <c r="C65"/>
      <c r="D65"/>
    </row>
    <row r="66" spans="1:4" s="113" customFormat="1" x14ac:dyDescent="0.25">
      <c r="A66" s="116"/>
      <c r="B66"/>
      <c r="C66"/>
      <c r="D66"/>
    </row>
    <row r="67" spans="1:4" ht="7.5" customHeight="1" x14ac:dyDescent="0.25"/>
    <row r="69" spans="1:4" ht="7.5" customHeight="1" x14ac:dyDescent="0.25"/>
    <row r="70" spans="1:4" s="113" customFormat="1" x14ac:dyDescent="0.25">
      <c r="A70" s="116"/>
      <c r="B70"/>
      <c r="C70"/>
      <c r="D70"/>
    </row>
    <row r="71" spans="1:4" s="113" customFormat="1" x14ac:dyDescent="0.25">
      <c r="A71" s="116"/>
      <c r="B71"/>
      <c r="C71"/>
      <c r="D71"/>
    </row>
    <row r="72" spans="1:4" s="113" customFormat="1" ht="11.25" customHeight="1" x14ac:dyDescent="0.25">
      <c r="A72" s="116"/>
      <c r="B72"/>
      <c r="C72"/>
      <c r="D72"/>
    </row>
    <row r="73" spans="1:4" ht="7.5" customHeight="1" x14ac:dyDescent="0.25"/>
    <row r="75" spans="1:4" ht="7.5" customHeight="1" x14ac:dyDescent="0.25"/>
    <row r="76" spans="1:4" ht="7.5" customHeight="1" x14ac:dyDescent="0.25"/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5" customFormat="1" ht="7.5" customHeight="1" x14ac:dyDescent="0.25">
      <c r="A79" s="116"/>
      <c r="B79"/>
      <c r="C79"/>
      <c r="D79"/>
    </row>
    <row r="80" spans="1:4" s="115" customFormat="1" x14ac:dyDescent="0.25">
      <c r="A80" s="116"/>
      <c r="B80"/>
      <c r="C80"/>
      <c r="D80"/>
    </row>
    <row r="81" spans="1:4" s="115" customFormat="1" ht="7.5" customHeight="1" x14ac:dyDescent="0.25">
      <c r="A81" s="116"/>
      <c r="B81"/>
      <c r="C81"/>
      <c r="D81"/>
    </row>
    <row r="84" spans="1:4" s="113" customForma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27" priority="1" operator="equal">
      <formula>"Verworfen"</formula>
    </cfRule>
    <cfRule type="cellIs" dxfId="26" priority="2" operator="equal">
      <formula>"Genehmigt durch Kdt"</formula>
    </cfRule>
    <cfRule type="cellIs" dxfId="25" priority="3" operator="equal">
      <formula>"Bereit für Kdt"</formula>
    </cfRule>
    <cfRule type="cellIs" dxfId="24" priority="4" operator="equal">
      <formula>"Entwurf"</formula>
    </cfRule>
  </conditionalFormatting>
  <dataValidations count="8">
    <dataValidation type="list" allowBlank="1" showInputMessage="1" showErrorMessage="1" sqref="D5" xr:uid="{1DDF1646-C2FD-4DBE-95DF-C2BF1AF0DC5A}">
      <formula1>ENTWURF</formula1>
    </dataValidation>
    <dataValidation type="list" allowBlank="1" showInputMessage="1" showErrorMessage="1" sqref="A7" xr:uid="{736D4DF0-DEC9-4158-8A24-7AC8BB1D011D}">
      <formula1>Landkarten</formula1>
    </dataValidation>
    <dataValidation type="list" showInputMessage="1" sqref="C18:C23 C25" xr:uid="{D7728110-2B81-4ACA-9D5B-A179F3B1C610}">
      <formula1>Verantwortung</formula1>
    </dataValidation>
    <dataValidation type="list" allowBlank="1" showInputMessage="1" sqref="D26:D27 C29 C31:C32" xr:uid="{0F2B63EA-2824-460C-8A09-84AA411059B5}">
      <formula1>Räumlichkeiten</formula1>
    </dataValidation>
    <dataValidation type="list" showInputMessage="1" sqref="B18:B19 A20 A24" xr:uid="{D69D3207-86A6-495F-A24A-8B380CC3C81A}">
      <formula1>Tätigkeiten</formula1>
    </dataValidation>
    <dataValidation type="list" allowBlank="1" showInputMessage="1" showErrorMessage="1" sqref="A35 A39" xr:uid="{432C648F-8D2B-4F50-80D4-A4FDD0073476}">
      <formula1>Verteiler</formula1>
    </dataValidation>
    <dataValidation type="list" allowBlank="1" showInputMessage="1" showErrorMessage="1" sqref="D38" xr:uid="{FED5DD0C-1A7C-402F-AC8D-3A3E1D2CFD4B}">
      <formula1>WerUnterschrift</formula1>
    </dataValidation>
    <dataValidation type="list" allowBlank="1" showInputMessage="1" showErrorMessage="1" sqref="D39" xr:uid="{EC2D22E7-24AF-495D-874E-972465A99062}">
      <formula1>VerantwortungTgbf</formula1>
    </dataValidation>
  </dataValidations>
  <pageMargins left="0.70866141732283472" right="0.70866141732283472" top="0.74803149606299213" bottom="0.74803149606299213" header="0.31496062992125984" footer="0.31496062992125984"/>
  <pageSetup paperSize="11" scale="58" fitToHeight="0" orientation="portrait" r:id="rId1"/>
  <headerFooter alignWithMargins="0">
    <oddFooter>&amp;C&amp;P/&amp;N</oddFooter>
  </headerFooter>
  <rowBreaks count="3" manualBreakCount="3">
    <brk id="43" max="3" man="1"/>
    <brk id="46" max="3" man="1"/>
    <brk id="48" max="3" man="1"/>
  </rowBreaks>
  <colBreaks count="1" manualBreakCount="1">
    <brk id="1" max="36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xr:uid="{078C461A-B5B7-4E53-9036-D1DEB0676E22}">
          <x14:formula1>
            <xm:f>Einstellungen!$K$71:$K$75</xm:f>
          </x14:formula1>
          <xm:sqref>C13:C17 C24</xm:sqref>
        </x14:dataValidation>
        <x14:dataValidation type="list" allowBlank="1" showInputMessage="1" showErrorMessage="1" xr:uid="{9D8A58A4-CAB2-4C1E-9F80-60C2F9BCA21B}">
          <x14:formula1>
            <xm:f>Einstellungen!$N$71:$N$74</xm:f>
          </x14:formula1>
          <xm:sqref>G1</xm:sqref>
        </x14:dataValidation>
        <x14:dataValidation type="list" showInputMessage="1" xr:uid="{6AFF0B2A-2638-4C4A-B0A5-1E859882D30B}">
          <x14:formula1>
            <xm:f>Einstellungen!$B$71:$B$84</xm:f>
          </x14:formula1>
          <xm:sqref>B14:B17</xm:sqref>
        </x14:dataValidation>
        <x14:dataValidation type="list" allowBlank="1" showInputMessage="1" xr:uid="{DE086246-ABA1-4249-98BF-4A7ABA1B2BEA}">
          <x14:formula1>
            <xm:f>Einstellungen!$E$71:$E$74</xm:f>
          </x14:formula1>
          <xm:sqref>B24</xm:sqref>
        </x14:dataValidation>
        <x14:dataValidation type="list" allowBlank="1" showInputMessage="1" showErrorMessage="1" xr:uid="{E8A2F32F-6CD7-4694-A5E4-F32C5E643C39}">
          <x14:formula1>
            <xm:f>Einstellungen!$E$71:$E$74</xm:f>
          </x14:formula1>
          <xm:sqref>B25</xm:sqref>
        </x14:dataValidation>
        <x14:dataValidation type="list" allowBlank="1" showInputMessage="1" xr:uid="{0F554BAE-A058-44E3-845A-3EE0B16E9DAA}">
          <x14:formula1>
            <xm:f>Einstellungen!$H$71:$H$86</xm:f>
          </x14:formula1>
          <xm:sqref>D14:D25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FACF-437E-445B-B283-654D91B902F7}">
  <sheetPr>
    <tabColor theme="7" tint="0.59999389629810485"/>
    <pageSetUpPr fitToPage="1"/>
  </sheetPr>
  <dimension ref="A1:N109"/>
  <sheetViews>
    <sheetView showGridLines="0" view="pageBreakPreview" topLeftCell="A30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22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22 für MONTAG, 12.10.2026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413</v>
      </c>
      <c r="B47" s="6"/>
      <c r="C47" s="7"/>
      <c r="D47" s="6"/>
      <c r="E47" s="45" t="s">
        <v>316</v>
      </c>
      <c r="F47" s="114"/>
    </row>
    <row r="48" spans="1:6" s="113" customFormat="1" x14ac:dyDescent="0.25">
      <c r="A48" s="22"/>
      <c r="B48" s="10"/>
      <c r="C48" s="10"/>
      <c r="D48" s="11"/>
    </row>
    <row r="49" spans="1:4" s="113" customFormat="1" x14ac:dyDescent="0.25">
      <c r="A49" s="26" t="s">
        <v>273</v>
      </c>
      <c r="B49" s="5"/>
      <c r="C49" s="5"/>
      <c r="D49" s="5"/>
    </row>
    <row r="50" spans="1:4" s="113" customFormat="1" ht="3.75" customHeight="1" x14ac:dyDescent="0.25">
      <c r="A50" s="37"/>
      <c r="B50" s="12"/>
      <c r="C50" s="12"/>
      <c r="D50" s="12"/>
    </row>
    <row r="51" spans="1:4" s="113" customFormat="1" x14ac:dyDescent="0.25">
      <c r="A51" s="35" t="s">
        <v>274</v>
      </c>
      <c r="B51" s="7" t="s">
        <v>275</v>
      </c>
      <c r="C51" s="17" t="str">
        <f>Einstellungen!P34</f>
        <v>(noch nicht bekannt)</v>
      </c>
    </row>
    <row r="52" spans="1:4" s="113" customFormat="1" x14ac:dyDescent="0.25">
      <c r="A52" s="52" t="s">
        <v>274</v>
      </c>
      <c r="B52" s="35" t="s">
        <v>421</v>
      </c>
      <c r="C52" s="17" t="str">
        <f>Einstellungen!R34</f>
        <v>(noch nicht bekannt)</v>
      </c>
      <c r="D52" s="17"/>
    </row>
    <row r="53" spans="1:4" s="113" customFormat="1" x14ac:dyDescent="0.25">
      <c r="A53" s="40" t="s">
        <v>277</v>
      </c>
      <c r="B53" s="51" t="s">
        <v>38</v>
      </c>
      <c r="C53" s="17" t="str">
        <f>Einstellungen!$K$35</f>
        <v>Lt Christophe Lopez-Polo</v>
      </c>
      <c r="D53" s="17"/>
    </row>
    <row r="54" spans="1:4" s="113" customFormat="1" x14ac:dyDescent="0.25">
      <c r="A54" s="40" t="s">
        <v>249</v>
      </c>
      <c r="B54" s="13" t="s">
        <v>423</v>
      </c>
      <c r="C54" s="17" t="str">
        <f ca="1">VLOOKUP(Einstellungen!$C$6+$N$2-1,Tagesof[#Data],2)</f>
        <v>Oblt Sieber</v>
      </c>
      <c r="D54" s="17"/>
    </row>
    <row r="55" spans="1:4" s="113" customFormat="1" x14ac:dyDescent="0.25">
      <c r="A55" s="52"/>
      <c r="B55" s="35"/>
      <c r="C55" s="17"/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35"/>
      <c r="B57" s="15"/>
      <c r="C57" s="7"/>
      <c r="D57" s="7"/>
    </row>
    <row r="58" spans="1:4" s="113" customFormat="1" x14ac:dyDescent="0.25">
      <c r="A58" s="28" t="s">
        <v>283</v>
      </c>
      <c r="B58" s="12"/>
      <c r="D58" s="49" t="s">
        <v>3</v>
      </c>
    </row>
    <row r="59" spans="1:4" s="113" customFormat="1" x14ac:dyDescent="0.25">
      <c r="A59" s="29" t="s">
        <v>416</v>
      </c>
      <c r="B59" s="16"/>
      <c r="D59" s="17"/>
    </row>
    <row r="60" spans="1:4" s="113" customFormat="1" x14ac:dyDescent="0.25">
      <c r="A60" s="11" t="s">
        <v>285</v>
      </c>
      <c r="B60" s="16"/>
      <c r="D60" s="14"/>
    </row>
    <row r="61" spans="1:4" s="113" customFormat="1" x14ac:dyDescent="0.25">
      <c r="B61" s="16"/>
      <c r="D61"/>
    </row>
    <row r="62" spans="1:4" s="113" customFormat="1" x14ac:dyDescent="0.25">
      <c r="A62" s="28" t="s">
        <v>286</v>
      </c>
      <c r="B62" s="16"/>
      <c r="D62" s="23" t="s">
        <v>42</v>
      </c>
    </row>
    <row r="63" spans="1:4" s="113" customFormat="1" x14ac:dyDescent="0.25">
      <c r="A63" s="29" t="s">
        <v>287</v>
      </c>
      <c r="B63" s="16"/>
      <c r="D63" s="18" t="s">
        <v>79</v>
      </c>
    </row>
    <row r="64" spans="1:4" s="113" customFormat="1" x14ac:dyDescent="0.25">
      <c r="A64" s="119"/>
      <c r="B64" s="16"/>
      <c r="C64" s="16"/>
      <c r="D64" s="16"/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9"/>
      <c r="D66" s="16"/>
    </row>
    <row r="67" spans="1:4" s="113" customFormat="1" x14ac:dyDescent="0.25">
      <c r="A67" s="119"/>
      <c r="B67" s="16"/>
      <c r="C67" s="16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42"/>
      <c r="B69" s="17"/>
      <c r="C69" s="17"/>
      <c r="D69" s="17"/>
    </row>
    <row r="70" spans="1:4" s="113" customFormat="1" x14ac:dyDescent="0.25">
      <c r="A70" s="43"/>
      <c r="B70" s="17"/>
      <c r="C70" s="17"/>
      <c r="D70" s="17"/>
    </row>
    <row r="71" spans="1:4" s="113" customFormat="1" x14ac:dyDescent="0.25">
      <c r="A71" s="42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3"/>
      <c r="B73" s="17"/>
      <c r="C73" s="17"/>
      <c r="D73" s="17"/>
    </row>
    <row r="74" spans="1:4" s="113" customFormat="1" x14ac:dyDescent="0.25">
      <c r="A74" s="42"/>
      <c r="B74" s="17"/>
      <c r="C74" s="17"/>
      <c r="D74" s="17"/>
    </row>
    <row r="75" spans="1:4" s="113" customFormat="1" x14ac:dyDescent="0.25">
      <c r="A75" s="116"/>
      <c r="B75"/>
      <c r="C75"/>
      <c r="D75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ht="12" customHeigh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ht="7.5" customHeight="1" x14ac:dyDescent="0.25"/>
    <row r="93" spans="1:4" ht="7.5" customHeight="1" x14ac:dyDescent="0.25"/>
    <row r="94" spans="1:4" s="113" customFormat="1" x14ac:dyDescent="0.25">
      <c r="A94" s="116"/>
      <c r="B94"/>
      <c r="C94"/>
      <c r="D94"/>
    </row>
    <row r="95" spans="1:4" s="113" customFormat="1" x14ac:dyDescent="0.25">
      <c r="A95" s="116"/>
      <c r="B95"/>
      <c r="C95"/>
      <c r="D95"/>
    </row>
    <row r="96" spans="1:4" s="113" customFormat="1" ht="11.25" customHeight="1" x14ac:dyDescent="0.25">
      <c r="A96" s="116"/>
      <c r="B96"/>
      <c r="C96"/>
      <c r="D96"/>
    </row>
    <row r="97" spans="1:4" ht="7.5" customHeight="1" x14ac:dyDescent="0.25"/>
    <row r="99" spans="1:4" ht="7.5" customHeight="1" x14ac:dyDescent="0.25"/>
    <row r="100" spans="1:4" ht="7.5" customHeight="1" x14ac:dyDescent="0.25"/>
    <row r="101" spans="1:4" s="113" customFormat="1" x14ac:dyDescent="0.25">
      <c r="A101" s="116"/>
      <c r="B101"/>
      <c r="C101"/>
      <c r="D101"/>
    </row>
    <row r="102" spans="1:4" s="113" customFormat="1" x14ac:dyDescent="0.25">
      <c r="A102" s="116"/>
      <c r="B102"/>
      <c r="C102"/>
      <c r="D102"/>
    </row>
    <row r="103" spans="1:4" s="115" customFormat="1" ht="7.5" customHeight="1" x14ac:dyDescent="0.25">
      <c r="A103" s="116"/>
      <c r="B103"/>
      <c r="C103"/>
      <c r="D103"/>
    </row>
    <row r="104" spans="1:4" s="115" customFormat="1" x14ac:dyDescent="0.25">
      <c r="A104" s="116"/>
      <c r="B104"/>
      <c r="C104"/>
      <c r="D104"/>
    </row>
    <row r="105" spans="1:4" s="115" customFormat="1" ht="7.5" customHeight="1" x14ac:dyDescent="0.25">
      <c r="A105" s="116"/>
      <c r="B105"/>
      <c r="C105"/>
      <c r="D105"/>
    </row>
    <row r="108" spans="1:4" s="113" customFormat="1" x14ac:dyDescent="0.25">
      <c r="A108" s="116"/>
      <c r="B108"/>
      <c r="C108"/>
      <c r="D108"/>
    </row>
    <row r="109" spans="1:4" s="113" customFormat="1" x14ac:dyDescent="0.25">
      <c r="A109" s="116"/>
      <c r="B109"/>
      <c r="C109"/>
      <c r="D109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23" priority="1" operator="equal">
      <formula>"Verworfen"</formula>
    </cfRule>
    <cfRule type="cellIs" dxfId="22" priority="2" operator="equal">
      <formula>"Genehmigt durch Kdt"</formula>
    </cfRule>
    <cfRule type="cellIs" dxfId="21" priority="3" operator="equal">
      <formula>"Bereit für Kdt"</formula>
    </cfRule>
    <cfRule type="cellIs" dxfId="20" priority="4" operator="equal">
      <formula>"Entwurf"</formula>
    </cfRule>
  </conditionalFormatting>
  <dataValidations count="8">
    <dataValidation type="list" allowBlank="1" showInputMessage="1" showErrorMessage="1" sqref="D63" xr:uid="{E55CB468-A392-4583-9F38-52C7D4E3E950}">
      <formula1>VerantwortungTgbf</formula1>
    </dataValidation>
    <dataValidation type="list" allowBlank="1" showInputMessage="1" showErrorMessage="1" sqref="D5" xr:uid="{13B40B09-B0CF-4A42-9814-D27A68F52D24}">
      <formula1>ENTWURF</formula1>
    </dataValidation>
    <dataValidation type="list" allowBlank="1" showInputMessage="1" showErrorMessage="1" sqref="D62" xr:uid="{980900C9-CCFB-4038-B209-93B2C7185AE6}">
      <formula1>WerUnterschrift</formula1>
    </dataValidation>
    <dataValidation type="list" allowBlank="1" showInputMessage="1" showErrorMessage="1" sqref="A59 A63" xr:uid="{07C18EBA-D448-4158-8629-19C8EFF296D9}">
      <formula1>Verteiler</formula1>
    </dataValidation>
    <dataValidation type="list" allowBlank="1" showInputMessage="1" showErrorMessage="1" sqref="A7" xr:uid="{690B839A-9083-43D9-9DC1-A8E9369E42D4}">
      <formula1>Landkarten</formula1>
    </dataValidation>
    <dataValidation type="list" showInputMessage="1" sqref="B41:B42 A39 A43" xr:uid="{4B1FB026-51FB-4B34-ADEC-3385BAE2DC66}">
      <formula1>Tätigkeiten</formula1>
    </dataValidation>
    <dataValidation type="list" allowBlank="1" showInputMessage="1" sqref="D49:D50 C52 C55:C56" xr:uid="{387FF46F-FC47-4249-8D09-6060BEC3A95A}">
      <formula1>Räumlichkeiten</formula1>
    </dataValidation>
    <dataValidation type="list" showInputMessage="1" sqref="C41:C42 C45:C46 C48" xr:uid="{F7F2405A-6F77-4251-8FBB-E1EC92CB5AD2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7" max="3" man="1"/>
    <brk id="70" max="3" man="1"/>
    <brk id="72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xr:uid="{62669685-0A3D-43C5-BE53-D9B2E871EA45}">
          <x14:formula1>
            <xm:f>Einstellungen!$K$71:$K$75</xm:f>
          </x14:formula1>
          <xm:sqref>C13:C40 C43:C44 C47</xm:sqref>
        </x14:dataValidation>
        <x14:dataValidation type="list" showInputMessage="1" xr:uid="{C76D026B-5AA2-4181-9EF8-74CFC7B49914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E9CFBEF9-1268-42BD-8AD1-B13D7CCB0FEA}">
          <x14:formula1>
            <xm:f>Einstellungen!$N$71:$N$74</xm:f>
          </x14:formula1>
          <xm:sqref>G1</xm:sqref>
        </x14:dataValidation>
        <x14:dataValidation type="list" allowBlank="1" showInputMessage="1" xr:uid="{43402277-2281-4B03-B5DB-8785F44C4A23}">
          <x14:formula1>
            <xm:f>Einstellungen!$H$71:$H$86</xm:f>
          </x14:formula1>
          <xm:sqref>D14:D48</xm:sqref>
        </x14:dataValidation>
        <x14:dataValidation type="list" allowBlank="1" showInputMessage="1" showErrorMessage="1" xr:uid="{1C1D8943-4F7D-4F37-9309-6A36BE0F83F4}">
          <x14:formula1>
            <xm:f>Einstellungen!$E$71:$E$74</xm:f>
          </x14:formula1>
          <xm:sqref>B47:B48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6DB6-73E1-479E-93F3-A4AF63AB72C5}">
  <sheetPr>
    <tabColor theme="7" tint="0.59999389629810485"/>
    <pageSetUpPr fitToPage="1"/>
  </sheetPr>
  <dimension ref="A1:N110"/>
  <sheetViews>
    <sheetView showGridLines="0" view="pageBreakPreview" topLeftCell="A26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23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23 für DIENSTAG, 13.10.2026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Gemeinder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19" priority="1" operator="equal">
      <formula>"Verworfen"</formula>
    </cfRule>
    <cfRule type="cellIs" dxfId="18" priority="2" operator="equal">
      <formula>"Genehmigt durch Kdt"</formula>
    </cfRule>
    <cfRule type="cellIs" dxfId="17" priority="3" operator="equal">
      <formula>"Bereit für Kdt"</formula>
    </cfRule>
    <cfRule type="cellIs" dxfId="16" priority="4" operator="equal">
      <formula>"Entwurf"</formula>
    </cfRule>
  </conditionalFormatting>
  <dataValidations count="8">
    <dataValidation type="list" allowBlank="1" showInputMessage="1" showErrorMessage="1" sqref="D64" xr:uid="{29F707C7-0C79-4D2C-8EB6-7C81F406B738}">
      <formula1>VerantwortungTgbf</formula1>
    </dataValidation>
    <dataValidation type="list" allowBlank="1" showInputMessage="1" showErrorMessage="1" sqref="D5" xr:uid="{20CD23D5-60C2-4FC1-9E9B-41B39052144E}">
      <formula1>ENTWURF</formula1>
    </dataValidation>
    <dataValidation type="list" allowBlank="1" showInputMessage="1" showErrorMessage="1" sqref="D63" xr:uid="{254F94DD-14FC-4D36-91D1-9FDEBCD2DE74}">
      <formula1>WerUnterschrift</formula1>
    </dataValidation>
    <dataValidation type="list" allowBlank="1" showInputMessage="1" showErrorMessage="1" sqref="A60 A64" xr:uid="{B5B8852D-6C0A-4613-953F-422C339232A3}">
      <formula1>Verteiler</formula1>
    </dataValidation>
    <dataValidation type="list" allowBlank="1" showInputMessage="1" showErrorMessage="1" sqref="A7" xr:uid="{63204E87-FF16-4F9D-8578-254F4090B952}">
      <formula1>Landkarten</formula1>
    </dataValidation>
    <dataValidation type="list" showInputMessage="1" sqref="B41:B42 A39 A43" xr:uid="{362EABD7-4F69-4B70-ACAE-00173E19F783}">
      <formula1>Tätigkeiten</formula1>
    </dataValidation>
    <dataValidation type="list" allowBlank="1" showInputMessage="1" sqref="D50:D51 C53 C56:C57" xr:uid="{FBB07D85-3832-4923-96B9-3FD937C7C65E}">
      <formula1>Räumlichkeiten</formula1>
    </dataValidation>
    <dataValidation type="list" showInputMessage="1" sqref="C41:C42 C45:C46 C49" xr:uid="{D657E7A6-9A99-4F78-8863-188F6ABC988C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872C2084-F443-469C-93CB-9BD20A92244E}">
          <x14:formula1>
            <xm:f>Einstellungen!$H$71:$H$86</xm:f>
          </x14:formula1>
          <xm:sqref>D14:D49</xm:sqref>
        </x14:dataValidation>
        <x14:dataValidation type="list" showInputMessage="1" xr:uid="{340D2FFE-93A9-4086-9355-72AD8ED5D304}">
          <x14:formula1>
            <xm:f>Einstellungen!$K$71:$K$75</xm:f>
          </x14:formula1>
          <xm:sqref>C13:C40 C43:C44 C47:C48</xm:sqref>
        </x14:dataValidation>
        <x14:dataValidation type="list" showInputMessage="1" xr:uid="{C8CA3FE5-3E1F-4FA3-89B4-7AFBDB91D8C7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A41317A9-87DC-413A-BE27-87935841BBB9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BA7092C3-717C-4E12-A073-F5870867F1C9}">
          <x14:formula1>
            <xm:f>Einstellungen!$N$71:$N$74</xm:f>
          </x14:formula1>
          <xm:sqref>G1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C38E-D183-47D6-AC6B-61B8952FAFF5}">
  <sheetPr>
    <tabColor theme="7" tint="0.59999389629810485"/>
    <pageSetUpPr fitToPage="1"/>
  </sheetPr>
  <dimension ref="A1:N110"/>
  <sheetViews>
    <sheetView showGridLines="0" view="pageBreakPreview" topLeftCell="A25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24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24 für MITTWOCH, 14.10.2026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Köchli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15" priority="1" operator="equal">
      <formula>"Verworfen"</formula>
    </cfRule>
    <cfRule type="cellIs" dxfId="14" priority="2" operator="equal">
      <formula>"Genehmigt durch Kdt"</formula>
    </cfRule>
    <cfRule type="cellIs" dxfId="13" priority="3" operator="equal">
      <formula>"Bereit für Kdt"</formula>
    </cfRule>
    <cfRule type="cellIs" dxfId="12" priority="4" operator="equal">
      <formula>"Entwurf"</formula>
    </cfRule>
  </conditionalFormatting>
  <dataValidations count="8">
    <dataValidation type="list" allowBlank="1" showInputMessage="1" showErrorMessage="1" sqref="D64" xr:uid="{4FB2DE77-01C2-493A-8545-24788CED68D9}">
      <formula1>VerantwortungTgbf</formula1>
    </dataValidation>
    <dataValidation type="list" allowBlank="1" showInputMessage="1" showErrorMessage="1" sqref="D5" xr:uid="{284D8E10-66D7-4F15-A261-75928DCA552C}">
      <formula1>ENTWURF</formula1>
    </dataValidation>
    <dataValidation type="list" allowBlank="1" showInputMessage="1" showErrorMessage="1" sqref="D63" xr:uid="{17D5E76C-F5C8-42F9-B6DF-0D8E8E35B372}">
      <formula1>WerUnterschrift</formula1>
    </dataValidation>
    <dataValidation type="list" allowBlank="1" showInputMessage="1" showErrorMessage="1" sqref="A60 A64" xr:uid="{0E419DF3-5E8A-42F4-84DC-CCB8B04CF6F9}">
      <formula1>Verteiler</formula1>
    </dataValidation>
    <dataValidation type="list" allowBlank="1" showInputMessage="1" showErrorMessage="1" sqref="A7" xr:uid="{E3E19372-6DDE-4633-9E42-3AF0A929C6E3}">
      <formula1>Landkarten</formula1>
    </dataValidation>
    <dataValidation type="list" showInputMessage="1" sqref="B41:B42 A39 A43" xr:uid="{0B29C836-2923-4B7C-9568-DA05F742DD88}">
      <formula1>Tätigkeiten</formula1>
    </dataValidation>
    <dataValidation type="list" allowBlank="1" showInputMessage="1" sqref="D50:D51 C53 C56:C57" xr:uid="{74BEFCA6-3E64-49C9-8B3F-91030BAE4506}">
      <formula1>Räumlichkeiten</formula1>
    </dataValidation>
    <dataValidation type="list" showInputMessage="1" sqref="C41:C42 C45:C46 C49" xr:uid="{44C561EA-2A91-4869-B2EC-180EDAE35FB7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DD627DA1-C0CE-4491-84D2-8233058C9C8A}">
          <x14:formula1>
            <xm:f>Einstellungen!$H$71:$H$86</xm:f>
          </x14:formula1>
          <xm:sqref>D14:D49</xm:sqref>
        </x14:dataValidation>
        <x14:dataValidation type="list" showInputMessage="1" xr:uid="{4E8C7642-DDBA-417C-83BE-40FE2B5484BA}">
          <x14:formula1>
            <xm:f>Einstellungen!$K$71:$K$75</xm:f>
          </x14:formula1>
          <xm:sqref>C13:C40 C43:C44 C47:C48</xm:sqref>
        </x14:dataValidation>
        <x14:dataValidation type="list" showInputMessage="1" xr:uid="{97F35031-7CA6-4E96-9A2A-A8E0C7CFC575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136B2E5E-7046-4F0D-8578-368BC96F476F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1BF2620E-8E7A-46C7-88CE-4DC10C3F4911}">
          <x14:formula1>
            <xm:f>Einstellungen!$N$71:$N$74</xm:f>
          </x14:formula1>
          <xm:sqref>G1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4E2D-7CEF-489F-9A8C-E44793AF689A}">
  <sheetPr>
    <tabColor theme="7" tint="0.59999389629810485"/>
    <pageSetUpPr fitToPage="1"/>
  </sheetPr>
  <dimension ref="A1:N109"/>
  <sheetViews>
    <sheetView showGridLines="0" view="pageBreakPreview" topLeftCell="A13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25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25 für DONNERSTAG, 15.10.2026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13" t="s">
        <v>461</v>
      </c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413</v>
      </c>
      <c r="B47" s="6"/>
      <c r="C47" s="7"/>
      <c r="D47" s="6"/>
      <c r="E47" s="45" t="s">
        <v>316</v>
      </c>
      <c r="F47" s="114"/>
    </row>
    <row r="48" spans="1:6" s="113" customFormat="1" x14ac:dyDescent="0.25">
      <c r="A48" s="22"/>
      <c r="B48" s="10"/>
      <c r="C48" s="10"/>
      <c r="D48" s="11"/>
    </row>
    <row r="49" spans="1:4" s="113" customFormat="1" x14ac:dyDescent="0.25">
      <c r="A49" s="26" t="s">
        <v>273</v>
      </c>
      <c r="B49" s="5"/>
      <c r="C49" s="5"/>
      <c r="D49" s="5"/>
    </row>
    <row r="50" spans="1:4" s="113" customFormat="1" ht="3.75" customHeight="1" x14ac:dyDescent="0.25">
      <c r="A50" s="37"/>
      <c r="B50" s="12"/>
      <c r="C50" s="12"/>
      <c r="D50" s="12"/>
    </row>
    <row r="51" spans="1:4" s="113" customFormat="1" x14ac:dyDescent="0.25">
      <c r="A51" s="35" t="s">
        <v>274</v>
      </c>
      <c r="B51" s="7" t="s">
        <v>275</v>
      </c>
      <c r="C51" s="17" t="str">
        <f>Einstellungen!P34</f>
        <v>(noch nicht bekannt)</v>
      </c>
    </row>
    <row r="52" spans="1:4" s="113" customFormat="1" x14ac:dyDescent="0.25">
      <c r="A52" s="52" t="s">
        <v>274</v>
      </c>
      <c r="B52" s="35" t="s">
        <v>421</v>
      </c>
      <c r="C52" s="17" t="str">
        <f>Einstellungen!R34</f>
        <v>(noch nicht bekannt)</v>
      </c>
      <c r="D52" s="17"/>
    </row>
    <row r="53" spans="1:4" s="113" customFormat="1" x14ac:dyDescent="0.25">
      <c r="A53" s="40" t="s">
        <v>277</v>
      </c>
      <c r="B53" s="51" t="s">
        <v>38</v>
      </c>
      <c r="C53" s="17" t="str">
        <f>Einstellungen!$K$35</f>
        <v>Lt Christophe Lopez-Polo</v>
      </c>
      <c r="D53" s="17"/>
    </row>
    <row r="54" spans="1:4" s="113" customFormat="1" x14ac:dyDescent="0.25">
      <c r="A54" s="40" t="s">
        <v>249</v>
      </c>
      <c r="B54" s="13" t="s">
        <v>423</v>
      </c>
      <c r="C54" s="17" t="str">
        <f ca="1">VLOOKUP(Einstellungen!$C$6+$N$2-1,Tagesof[#Data],2)</f>
        <v>Lt Lehner</v>
      </c>
      <c r="D54" s="17"/>
    </row>
    <row r="55" spans="1:4" s="113" customFormat="1" x14ac:dyDescent="0.25">
      <c r="A55" s="52"/>
      <c r="B55" s="35"/>
      <c r="C55" s="17"/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35"/>
      <c r="B57" s="15"/>
      <c r="C57" s="7"/>
      <c r="D57" s="7"/>
    </row>
    <row r="58" spans="1:4" s="113" customFormat="1" x14ac:dyDescent="0.25">
      <c r="A58" s="28" t="s">
        <v>283</v>
      </c>
      <c r="B58" s="12"/>
      <c r="D58" s="49" t="s">
        <v>3</v>
      </c>
    </row>
    <row r="59" spans="1:4" s="113" customFormat="1" x14ac:dyDescent="0.25">
      <c r="A59" s="29" t="s">
        <v>416</v>
      </c>
      <c r="B59" s="16"/>
      <c r="D59" s="17"/>
    </row>
    <row r="60" spans="1:4" s="113" customFormat="1" x14ac:dyDescent="0.25">
      <c r="A60" s="11" t="s">
        <v>285</v>
      </c>
      <c r="B60" s="16"/>
      <c r="D60" s="14"/>
    </row>
    <row r="61" spans="1:4" s="113" customFormat="1" x14ac:dyDescent="0.25">
      <c r="B61" s="16"/>
      <c r="D61"/>
    </row>
    <row r="62" spans="1:4" s="113" customFormat="1" x14ac:dyDescent="0.25">
      <c r="A62" s="28" t="s">
        <v>286</v>
      </c>
      <c r="B62" s="16"/>
      <c r="D62" s="23" t="s">
        <v>42</v>
      </c>
    </row>
    <row r="63" spans="1:4" s="113" customFormat="1" x14ac:dyDescent="0.25">
      <c r="A63" s="29" t="s">
        <v>287</v>
      </c>
      <c r="B63" s="16"/>
      <c r="D63" s="18" t="s">
        <v>79</v>
      </c>
    </row>
    <row r="64" spans="1:4" s="113" customFormat="1" x14ac:dyDescent="0.25">
      <c r="A64" s="119"/>
      <c r="B64" s="16"/>
      <c r="C64" s="16"/>
      <c r="D64" s="16"/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9"/>
      <c r="D66" s="16"/>
    </row>
    <row r="67" spans="1:4" s="113" customFormat="1" x14ac:dyDescent="0.25">
      <c r="A67" s="119"/>
      <c r="B67" s="16"/>
      <c r="C67" s="16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42"/>
      <c r="B69" s="17"/>
      <c r="C69" s="17"/>
      <c r="D69" s="17"/>
    </row>
    <row r="70" spans="1:4" s="113" customFormat="1" x14ac:dyDescent="0.25">
      <c r="A70" s="43"/>
      <c r="B70" s="17"/>
      <c r="C70" s="17"/>
      <c r="D70" s="17"/>
    </row>
    <row r="71" spans="1:4" s="113" customFormat="1" x14ac:dyDescent="0.25">
      <c r="A71" s="42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3"/>
      <c r="B73" s="17"/>
      <c r="C73" s="17"/>
      <c r="D73" s="17"/>
    </row>
    <row r="74" spans="1:4" s="113" customFormat="1" x14ac:dyDescent="0.25">
      <c r="A74" s="42"/>
      <c r="B74" s="17"/>
      <c r="C74" s="17"/>
      <c r="D74" s="17"/>
    </row>
    <row r="75" spans="1:4" s="113" customFormat="1" x14ac:dyDescent="0.25">
      <c r="A75" s="116"/>
      <c r="B75"/>
      <c r="C75"/>
      <c r="D75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ht="12" customHeight="1" x14ac:dyDescent="0.25">
      <c r="A84" s="116"/>
      <c r="B84"/>
      <c r="C84"/>
      <c r="D84"/>
    </row>
    <row r="85" spans="1:4" s="113" customForma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ht="7.5" customHeight="1" x14ac:dyDescent="0.25"/>
    <row r="93" spans="1:4" ht="7.5" customHeight="1" x14ac:dyDescent="0.25"/>
    <row r="94" spans="1:4" s="113" customFormat="1" x14ac:dyDescent="0.25">
      <c r="A94" s="116"/>
      <c r="B94"/>
      <c r="C94"/>
      <c r="D94"/>
    </row>
    <row r="95" spans="1:4" s="113" customFormat="1" x14ac:dyDescent="0.25">
      <c r="A95" s="116"/>
      <c r="B95"/>
      <c r="C95"/>
      <c r="D95"/>
    </row>
    <row r="96" spans="1:4" s="113" customFormat="1" ht="11.25" customHeight="1" x14ac:dyDescent="0.25">
      <c r="A96" s="116"/>
      <c r="B96"/>
      <c r="C96"/>
      <c r="D96"/>
    </row>
    <row r="97" spans="1:4" ht="7.5" customHeight="1" x14ac:dyDescent="0.25"/>
    <row r="99" spans="1:4" ht="7.5" customHeight="1" x14ac:dyDescent="0.25"/>
    <row r="100" spans="1:4" ht="7.5" customHeight="1" x14ac:dyDescent="0.25"/>
    <row r="101" spans="1:4" s="113" customFormat="1" x14ac:dyDescent="0.25">
      <c r="A101" s="116"/>
      <c r="B101"/>
      <c r="C101"/>
      <c r="D101"/>
    </row>
    <row r="102" spans="1:4" s="113" customFormat="1" x14ac:dyDescent="0.25">
      <c r="A102" s="116"/>
      <c r="B102"/>
      <c r="C102"/>
      <c r="D102"/>
    </row>
    <row r="103" spans="1:4" s="115" customFormat="1" ht="7.5" customHeight="1" x14ac:dyDescent="0.25">
      <c r="A103" s="116"/>
      <c r="B103"/>
      <c r="C103"/>
      <c r="D103"/>
    </row>
    <row r="104" spans="1:4" s="115" customFormat="1" x14ac:dyDescent="0.25">
      <c r="A104" s="116"/>
      <c r="B104"/>
      <c r="C104"/>
      <c r="D104"/>
    </row>
    <row r="105" spans="1:4" s="115" customFormat="1" ht="7.5" customHeight="1" x14ac:dyDescent="0.25">
      <c r="A105" s="116"/>
      <c r="B105"/>
      <c r="C105"/>
      <c r="D105"/>
    </row>
    <row r="108" spans="1:4" s="113" customFormat="1" x14ac:dyDescent="0.25">
      <c r="A108" s="116"/>
      <c r="B108"/>
      <c r="C108"/>
      <c r="D108"/>
    </row>
    <row r="109" spans="1:4" s="113" customFormat="1" x14ac:dyDescent="0.25">
      <c r="A109" s="116"/>
      <c r="B109"/>
      <c r="C109"/>
      <c r="D109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11" priority="1" operator="equal">
      <formula>"Verworfen"</formula>
    </cfRule>
    <cfRule type="cellIs" dxfId="10" priority="2" operator="equal">
      <formula>"Genehmigt durch Kdt"</formula>
    </cfRule>
    <cfRule type="cellIs" dxfId="9" priority="3" operator="equal">
      <formula>"Bereit für Kdt"</formula>
    </cfRule>
    <cfRule type="cellIs" dxfId="8" priority="4" operator="equal">
      <formula>"Entwurf"</formula>
    </cfRule>
  </conditionalFormatting>
  <dataValidations count="8">
    <dataValidation type="list" allowBlank="1" showInputMessage="1" showErrorMessage="1" sqref="D63" xr:uid="{3601910B-C9FF-48CC-A0A0-7504B542C840}">
      <formula1>VerantwortungTgbf</formula1>
    </dataValidation>
    <dataValidation type="list" allowBlank="1" showInputMessage="1" showErrorMessage="1" sqref="D5" xr:uid="{E2A0F72B-AB18-4412-B90E-48B4021B4145}">
      <formula1>ENTWURF</formula1>
    </dataValidation>
    <dataValidation type="list" allowBlank="1" showInputMessage="1" showErrorMessage="1" sqref="D62" xr:uid="{DE5F9205-39E9-48B3-A345-66BC5CC264DC}">
      <formula1>WerUnterschrift</formula1>
    </dataValidation>
    <dataValidation type="list" allowBlank="1" showInputMessage="1" showErrorMessage="1" sqref="A59 A63" xr:uid="{222B3248-55F9-4861-B402-9563C62939D9}">
      <formula1>Verteiler</formula1>
    </dataValidation>
    <dataValidation type="list" allowBlank="1" showInputMessage="1" showErrorMessage="1" sqref="A7" xr:uid="{0BAFB45A-4C7B-4850-9602-32A9CF0BC922}">
      <formula1>Landkarten</formula1>
    </dataValidation>
    <dataValidation type="list" showInputMessage="1" sqref="B41:B42 A39 A43" xr:uid="{0D481A7E-D963-4CC9-B558-4959152BF5F1}">
      <formula1>Tätigkeiten</formula1>
    </dataValidation>
    <dataValidation type="list" allowBlank="1" showInputMessage="1" sqref="D49:D50 C52 C55:C56" xr:uid="{51755D43-7700-44C5-87FE-20579D19F8C9}">
      <formula1>Räumlichkeiten</formula1>
    </dataValidation>
    <dataValidation type="list" showInputMessage="1" sqref="C41:C42 C45:C46 C48" xr:uid="{78AF4A12-6BE0-45EB-AD86-3009A01DD8FB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7" max="3" man="1"/>
    <brk id="70" max="3" man="1"/>
    <brk id="72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xr:uid="{4B44BE5D-93FF-4F23-8D4F-237CF8168EC4}">
          <x14:formula1>
            <xm:f>Einstellungen!$K$71:$K$75</xm:f>
          </x14:formula1>
          <xm:sqref>C13:C40 C43:C44 C47</xm:sqref>
        </x14:dataValidation>
        <x14:dataValidation type="list" showInputMessage="1" xr:uid="{DA32CFCF-AAAE-457B-A9E2-56B2570CDB70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39FA634F-8504-4D22-A5CA-C3AF59E90B20}">
          <x14:formula1>
            <xm:f>Einstellungen!$N$71:$N$74</xm:f>
          </x14:formula1>
          <xm:sqref>G1</xm:sqref>
        </x14:dataValidation>
        <x14:dataValidation type="list" allowBlank="1" showInputMessage="1" xr:uid="{D747031E-CB4D-4100-854B-418EFD57C8BE}">
          <x14:formula1>
            <xm:f>Einstellungen!$H$71:$H$86</xm:f>
          </x14:formula1>
          <xm:sqref>D14:D48</xm:sqref>
        </x14:dataValidation>
        <x14:dataValidation type="list" allowBlank="1" showInputMessage="1" showErrorMessage="1" xr:uid="{024B64DF-27D3-4BF4-86FE-14E373C50634}">
          <x14:formula1>
            <xm:f>Einstellungen!$E$71:$E$74</xm:f>
          </x14:formula1>
          <xm:sqref>B47:B48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4225-092A-4EE4-89A6-D28441DFC9F0}">
  <sheetPr>
    <tabColor theme="7" tint="0.59999389629810485"/>
    <pageSetUpPr fitToPage="1"/>
  </sheetPr>
  <dimension ref="A1:N110"/>
  <sheetViews>
    <sheetView showGridLines="0" view="pageBreakPreview" topLeftCell="A31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116" customWidth="1"/>
    <col min="2" max="2" width="40.109375" customWidth="1"/>
    <col min="3" max="3" width="22" customWidth="1"/>
    <col min="4" max="4" width="23.88671875" customWidth="1"/>
    <col min="5" max="5" width="11.44140625" bestFit="1" customWidth="1"/>
    <col min="6" max="6" width="20.5546875" customWidth="1"/>
    <col min="7" max="7" width="65.6640625" customWidth="1"/>
  </cols>
  <sheetData>
    <row r="1" spans="1:14" ht="67.5" customHeight="1" x14ac:dyDescent="0.65">
      <c r="A1" s="117"/>
      <c r="B1" s="115"/>
      <c r="C1" s="115"/>
      <c r="D1" s="118"/>
      <c r="F1" s="24" t="s">
        <v>205</v>
      </c>
      <c r="G1" s="25" t="s">
        <v>80</v>
      </c>
      <c r="N1" s="119" t="s">
        <v>206</v>
      </c>
    </row>
    <row r="2" spans="1:14" ht="18" customHeight="1" x14ac:dyDescent="0.3">
      <c r="A2" s="57" t="s">
        <v>3</v>
      </c>
      <c r="B2" s="115"/>
      <c r="C2" s="115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26</v>
      </c>
    </row>
    <row r="3" spans="1:14" ht="13.8" x14ac:dyDescent="0.25">
      <c r="A3" s="274" t="s">
        <v>208</v>
      </c>
      <c r="B3" s="275"/>
      <c r="C3" s="275"/>
      <c r="D3" s="275"/>
    </row>
    <row r="4" spans="1:14" ht="4.5" customHeight="1" x14ac:dyDescent="0.25">
      <c r="A4" s="117"/>
      <c r="B4" s="115"/>
      <c r="C4" s="115"/>
      <c r="D4" s="115"/>
    </row>
    <row r="5" spans="1:14" x14ac:dyDescent="0.25">
      <c r="A5" s="117"/>
      <c r="B5" s="115"/>
      <c r="C5" s="115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26 für FREITAG, 16.10.2026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15"/>
      <c r="C7" s="20" t="s">
        <v>209</v>
      </c>
      <c r="D7" s="21" t="s">
        <v>58</v>
      </c>
    </row>
    <row r="8" spans="1:14" x14ac:dyDescent="0.25">
      <c r="A8" s="117"/>
      <c r="B8" s="115"/>
      <c r="C8" s="20" t="s">
        <v>210</v>
      </c>
      <c r="D8" s="21" t="s">
        <v>58</v>
      </c>
    </row>
    <row r="9" spans="1:14" x14ac:dyDescent="0.25">
      <c r="A9" s="117"/>
      <c r="B9" s="115"/>
      <c r="C9" s="20"/>
      <c r="D9" s="4"/>
    </row>
    <row r="10" spans="1:14" x14ac:dyDescent="0.25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113" customFormat="1" ht="3.75" customHeight="1" x14ac:dyDescent="0.25">
      <c r="A12" s="35"/>
      <c r="B12" s="7"/>
      <c r="C12" s="7"/>
      <c r="D12" s="7"/>
    </row>
    <row r="13" spans="1:14" s="113" customFormat="1" x14ac:dyDescent="0.25">
      <c r="A13" s="36" t="s">
        <v>214</v>
      </c>
      <c r="B13" s="7"/>
      <c r="C13" s="7"/>
      <c r="D13" s="7"/>
    </row>
    <row r="14" spans="1:14" s="113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113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113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113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113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113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113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113" customFormat="1" x14ac:dyDescent="0.25">
      <c r="A21" s="35"/>
      <c r="B21" s="7"/>
      <c r="C21" s="7"/>
      <c r="D21" s="7"/>
    </row>
    <row r="22" spans="1:4" s="113" customFormat="1" x14ac:dyDescent="0.25">
      <c r="A22" s="27" t="s">
        <v>191</v>
      </c>
      <c r="B22" s="7"/>
      <c r="C22" s="7"/>
      <c r="D22" s="7"/>
    </row>
    <row r="23" spans="1:4" s="113" customFormat="1" x14ac:dyDescent="0.25">
      <c r="A23" s="27"/>
      <c r="B23" s="7"/>
      <c r="C23" s="7"/>
      <c r="D23" s="7"/>
    </row>
    <row r="24" spans="1:4" s="113" customFormat="1" x14ac:dyDescent="0.25">
      <c r="A24" s="13"/>
      <c r="B24" s="7"/>
      <c r="C24" s="7"/>
      <c r="D24" s="7"/>
    </row>
    <row r="25" spans="1:4" s="113" customFormat="1" x14ac:dyDescent="0.25">
      <c r="A25" s="30" t="s">
        <v>430</v>
      </c>
      <c r="B25" s="7"/>
      <c r="C25" s="7"/>
      <c r="D25" s="7"/>
    </row>
    <row r="26" spans="1:4" s="113" customFormat="1" x14ac:dyDescent="0.25">
      <c r="A26" s="30"/>
      <c r="B26" s="7"/>
      <c r="C26" s="7"/>
      <c r="D26" s="7"/>
    </row>
    <row r="27" spans="1:4" s="113" customFormat="1" x14ac:dyDescent="0.25">
      <c r="A27" s="13"/>
      <c r="B27" s="7"/>
      <c r="C27" s="7"/>
      <c r="D27" s="7"/>
    </row>
    <row r="28" spans="1:4" s="113" customFormat="1" x14ac:dyDescent="0.25">
      <c r="A28" s="27" t="s">
        <v>431</v>
      </c>
      <c r="B28" s="7"/>
      <c r="C28" s="7"/>
      <c r="D28" s="7"/>
    </row>
    <row r="29" spans="1:4" s="113" customFormat="1" x14ac:dyDescent="0.25">
      <c r="A29" s="27"/>
      <c r="B29" s="7"/>
      <c r="C29" s="7"/>
      <c r="D29" s="7"/>
    </row>
    <row r="30" spans="1:4" s="113" customFormat="1" x14ac:dyDescent="0.25">
      <c r="A30" s="13"/>
      <c r="B30" s="7"/>
      <c r="C30" s="7"/>
      <c r="D30" s="7"/>
    </row>
    <row r="31" spans="1:4" s="113" customFormat="1" x14ac:dyDescent="0.25">
      <c r="A31" s="27" t="s">
        <v>63</v>
      </c>
      <c r="B31" s="7"/>
      <c r="C31" s="7"/>
      <c r="D31" s="7"/>
    </row>
    <row r="32" spans="1:4" s="113" customFormat="1" x14ac:dyDescent="0.25">
      <c r="A32" s="27"/>
      <c r="B32" s="7"/>
      <c r="C32" s="7"/>
      <c r="D32" s="7"/>
    </row>
    <row r="33" spans="1:6" s="113" customFormat="1" x14ac:dyDescent="0.25">
      <c r="A33" s="13"/>
      <c r="B33" s="7"/>
      <c r="C33" s="7"/>
      <c r="D33" s="7"/>
    </row>
    <row r="34" spans="1:6" s="113" customFormat="1" x14ac:dyDescent="0.25">
      <c r="A34" s="27" t="s">
        <v>64</v>
      </c>
      <c r="B34" s="7"/>
      <c r="C34" s="7"/>
      <c r="D34" s="7"/>
    </row>
    <row r="35" spans="1:6" s="113" customFormat="1" x14ac:dyDescent="0.25">
      <c r="A35" s="27"/>
      <c r="B35" s="7"/>
      <c r="C35" s="7"/>
      <c r="D35" s="7"/>
    </row>
    <row r="36" spans="1:6" s="113" customFormat="1" x14ac:dyDescent="0.25">
      <c r="A36" s="27"/>
      <c r="B36" s="7"/>
      <c r="C36" s="7"/>
      <c r="D36" s="7"/>
    </row>
    <row r="37" spans="1:6" s="113" customFormat="1" x14ac:dyDescent="0.25">
      <c r="A37" s="27" t="s">
        <v>66</v>
      </c>
      <c r="B37" s="7"/>
      <c r="C37" s="7"/>
      <c r="D37" s="7"/>
    </row>
    <row r="38" spans="1:6" s="113" customFormat="1" x14ac:dyDescent="0.25">
      <c r="A38" s="27"/>
      <c r="B38" s="7"/>
      <c r="C38" s="7"/>
      <c r="D38" s="7"/>
    </row>
    <row r="39" spans="1:6" s="113" customFormat="1" ht="12.75" customHeight="1" x14ac:dyDescent="0.25">
      <c r="A39" s="7"/>
      <c r="B39" s="7"/>
      <c r="C39" s="7"/>
      <c r="D39" s="7"/>
    </row>
    <row r="40" spans="1:6" s="113" customFormat="1" x14ac:dyDescent="0.25">
      <c r="A40" s="35"/>
      <c r="B40" s="7"/>
      <c r="C40" s="7"/>
      <c r="D40" s="7"/>
    </row>
    <row r="41" spans="1:6" s="113" customFormat="1" x14ac:dyDescent="0.25">
      <c r="A41" s="26" t="s">
        <v>255</v>
      </c>
      <c r="B41" s="9"/>
      <c r="C41" s="9"/>
      <c r="D41" s="9"/>
    </row>
    <row r="42" spans="1:6" s="113" customFormat="1" ht="3.75" customHeight="1" x14ac:dyDescent="0.25">
      <c r="A42" s="37"/>
      <c r="B42" s="6"/>
      <c r="C42" s="6"/>
      <c r="D42" s="6"/>
    </row>
    <row r="43" spans="1:6" s="113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113" customFormat="1" ht="12.75" customHeight="1" x14ac:dyDescent="0.25">
      <c r="A44" s="22"/>
      <c r="B44" s="10"/>
      <c r="C44" s="7"/>
      <c r="D44" s="11"/>
      <c r="E44" s="111"/>
      <c r="F44" s="112"/>
    </row>
    <row r="45" spans="1:6" s="113" customFormat="1" x14ac:dyDescent="0.25">
      <c r="A45" s="26" t="s">
        <v>270</v>
      </c>
      <c r="B45" s="5"/>
      <c r="C45" s="5"/>
      <c r="D45" s="5"/>
      <c r="E45" s="111"/>
      <c r="F45" s="112"/>
    </row>
    <row r="46" spans="1:6" s="113" customFormat="1" ht="3.75" customHeight="1" x14ac:dyDescent="0.25">
      <c r="A46" s="38"/>
      <c r="B46" s="12"/>
      <c r="C46" s="12"/>
      <c r="D46" s="12"/>
    </row>
    <row r="47" spans="1:6" s="113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113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4" s="113" customFormat="1" x14ac:dyDescent="0.25">
      <c r="A49" s="22"/>
      <c r="B49" s="10"/>
      <c r="C49" s="10"/>
      <c r="D49" s="11"/>
    </row>
    <row r="50" spans="1:4" s="113" customFormat="1" x14ac:dyDescent="0.25">
      <c r="A50" s="26" t="s">
        <v>273</v>
      </c>
      <c r="B50" s="5"/>
      <c r="C50" s="5"/>
      <c r="D50" s="5"/>
    </row>
    <row r="51" spans="1:4" s="113" customFormat="1" ht="3.75" customHeight="1" x14ac:dyDescent="0.25">
      <c r="A51" s="37"/>
      <c r="B51" s="12"/>
      <c r="C51" s="12"/>
      <c r="D51" s="12"/>
    </row>
    <row r="52" spans="1:4" s="113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4" s="113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4" s="113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4" s="113" customFormat="1" x14ac:dyDescent="0.25">
      <c r="A55" s="40" t="s">
        <v>249</v>
      </c>
      <c r="B55" s="13" t="s">
        <v>423</v>
      </c>
      <c r="C55" s="17" t="str">
        <f ca="1">VLOOKUP(Einstellungen!$C$6+$N$2-1,Tagesof[#Data],2)</f>
        <v>Lt Christophe Lopez-Polo</v>
      </c>
      <c r="D55" s="17"/>
    </row>
    <row r="56" spans="1:4" s="113" customFormat="1" x14ac:dyDescent="0.25">
      <c r="A56" s="52"/>
      <c r="B56" s="35"/>
      <c r="C56" s="17"/>
      <c r="D56" s="17"/>
    </row>
    <row r="57" spans="1:4" s="113" customFormat="1" x14ac:dyDescent="0.25">
      <c r="A57" s="52"/>
      <c r="B57" s="35"/>
      <c r="C57" s="17"/>
      <c r="D57" s="17"/>
    </row>
    <row r="58" spans="1:4" s="113" customFormat="1" x14ac:dyDescent="0.25">
      <c r="A58" s="35"/>
      <c r="B58" s="15"/>
      <c r="C58" s="7"/>
      <c r="D58" s="7"/>
    </row>
    <row r="59" spans="1:4" s="113" customFormat="1" x14ac:dyDescent="0.25">
      <c r="A59" s="28" t="s">
        <v>283</v>
      </c>
      <c r="B59" s="12"/>
      <c r="D59" s="49" t="s">
        <v>3</v>
      </c>
    </row>
    <row r="60" spans="1:4" s="113" customFormat="1" x14ac:dyDescent="0.25">
      <c r="A60" s="29" t="s">
        <v>416</v>
      </c>
      <c r="B60" s="16"/>
      <c r="D60" s="17"/>
    </row>
    <row r="61" spans="1:4" s="113" customFormat="1" x14ac:dyDescent="0.25">
      <c r="A61" s="11" t="s">
        <v>285</v>
      </c>
      <c r="B61" s="16"/>
      <c r="D61" s="14"/>
    </row>
    <row r="62" spans="1:4" s="113" customFormat="1" x14ac:dyDescent="0.25">
      <c r="B62" s="16"/>
      <c r="D62"/>
    </row>
    <row r="63" spans="1:4" s="113" customFormat="1" x14ac:dyDescent="0.25">
      <c r="A63" s="28" t="s">
        <v>286</v>
      </c>
      <c r="B63" s="16"/>
      <c r="D63" s="23" t="s">
        <v>42</v>
      </c>
    </row>
    <row r="64" spans="1:4" s="113" customFormat="1" x14ac:dyDescent="0.25">
      <c r="A64" s="29" t="s">
        <v>287</v>
      </c>
      <c r="B64" s="16"/>
      <c r="D64" s="18" t="s">
        <v>79</v>
      </c>
    </row>
    <row r="65" spans="1:4" s="113" customFormat="1" x14ac:dyDescent="0.25">
      <c r="A65" s="119"/>
      <c r="B65" s="16"/>
      <c r="C65" s="16"/>
      <c r="D65" s="16"/>
    </row>
    <row r="66" spans="1:4" s="113" customFormat="1" x14ac:dyDescent="0.25">
      <c r="A66" s="119"/>
      <c r="B66" s="16"/>
      <c r="C66" s="16"/>
      <c r="D66" s="16"/>
    </row>
    <row r="67" spans="1:4" s="113" customFormat="1" x14ac:dyDescent="0.25">
      <c r="A67" s="119"/>
      <c r="B67" s="16"/>
      <c r="C67" s="19"/>
      <c r="D67" s="16"/>
    </row>
    <row r="68" spans="1:4" s="113" customFormat="1" x14ac:dyDescent="0.25">
      <c r="A68" s="119"/>
      <c r="B68" s="16"/>
      <c r="C68" s="16"/>
      <c r="D68" s="16"/>
    </row>
    <row r="69" spans="1:4" s="113" customFormat="1" x14ac:dyDescent="0.25">
      <c r="A69" s="119"/>
      <c r="B69" s="16"/>
      <c r="C69" s="16"/>
      <c r="D69" s="16"/>
    </row>
    <row r="70" spans="1:4" s="113" customFormat="1" x14ac:dyDescent="0.25">
      <c r="A70" s="42"/>
      <c r="B70" s="17"/>
      <c r="C70" s="17"/>
      <c r="D70" s="17"/>
    </row>
    <row r="71" spans="1:4" s="113" customFormat="1" x14ac:dyDescent="0.25">
      <c r="A71" s="43"/>
      <c r="B71" s="17"/>
      <c r="C71" s="17"/>
      <c r="D71" s="17"/>
    </row>
    <row r="72" spans="1:4" s="113" customFormat="1" x14ac:dyDescent="0.25">
      <c r="A72" s="42"/>
      <c r="B72" s="17"/>
      <c r="C72" s="17"/>
      <c r="D72" s="17"/>
    </row>
    <row r="73" spans="1:4" s="113" customFormat="1" x14ac:dyDescent="0.25">
      <c r="A73" s="42"/>
      <c r="B73" s="17"/>
      <c r="C73" s="17"/>
      <c r="D73" s="17"/>
    </row>
    <row r="74" spans="1:4" s="113" customFormat="1" x14ac:dyDescent="0.25">
      <c r="A74" s="43"/>
      <c r="B74" s="17"/>
      <c r="C74" s="17"/>
      <c r="D74" s="17"/>
    </row>
    <row r="75" spans="1:4" s="113" customFormat="1" x14ac:dyDescent="0.25">
      <c r="A75" s="42"/>
      <c r="B75" s="17"/>
      <c r="C75" s="17"/>
      <c r="D75" s="17"/>
    </row>
    <row r="76" spans="1:4" s="113" customFormat="1" x14ac:dyDescent="0.25">
      <c r="A76" s="116"/>
      <c r="B76"/>
      <c r="C76"/>
      <c r="D76"/>
    </row>
    <row r="77" spans="1:4" s="113" customFormat="1" x14ac:dyDescent="0.25">
      <c r="A77" s="116"/>
      <c r="B77"/>
      <c r="C77"/>
      <c r="D77"/>
    </row>
    <row r="78" spans="1:4" s="113" customFormat="1" x14ac:dyDescent="0.25">
      <c r="A78" s="116"/>
      <c r="B78"/>
      <c r="C78"/>
      <c r="D78"/>
    </row>
    <row r="79" spans="1:4" s="113" customFormat="1" x14ac:dyDescent="0.25">
      <c r="A79" s="116"/>
      <c r="B79"/>
      <c r="C79"/>
      <c r="D79"/>
    </row>
    <row r="80" spans="1:4" s="113" customFormat="1" x14ac:dyDescent="0.25">
      <c r="A80" s="116"/>
      <c r="B80"/>
      <c r="C80"/>
      <c r="D80"/>
    </row>
    <row r="81" spans="1:4" s="113" customFormat="1" x14ac:dyDescent="0.25">
      <c r="A81" s="116"/>
      <c r="B81"/>
      <c r="C81"/>
      <c r="D81"/>
    </row>
    <row r="82" spans="1:4" s="113" customFormat="1" x14ac:dyDescent="0.25">
      <c r="A82" s="116"/>
      <c r="B82"/>
      <c r="C82"/>
      <c r="D82"/>
    </row>
    <row r="83" spans="1:4" s="113" customFormat="1" x14ac:dyDescent="0.25">
      <c r="A83" s="116"/>
      <c r="B83"/>
      <c r="C83"/>
      <c r="D83"/>
    </row>
    <row r="84" spans="1:4" s="113" customFormat="1" x14ac:dyDescent="0.25">
      <c r="A84" s="116"/>
      <c r="B84"/>
      <c r="C84"/>
      <c r="D84"/>
    </row>
    <row r="85" spans="1:4" s="113" customFormat="1" ht="12" customHeight="1" x14ac:dyDescent="0.25">
      <c r="A85" s="116"/>
      <c r="B85"/>
      <c r="C85"/>
      <c r="D85"/>
    </row>
    <row r="86" spans="1:4" s="113" customFormat="1" x14ac:dyDescent="0.25">
      <c r="A86" s="116"/>
      <c r="B86"/>
      <c r="C86"/>
      <c r="D86"/>
    </row>
    <row r="87" spans="1:4" s="113" customFormat="1" x14ac:dyDescent="0.25">
      <c r="A87" s="116"/>
      <c r="B87"/>
      <c r="C87"/>
      <c r="D87"/>
    </row>
    <row r="88" spans="1:4" s="113" customFormat="1" x14ac:dyDescent="0.25">
      <c r="A88" s="116"/>
      <c r="B88"/>
      <c r="C88"/>
      <c r="D88"/>
    </row>
    <row r="89" spans="1:4" s="113" customFormat="1" x14ac:dyDescent="0.25">
      <c r="A89" s="116"/>
      <c r="B89"/>
      <c r="C89"/>
      <c r="D89"/>
    </row>
    <row r="90" spans="1:4" s="113" customFormat="1" x14ac:dyDescent="0.25">
      <c r="A90" s="116"/>
      <c r="B90"/>
      <c r="C90"/>
      <c r="D90"/>
    </row>
    <row r="91" spans="1:4" s="113" customFormat="1" x14ac:dyDescent="0.25">
      <c r="A91" s="116"/>
      <c r="B91"/>
      <c r="C91"/>
      <c r="D91"/>
    </row>
    <row r="92" spans="1:4" ht="7.5" customHeight="1" x14ac:dyDescent="0.25"/>
    <row r="94" spans="1:4" ht="7.5" customHeight="1" x14ac:dyDescent="0.25"/>
    <row r="95" spans="1:4" s="113" customFormat="1" x14ac:dyDescent="0.25">
      <c r="A95" s="116"/>
      <c r="B95"/>
      <c r="C95"/>
      <c r="D95"/>
    </row>
    <row r="96" spans="1:4" s="113" customFormat="1" x14ac:dyDescent="0.25">
      <c r="A96" s="116"/>
      <c r="B96"/>
      <c r="C96"/>
      <c r="D96"/>
    </row>
    <row r="97" spans="1:4" s="113" customFormat="1" ht="11.25" customHeight="1" x14ac:dyDescent="0.25">
      <c r="A97" s="116"/>
      <c r="B97"/>
      <c r="C97"/>
      <c r="D97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113" customFormat="1" x14ac:dyDescent="0.25">
      <c r="A102" s="116"/>
      <c r="B102"/>
      <c r="C102"/>
      <c r="D102"/>
    </row>
    <row r="103" spans="1:4" s="113" customFormat="1" x14ac:dyDescent="0.25">
      <c r="A103" s="116"/>
      <c r="B103"/>
      <c r="C103"/>
      <c r="D103"/>
    </row>
    <row r="104" spans="1:4" s="115" customFormat="1" ht="7.5" customHeight="1" x14ac:dyDescent="0.25">
      <c r="A104" s="116"/>
      <c r="B104"/>
      <c r="C104"/>
      <c r="D104"/>
    </row>
    <row r="105" spans="1:4" s="115" customFormat="1" x14ac:dyDescent="0.25">
      <c r="A105" s="116"/>
      <c r="B105"/>
      <c r="C105"/>
      <c r="D105"/>
    </row>
    <row r="106" spans="1:4" s="115" customFormat="1" ht="7.5" customHeight="1" x14ac:dyDescent="0.25">
      <c r="A106" s="116"/>
      <c r="B106"/>
      <c r="C106"/>
      <c r="D106"/>
    </row>
    <row r="109" spans="1:4" s="113" customFormat="1" x14ac:dyDescent="0.25">
      <c r="A109" s="116"/>
      <c r="B109"/>
      <c r="C109"/>
      <c r="D109"/>
    </row>
    <row r="110" spans="1:4" s="113" customFormat="1" x14ac:dyDescent="0.25">
      <c r="A110" s="116"/>
      <c r="B110"/>
      <c r="C110"/>
      <c r="D110"/>
    </row>
  </sheetData>
  <sheetProtection formatCells="0" formatColumns="0" formatRows="0" insertRows="0" deleteRows="0"/>
  <mergeCells count="2">
    <mergeCell ref="A3:D3"/>
    <mergeCell ref="A6:B6"/>
  </mergeCells>
  <conditionalFormatting sqref="G1">
    <cfRule type="cellIs" dxfId="7" priority="1" operator="equal">
      <formula>"Verworfen"</formula>
    </cfRule>
    <cfRule type="cellIs" dxfId="6" priority="2" operator="equal">
      <formula>"Genehmigt durch Kdt"</formula>
    </cfRule>
    <cfRule type="cellIs" dxfId="5" priority="3" operator="equal">
      <formula>"Bereit für Kdt"</formula>
    </cfRule>
    <cfRule type="cellIs" dxfId="4" priority="4" operator="equal">
      <formula>"Entwurf"</formula>
    </cfRule>
  </conditionalFormatting>
  <dataValidations count="8">
    <dataValidation type="list" allowBlank="1" showInputMessage="1" showErrorMessage="1" sqref="D64" xr:uid="{0C352A2D-E9C2-4D20-A344-6264A4FF1FB2}">
      <formula1>VerantwortungTgbf</formula1>
    </dataValidation>
    <dataValidation type="list" allowBlank="1" showInputMessage="1" showErrorMessage="1" sqref="D5" xr:uid="{F6B53062-68FF-4D1A-9045-7BA4604B4A1D}">
      <formula1>ENTWURF</formula1>
    </dataValidation>
    <dataValidation type="list" allowBlank="1" showInputMessage="1" showErrorMessage="1" sqref="D63" xr:uid="{495DFFAE-EF69-4D52-94CC-5601B11333F8}">
      <formula1>WerUnterschrift</formula1>
    </dataValidation>
    <dataValidation type="list" allowBlank="1" showInputMessage="1" showErrorMessage="1" sqref="A60 A64" xr:uid="{C78053F5-0051-46B4-9F99-8216871D57FD}">
      <formula1>Verteiler</formula1>
    </dataValidation>
    <dataValidation type="list" allowBlank="1" showInputMessage="1" showErrorMessage="1" sqref="A7" xr:uid="{74F703AD-57D1-42D0-8F3D-AF6CD6273246}">
      <formula1>Landkarten</formula1>
    </dataValidation>
    <dataValidation type="list" showInputMessage="1" sqref="B41:B42 A39 A43" xr:uid="{AC7F42B1-641F-4599-8838-280B425269D7}">
      <formula1>Tätigkeiten</formula1>
    </dataValidation>
    <dataValidation type="list" allowBlank="1" showInputMessage="1" sqref="D50:D51 C53 C56:C57" xr:uid="{CCA10F84-18F3-4DDA-A9CB-DA7964C866C4}">
      <formula1>Räumlichkeiten</formula1>
    </dataValidation>
    <dataValidation type="list" showInputMessage="1" sqref="C41:C42 C45:C46 C49" xr:uid="{111AB65B-0FFE-4B71-AA22-85AA94B48BAA}">
      <formula1>Verantwortung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1582A52A-FC54-4EBA-BC67-5B000BDD081F}">
          <x14:formula1>
            <xm:f>Einstellungen!$H$71:$H$86</xm:f>
          </x14:formula1>
          <xm:sqref>D14:D49</xm:sqref>
        </x14:dataValidation>
        <x14:dataValidation type="list" showInputMessage="1" xr:uid="{0E8473C9-4A48-4F35-B22C-B208989D1939}">
          <x14:formula1>
            <xm:f>Einstellungen!$K$71:$K$75</xm:f>
          </x14:formula1>
          <xm:sqref>C13:C40 C43:C44 C47:C48</xm:sqref>
        </x14:dataValidation>
        <x14:dataValidation type="list" showInputMessage="1" xr:uid="{50290832-A28A-4E25-9696-F210ED0CBA23}">
          <x14:formula1>
            <xm:f>Einstellungen!$B$71:$B$84</xm:f>
          </x14:formula1>
          <xm:sqref>B14:B40</xm:sqref>
        </x14:dataValidation>
        <x14:dataValidation type="list" allowBlank="1" showInputMessage="1" showErrorMessage="1" xr:uid="{1E183A3E-FA8B-443C-8A15-D639BE710FEA}">
          <x14:formula1>
            <xm:f>Einstellungen!$E$71:$E$74</xm:f>
          </x14:formula1>
          <xm:sqref>B47:B49</xm:sqref>
        </x14:dataValidation>
        <x14:dataValidation type="list" allowBlank="1" showInputMessage="1" showErrorMessage="1" xr:uid="{DB8C26CC-E5B6-4F45-9F24-B8BAFBEC0AF3}">
          <x14:formula1>
            <xm:f>Einstellungen!$N$71:$N$74</xm:f>
          </x14:formula1>
          <xm:sqref>G1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F4A7-A20B-453D-8B72-43359DC01301}">
  <sheetPr>
    <tabColor theme="0" tint="-0.14999847407452621"/>
    <pageSetUpPr fitToPage="1"/>
  </sheetPr>
  <dimension ref="A1:N110"/>
  <sheetViews>
    <sheetView showGridLines="0" view="pageBreakPreview" topLeftCell="A31" zoomScaleNormal="100" zoomScaleSheetLayoutView="100" workbookViewId="0">
      <selection activeCell="C119" sqref="C119:I119"/>
    </sheetView>
  </sheetViews>
  <sheetFormatPr defaultColWidth="11.44140625" defaultRowHeight="13.2" x14ac:dyDescent="0.25"/>
  <cols>
    <col min="1" max="1" width="12.6640625" style="39" customWidth="1"/>
    <col min="2" max="2" width="40.109375" style="3" customWidth="1"/>
    <col min="3" max="3" width="22" style="3" customWidth="1"/>
    <col min="4" max="4" width="23.88671875" style="3" customWidth="1"/>
    <col min="5" max="5" width="11.44140625" style="3"/>
    <col min="6" max="6" width="20.5546875" style="3" customWidth="1"/>
    <col min="7" max="7" width="65.6640625" style="3" customWidth="1"/>
    <col min="8" max="16384" width="11.44140625" style="3"/>
  </cols>
  <sheetData>
    <row r="1" spans="1:14" ht="67.5" customHeight="1" x14ac:dyDescent="0.65">
      <c r="A1" s="31"/>
      <c r="B1" s="1"/>
      <c r="C1" s="1"/>
      <c r="D1" s="2"/>
      <c r="F1" s="24" t="s">
        <v>205</v>
      </c>
      <c r="G1" s="25" t="s">
        <v>80</v>
      </c>
      <c r="N1" s="41" t="s">
        <v>206</v>
      </c>
    </row>
    <row r="2" spans="1:14" ht="18" customHeight="1" x14ac:dyDescent="0.3">
      <c r="A2" s="57" t="s">
        <v>3</v>
      </c>
      <c r="B2" s="1"/>
      <c r="C2" s="1"/>
      <c r="D2" s="48" t="str">
        <f>IF(EXACT($G$1,"Genehmigt durch Kdt"),"","PROVISORISCH")</f>
        <v>PROVISORISCH</v>
      </c>
      <c r="N2" s="42" t="str" cm="1">
        <f t="array" aca="1" ref="N2" ca="1">_xlfn.CHOOSECOLS(_xlfn.TEXTSPLIT(_xlfn.TEXTAFTER(CELL("filename",A1),"]"), " - "), 1)</f>
        <v>0</v>
      </c>
    </row>
    <row r="3" spans="1:14" ht="13.8" x14ac:dyDescent="0.25">
      <c r="A3" s="274" t="s">
        <v>208</v>
      </c>
      <c r="B3" s="275"/>
      <c r="C3" s="275"/>
      <c r="D3" s="275"/>
      <c r="L3"/>
    </row>
    <row r="4" spans="1:14" ht="4.5" customHeight="1" x14ac:dyDescent="0.25">
      <c r="A4" s="31"/>
      <c r="B4" s="1"/>
      <c r="C4" s="1"/>
      <c r="D4" s="1"/>
    </row>
    <row r="5" spans="1:14" x14ac:dyDescent="0.25">
      <c r="A5" s="31"/>
      <c r="B5" s="1"/>
      <c r="C5" s="1"/>
      <c r="D5" s="4"/>
    </row>
    <row r="6" spans="1:14" ht="15.6" x14ac:dyDescent="0.3">
      <c r="A6" s="276" t="str">
        <f ca="1">"Tagesbefehl Nr " &amp; $N$2 &amp; " für " &amp; UPPER(CHOOSE(WEEKDAY($N$2+1,2), "Montag", "Dienstag", "Mittwoch", "Donnerstag", "Freitag", "Samstag", "Sonntag")) &amp; ", " &amp; TEXT(Einstellungen!$C$6+$N$2-1,"DD.MM.YYYY")</f>
        <v>Tagesbefehl Nr 0 für SONNTAG, 20.09.2026</v>
      </c>
      <c r="B6" s="276"/>
      <c r="C6" s="20" t="str">
        <f>CONCATENATE("Gültig ab:")</f>
        <v>Gültig ab:</v>
      </c>
      <c r="D6" s="56">
        <f ca="1">TODAY()</f>
        <v>46267</v>
      </c>
    </row>
    <row r="7" spans="1:14" x14ac:dyDescent="0.25">
      <c r="A7" s="33"/>
      <c r="B7" s="1"/>
      <c r="C7" s="20" t="s">
        <v>209</v>
      </c>
      <c r="D7" s="21" t="s">
        <v>58</v>
      </c>
    </row>
    <row r="8" spans="1:14" x14ac:dyDescent="0.25">
      <c r="A8" s="31"/>
      <c r="B8" s="1"/>
      <c r="C8" s="20" t="s">
        <v>210</v>
      </c>
      <c r="D8" s="21" t="s">
        <v>58</v>
      </c>
    </row>
    <row r="9" spans="1:14" x14ac:dyDescent="0.25">
      <c r="A9" s="31"/>
      <c r="B9" s="1"/>
      <c r="C9" s="20"/>
      <c r="D9" s="4"/>
    </row>
    <row r="10" spans="1:14" ht="13.8" thickBot="1" x14ac:dyDescent="0.3">
      <c r="A10" s="54" t="s">
        <v>119</v>
      </c>
      <c r="B10" s="54" t="s">
        <v>211</v>
      </c>
      <c r="C10" s="54" t="s">
        <v>74</v>
      </c>
      <c r="D10" s="55" t="s">
        <v>212</v>
      </c>
    </row>
    <row r="11" spans="1:14" x14ac:dyDescent="0.25">
      <c r="A11" s="34" t="s">
        <v>213</v>
      </c>
      <c r="B11" s="5"/>
      <c r="C11" s="5"/>
      <c r="D11" s="5"/>
    </row>
    <row r="12" spans="1:14" s="8" customFormat="1" ht="3.75" customHeight="1" x14ac:dyDescent="0.25">
      <c r="A12" s="35"/>
      <c r="B12" s="7"/>
      <c r="C12" s="7"/>
      <c r="D12" s="7"/>
    </row>
    <row r="13" spans="1:14" s="8" customFormat="1" x14ac:dyDescent="0.25">
      <c r="A13" s="36" t="s">
        <v>214</v>
      </c>
      <c r="B13" s="7"/>
      <c r="C13" s="7"/>
      <c r="D13" s="7"/>
    </row>
    <row r="14" spans="1:14" s="8" customFormat="1" ht="12" customHeight="1" x14ac:dyDescent="0.25">
      <c r="A14" s="69" t="s">
        <v>7</v>
      </c>
      <c r="B14" s="7" t="s">
        <v>76</v>
      </c>
      <c r="C14" s="7" t="s">
        <v>37</v>
      </c>
      <c r="D14" s="7" t="s">
        <v>83</v>
      </c>
    </row>
    <row r="15" spans="1:14" s="8" customFormat="1" x14ac:dyDescent="0.25">
      <c r="A15" s="35" t="s">
        <v>9</v>
      </c>
      <c r="B15" s="7" t="s">
        <v>81</v>
      </c>
      <c r="C15" s="7" t="s">
        <v>424</v>
      </c>
      <c r="D15" s="7" t="s">
        <v>92</v>
      </c>
    </row>
    <row r="16" spans="1:14" s="8" customFormat="1" x14ac:dyDescent="0.25">
      <c r="A16" s="69" t="s">
        <v>15</v>
      </c>
      <c r="B16" s="7" t="s">
        <v>425</v>
      </c>
      <c r="C16" s="7" t="s">
        <v>426</v>
      </c>
      <c r="D16" s="7" t="s">
        <v>83</v>
      </c>
    </row>
    <row r="17" spans="1:4" s="8" customFormat="1" x14ac:dyDescent="0.25">
      <c r="A17" s="70" t="s">
        <v>11</v>
      </c>
      <c r="B17" s="7" t="s">
        <v>98</v>
      </c>
      <c r="C17" s="7" t="s">
        <v>424</v>
      </c>
      <c r="D17" s="7" t="s">
        <v>92</v>
      </c>
    </row>
    <row r="18" spans="1:4" s="8" customFormat="1" x14ac:dyDescent="0.25">
      <c r="A18" s="70" t="s">
        <v>13</v>
      </c>
      <c r="B18" s="7" t="s">
        <v>100</v>
      </c>
      <c r="C18" s="7" t="s">
        <v>424</v>
      </c>
      <c r="D18" s="7" t="s">
        <v>92</v>
      </c>
    </row>
    <row r="19" spans="1:4" s="8" customFormat="1" x14ac:dyDescent="0.25">
      <c r="A19" s="35" t="s">
        <v>25</v>
      </c>
      <c r="B19" s="7" t="s">
        <v>24</v>
      </c>
      <c r="C19" s="7" t="s">
        <v>427</v>
      </c>
      <c r="D19" s="7" t="s">
        <v>83</v>
      </c>
    </row>
    <row r="20" spans="1:4" s="8" customFormat="1" x14ac:dyDescent="0.25">
      <c r="A20" s="35" t="s">
        <v>23</v>
      </c>
      <c r="B20" s="7" t="s">
        <v>113</v>
      </c>
      <c r="C20" s="7" t="s">
        <v>37</v>
      </c>
      <c r="D20" s="7" t="s">
        <v>83</v>
      </c>
    </row>
    <row r="21" spans="1:4" s="8" customFormat="1" x14ac:dyDescent="0.25">
      <c r="A21" s="35"/>
      <c r="B21" s="7"/>
      <c r="C21" s="7"/>
      <c r="D21" s="7"/>
    </row>
    <row r="22" spans="1:4" s="8" customFormat="1" x14ac:dyDescent="0.25">
      <c r="A22" s="27" t="s">
        <v>191</v>
      </c>
      <c r="B22" s="7"/>
      <c r="C22" s="7"/>
      <c r="D22" s="7"/>
    </row>
    <row r="23" spans="1:4" s="8" customFormat="1" x14ac:dyDescent="0.25">
      <c r="A23" s="27"/>
      <c r="B23" s="7"/>
      <c r="C23" s="7"/>
      <c r="D23" s="7"/>
    </row>
    <row r="24" spans="1:4" s="8" customFormat="1" x14ac:dyDescent="0.25">
      <c r="A24" s="13"/>
      <c r="B24" s="7"/>
      <c r="C24" s="7"/>
      <c r="D24" s="7"/>
    </row>
    <row r="25" spans="1:4" s="8" customFormat="1" x14ac:dyDescent="0.25">
      <c r="A25" s="30" t="s">
        <v>430</v>
      </c>
      <c r="B25" s="7"/>
      <c r="C25" s="7"/>
      <c r="D25" s="7"/>
    </row>
    <row r="26" spans="1:4" s="8" customFormat="1" x14ac:dyDescent="0.25">
      <c r="A26" s="30"/>
      <c r="B26" s="7"/>
      <c r="C26" s="7"/>
      <c r="D26" s="7"/>
    </row>
    <row r="27" spans="1:4" s="8" customFormat="1" x14ac:dyDescent="0.25">
      <c r="A27" s="13"/>
      <c r="B27" s="7"/>
      <c r="C27" s="7"/>
      <c r="D27" s="7"/>
    </row>
    <row r="28" spans="1:4" s="8" customFormat="1" x14ac:dyDescent="0.25">
      <c r="A28" s="27" t="s">
        <v>431</v>
      </c>
      <c r="B28" s="7"/>
      <c r="C28" s="7"/>
      <c r="D28" s="7"/>
    </row>
    <row r="29" spans="1:4" s="8" customFormat="1" x14ac:dyDescent="0.25">
      <c r="A29" s="27"/>
      <c r="B29" s="7"/>
      <c r="C29" s="7"/>
      <c r="D29" s="7"/>
    </row>
    <row r="30" spans="1:4" s="8" customFormat="1" x14ac:dyDescent="0.25">
      <c r="A30" s="13"/>
      <c r="B30" s="7"/>
      <c r="C30" s="7"/>
      <c r="D30" s="7"/>
    </row>
    <row r="31" spans="1:4" s="8" customFormat="1" x14ac:dyDescent="0.25">
      <c r="A31" s="27" t="s">
        <v>63</v>
      </c>
      <c r="B31" s="7"/>
      <c r="C31" s="7"/>
      <c r="D31" s="7"/>
    </row>
    <row r="32" spans="1:4" s="8" customFormat="1" x14ac:dyDescent="0.25">
      <c r="A32" s="27"/>
      <c r="B32" s="7"/>
      <c r="C32" s="7"/>
      <c r="D32" s="7"/>
    </row>
    <row r="33" spans="1:6" s="8" customFormat="1" x14ac:dyDescent="0.25">
      <c r="A33" s="13"/>
      <c r="B33" s="7"/>
      <c r="C33" s="7"/>
      <c r="D33" s="7"/>
    </row>
    <row r="34" spans="1:6" s="8" customFormat="1" x14ac:dyDescent="0.25">
      <c r="A34" s="27" t="s">
        <v>64</v>
      </c>
      <c r="B34" s="7"/>
      <c r="C34" s="7"/>
      <c r="D34" s="7"/>
    </row>
    <row r="35" spans="1:6" s="8" customFormat="1" x14ac:dyDescent="0.25">
      <c r="A35" s="27"/>
      <c r="B35" s="7"/>
      <c r="C35" s="7"/>
      <c r="D35" s="7"/>
    </row>
    <row r="36" spans="1:6" s="8" customFormat="1" x14ac:dyDescent="0.25">
      <c r="A36" s="27"/>
      <c r="B36" s="7"/>
      <c r="C36" s="7"/>
      <c r="D36" s="7"/>
    </row>
    <row r="37" spans="1:6" s="8" customFormat="1" x14ac:dyDescent="0.25">
      <c r="A37" s="27" t="s">
        <v>66</v>
      </c>
      <c r="B37" s="7"/>
      <c r="C37" s="7"/>
      <c r="D37" s="7"/>
    </row>
    <row r="38" spans="1:6" s="8" customFormat="1" x14ac:dyDescent="0.25">
      <c r="A38" s="27"/>
      <c r="B38" s="7"/>
      <c r="C38" s="7"/>
      <c r="D38" s="7"/>
    </row>
    <row r="39" spans="1:6" s="8" customFormat="1" ht="12.75" customHeight="1" x14ac:dyDescent="0.25">
      <c r="A39" s="7"/>
      <c r="B39" s="7"/>
      <c r="C39" s="7"/>
      <c r="D39" s="7"/>
    </row>
    <row r="40" spans="1:6" s="8" customFormat="1" x14ac:dyDescent="0.25">
      <c r="A40" s="35"/>
      <c r="B40" s="7"/>
      <c r="C40" s="7"/>
      <c r="D40" s="7"/>
    </row>
    <row r="41" spans="1:6" s="8" customFormat="1" x14ac:dyDescent="0.25">
      <c r="A41" s="26" t="s">
        <v>255</v>
      </c>
      <c r="B41" s="9"/>
      <c r="C41" s="9"/>
      <c r="D41" s="9"/>
    </row>
    <row r="42" spans="1:6" s="8" customFormat="1" ht="3.75" customHeight="1" x14ac:dyDescent="0.25">
      <c r="A42" s="37"/>
      <c r="B42" s="6"/>
      <c r="C42" s="6"/>
      <c r="D42" s="6"/>
    </row>
    <row r="43" spans="1:6" s="8" customFormat="1" ht="12.75" customHeight="1" x14ac:dyDescent="0.25">
      <c r="A43" s="7" t="s">
        <v>413</v>
      </c>
      <c r="B43" s="52"/>
      <c r="C43" s="7"/>
      <c r="D43" s="7"/>
      <c r="E43" s="111" t="s">
        <v>316</v>
      </c>
      <c r="F43" s="112"/>
    </row>
    <row r="44" spans="1:6" s="8" customFormat="1" ht="12.75" customHeight="1" x14ac:dyDescent="0.25">
      <c r="A44" s="22"/>
      <c r="B44" s="10"/>
      <c r="C44" s="7"/>
      <c r="D44" s="11"/>
      <c r="E44" s="111"/>
      <c r="F44" s="112"/>
    </row>
    <row r="45" spans="1:6" s="8" customFormat="1" x14ac:dyDescent="0.25">
      <c r="A45" s="26" t="s">
        <v>270</v>
      </c>
      <c r="B45" s="5"/>
      <c r="C45" s="5"/>
      <c r="D45" s="5"/>
      <c r="E45" s="111"/>
      <c r="F45" s="112"/>
    </row>
    <row r="46" spans="1:6" s="8" customFormat="1" ht="3.75" customHeight="1" x14ac:dyDescent="0.25">
      <c r="A46" s="38"/>
      <c r="B46" s="12"/>
      <c r="C46" s="12"/>
      <c r="D46" s="12"/>
    </row>
    <row r="47" spans="1:6" s="8" customFormat="1" ht="12.75" customHeight="1" x14ac:dyDescent="0.25">
      <c r="A47" s="37" t="s">
        <v>432</v>
      </c>
      <c r="B47" s="6" t="s">
        <v>82</v>
      </c>
      <c r="C47" s="7" t="s">
        <v>79</v>
      </c>
      <c r="D47" s="6" t="s">
        <v>239</v>
      </c>
      <c r="E47" s="45" t="s">
        <v>316</v>
      </c>
      <c r="F47" s="114"/>
    </row>
    <row r="48" spans="1:6" s="8" customFormat="1" x14ac:dyDescent="0.25">
      <c r="A48" s="37" t="s">
        <v>433</v>
      </c>
      <c r="B48" s="6" t="s">
        <v>77</v>
      </c>
      <c r="C48" s="7" t="s">
        <v>79</v>
      </c>
      <c r="D48" s="6" t="s">
        <v>239</v>
      </c>
      <c r="E48" s="45"/>
      <c r="F48" s="114"/>
    </row>
    <row r="49" spans="1:6" s="8" customFormat="1" x14ac:dyDescent="0.25">
      <c r="A49" s="22"/>
      <c r="B49" s="10"/>
      <c r="C49" s="10"/>
      <c r="D49" s="11"/>
    </row>
    <row r="50" spans="1:6" s="8" customFormat="1" x14ac:dyDescent="0.25">
      <c r="A50" s="26" t="s">
        <v>273</v>
      </c>
      <c r="B50" s="5"/>
      <c r="C50" s="5"/>
      <c r="D50" s="5"/>
    </row>
    <row r="51" spans="1:6" s="8" customFormat="1" ht="3.75" customHeight="1" x14ac:dyDescent="0.25">
      <c r="A51" s="37"/>
      <c r="B51" s="12"/>
      <c r="C51" s="12"/>
      <c r="D51" s="12"/>
      <c r="E51" s="113"/>
      <c r="F51" s="113"/>
    </row>
    <row r="52" spans="1:6" s="8" customFormat="1" x14ac:dyDescent="0.25">
      <c r="A52" s="35" t="s">
        <v>274</v>
      </c>
      <c r="B52" s="7" t="s">
        <v>275</v>
      </c>
      <c r="C52" s="17" t="str">
        <f>Einstellungen!P34</f>
        <v>(noch nicht bekannt)</v>
      </c>
    </row>
    <row r="53" spans="1:6" s="8" customFormat="1" x14ac:dyDescent="0.25">
      <c r="A53" s="52" t="s">
        <v>274</v>
      </c>
      <c r="B53" s="35" t="s">
        <v>421</v>
      </c>
      <c r="C53" s="17" t="str">
        <f>Einstellungen!R34</f>
        <v>(noch nicht bekannt)</v>
      </c>
      <c r="D53" s="17"/>
    </row>
    <row r="54" spans="1:6" s="8" customFormat="1" x14ac:dyDescent="0.25">
      <c r="A54" s="40" t="s">
        <v>277</v>
      </c>
      <c r="B54" s="51" t="s">
        <v>38</v>
      </c>
      <c r="C54" s="17" t="str">
        <f>Einstellungen!$K$35</f>
        <v>Lt Christophe Lopez-Polo</v>
      </c>
      <c r="D54" s="17"/>
    </row>
    <row r="55" spans="1:6" s="8" customFormat="1" x14ac:dyDescent="0.25">
      <c r="A55" s="40" t="s">
        <v>249</v>
      </c>
      <c r="B55" s="13" t="s">
        <v>423</v>
      </c>
      <c r="C55" s="17" t="e">
        <f ca="1">VLOOKUP(Einstellungen!$C$6+$N$2-1,Tagesof[#Data],2)</f>
        <v>#N/A</v>
      </c>
      <c r="D55" s="17"/>
    </row>
    <row r="56" spans="1:6" s="8" customFormat="1" x14ac:dyDescent="0.25">
      <c r="A56" s="52"/>
      <c r="B56" s="35"/>
      <c r="C56" s="17"/>
      <c r="D56" s="17"/>
    </row>
    <row r="57" spans="1:6" s="8" customFormat="1" x14ac:dyDescent="0.25">
      <c r="A57" s="52"/>
      <c r="B57" s="35"/>
      <c r="C57" s="17"/>
      <c r="D57" s="17"/>
    </row>
    <row r="58" spans="1:6" s="8" customFormat="1" x14ac:dyDescent="0.25">
      <c r="A58" s="35"/>
      <c r="B58" s="15"/>
      <c r="C58" s="7"/>
      <c r="D58" s="7"/>
    </row>
    <row r="59" spans="1:6" s="8" customFormat="1" x14ac:dyDescent="0.25">
      <c r="A59" s="28" t="s">
        <v>283</v>
      </c>
      <c r="B59" s="12"/>
      <c r="D59" s="49" t="s">
        <v>3</v>
      </c>
    </row>
    <row r="60" spans="1:6" s="8" customFormat="1" x14ac:dyDescent="0.25">
      <c r="A60" s="29" t="s">
        <v>416</v>
      </c>
      <c r="B60" s="16"/>
      <c r="D60" s="17"/>
    </row>
    <row r="61" spans="1:6" s="8" customFormat="1" x14ac:dyDescent="0.25">
      <c r="A61" s="11" t="s">
        <v>285</v>
      </c>
      <c r="B61" s="16"/>
      <c r="D61" s="14"/>
    </row>
    <row r="62" spans="1:6" s="8" customFormat="1" x14ac:dyDescent="0.25">
      <c r="B62" s="16"/>
      <c r="D62" s="3"/>
    </row>
    <row r="63" spans="1:6" s="8" customFormat="1" x14ac:dyDescent="0.25">
      <c r="A63" s="28" t="s">
        <v>286</v>
      </c>
      <c r="B63" s="16"/>
      <c r="D63" s="23" t="s">
        <v>42</v>
      </c>
    </row>
    <row r="64" spans="1:6" s="8" customFormat="1" x14ac:dyDescent="0.25">
      <c r="A64" s="29" t="s">
        <v>287</v>
      </c>
      <c r="B64" s="16"/>
      <c r="D64" s="18" t="s">
        <v>79</v>
      </c>
    </row>
    <row r="65" spans="1:4" s="8" customFormat="1" x14ac:dyDescent="0.25">
      <c r="A65" s="41"/>
      <c r="B65" s="16"/>
      <c r="C65" s="16"/>
      <c r="D65" s="16"/>
    </row>
    <row r="66" spans="1:4" s="8" customFormat="1" x14ac:dyDescent="0.25">
      <c r="A66" s="41"/>
      <c r="B66" s="16"/>
      <c r="C66" s="16"/>
      <c r="D66" s="16"/>
    </row>
    <row r="67" spans="1:4" s="8" customFormat="1" x14ac:dyDescent="0.25">
      <c r="A67" s="41"/>
      <c r="B67" s="16"/>
      <c r="C67" s="19"/>
      <c r="D67" s="16"/>
    </row>
    <row r="68" spans="1:4" s="8" customFormat="1" x14ac:dyDescent="0.25">
      <c r="A68" s="41"/>
      <c r="B68" s="16"/>
      <c r="C68" s="16"/>
      <c r="D68" s="16"/>
    </row>
    <row r="69" spans="1:4" s="8" customFormat="1" x14ac:dyDescent="0.25">
      <c r="A69" s="41"/>
      <c r="B69" s="16"/>
      <c r="C69" s="16"/>
      <c r="D69" s="16"/>
    </row>
    <row r="70" spans="1:4" s="8" customFormat="1" x14ac:dyDescent="0.25">
      <c r="A70" s="42"/>
      <c r="B70" s="17"/>
      <c r="C70" s="17"/>
      <c r="D70" s="17"/>
    </row>
    <row r="71" spans="1:4" s="8" customFormat="1" x14ac:dyDescent="0.25">
      <c r="A71" s="43"/>
      <c r="B71" s="17"/>
      <c r="C71" s="17"/>
      <c r="D71" s="17"/>
    </row>
    <row r="72" spans="1:4" s="8" customFormat="1" x14ac:dyDescent="0.25">
      <c r="A72" s="42"/>
      <c r="B72" s="17"/>
      <c r="C72" s="17"/>
      <c r="D72" s="17"/>
    </row>
    <row r="73" spans="1:4" s="8" customFormat="1" x14ac:dyDescent="0.25">
      <c r="A73" s="42"/>
      <c r="B73" s="17"/>
      <c r="C73" s="17"/>
      <c r="D73" s="17"/>
    </row>
    <row r="74" spans="1:4" s="8" customFormat="1" x14ac:dyDescent="0.25">
      <c r="A74" s="43"/>
      <c r="B74" s="17"/>
      <c r="C74" s="17"/>
      <c r="D74" s="17"/>
    </row>
    <row r="75" spans="1:4" s="8" customFormat="1" x14ac:dyDescent="0.25">
      <c r="A75" s="42"/>
      <c r="B75" s="17"/>
      <c r="C75" s="17"/>
      <c r="D75" s="17"/>
    </row>
    <row r="76" spans="1:4" s="8" customFormat="1" x14ac:dyDescent="0.25">
      <c r="A76" s="39"/>
      <c r="B76" s="3"/>
      <c r="C76" s="3"/>
      <c r="D76" s="3"/>
    </row>
    <row r="77" spans="1:4" s="8" customFormat="1" x14ac:dyDescent="0.25">
      <c r="A77" s="39"/>
      <c r="B77" s="3"/>
      <c r="C77" s="3"/>
      <c r="D77" s="3"/>
    </row>
    <row r="78" spans="1:4" s="8" customFormat="1" x14ac:dyDescent="0.25">
      <c r="A78" s="39"/>
      <c r="B78" s="3"/>
      <c r="C78" s="3"/>
      <c r="D78" s="3"/>
    </row>
    <row r="79" spans="1:4" s="8" customFormat="1" x14ac:dyDescent="0.25">
      <c r="A79" s="39"/>
      <c r="B79" s="3"/>
      <c r="C79" s="3"/>
      <c r="D79" s="3"/>
    </row>
    <row r="80" spans="1:4" s="8" customFormat="1" x14ac:dyDescent="0.25">
      <c r="A80" s="39"/>
      <c r="B80" s="3"/>
      <c r="C80" s="3"/>
      <c r="D80" s="3"/>
    </row>
    <row r="81" spans="1:4" s="8" customFormat="1" x14ac:dyDescent="0.25">
      <c r="A81" s="39"/>
      <c r="B81" s="3"/>
      <c r="C81" s="3"/>
      <c r="D81" s="3"/>
    </row>
    <row r="82" spans="1:4" s="8" customFormat="1" x14ac:dyDescent="0.25">
      <c r="A82" s="39"/>
      <c r="B82" s="3"/>
      <c r="C82" s="3"/>
      <c r="D82" s="3"/>
    </row>
    <row r="83" spans="1:4" s="8" customFormat="1" x14ac:dyDescent="0.25">
      <c r="A83" s="39"/>
      <c r="B83" s="3"/>
      <c r="C83" s="3"/>
      <c r="D83" s="3"/>
    </row>
    <row r="84" spans="1:4" s="8" customFormat="1" x14ac:dyDescent="0.25">
      <c r="A84" s="39"/>
      <c r="B84" s="3"/>
      <c r="C84" s="3"/>
      <c r="D84" s="3"/>
    </row>
    <row r="85" spans="1:4" s="8" customFormat="1" ht="12" customHeight="1" x14ac:dyDescent="0.25">
      <c r="A85" s="39"/>
      <c r="B85" s="3"/>
      <c r="C85" s="3"/>
      <c r="D85" s="3"/>
    </row>
    <row r="86" spans="1:4" s="8" customFormat="1" x14ac:dyDescent="0.25">
      <c r="A86" s="39"/>
      <c r="B86" s="3"/>
      <c r="C86" s="3"/>
      <c r="D86" s="3"/>
    </row>
    <row r="87" spans="1:4" s="8" customFormat="1" x14ac:dyDescent="0.25">
      <c r="A87" s="39"/>
      <c r="B87" s="3"/>
      <c r="C87" s="3"/>
      <c r="D87" s="3"/>
    </row>
    <row r="88" spans="1:4" s="8" customFormat="1" x14ac:dyDescent="0.25">
      <c r="A88" s="39"/>
      <c r="B88" s="3"/>
      <c r="C88" s="3"/>
      <c r="D88" s="3"/>
    </row>
    <row r="89" spans="1:4" s="8" customFormat="1" x14ac:dyDescent="0.25">
      <c r="A89" s="39"/>
      <c r="B89" s="3"/>
      <c r="C89" s="3"/>
      <c r="D89" s="3"/>
    </row>
    <row r="90" spans="1:4" s="8" customFormat="1" x14ac:dyDescent="0.25">
      <c r="A90" s="39"/>
      <c r="B90" s="3"/>
      <c r="C90" s="3"/>
      <c r="D90" s="3"/>
    </row>
    <row r="91" spans="1:4" s="8" customFormat="1" x14ac:dyDescent="0.25">
      <c r="A91" s="39"/>
      <c r="B91" s="3"/>
      <c r="C91" s="3"/>
      <c r="D91" s="3"/>
    </row>
    <row r="92" spans="1:4" ht="7.5" customHeight="1" x14ac:dyDescent="0.25"/>
    <row r="94" spans="1:4" ht="7.5" customHeight="1" x14ac:dyDescent="0.25"/>
    <row r="95" spans="1:4" s="8" customFormat="1" x14ac:dyDescent="0.25">
      <c r="A95" s="39"/>
      <c r="B95" s="3"/>
      <c r="C95" s="3"/>
      <c r="D95" s="3"/>
    </row>
    <row r="96" spans="1:4" s="8" customFormat="1" x14ac:dyDescent="0.25">
      <c r="A96" s="39"/>
      <c r="B96" s="3"/>
      <c r="C96" s="3"/>
      <c r="D96" s="3"/>
    </row>
    <row r="97" spans="1:4" s="8" customFormat="1" ht="11.25" customHeight="1" x14ac:dyDescent="0.25">
      <c r="A97" s="39"/>
      <c r="B97" s="3"/>
      <c r="C97" s="3"/>
      <c r="D97" s="3"/>
    </row>
    <row r="98" spans="1:4" ht="7.5" customHeight="1" x14ac:dyDescent="0.25"/>
    <row r="100" spans="1:4" ht="7.5" customHeight="1" x14ac:dyDescent="0.25"/>
    <row r="101" spans="1:4" ht="7.5" customHeight="1" x14ac:dyDescent="0.25"/>
    <row r="102" spans="1:4" s="8" customFormat="1" x14ac:dyDescent="0.25">
      <c r="A102" s="39"/>
      <c r="B102" s="3"/>
      <c r="C102" s="3"/>
      <c r="D102" s="3"/>
    </row>
    <row r="103" spans="1:4" s="8" customFormat="1" x14ac:dyDescent="0.25">
      <c r="A103" s="39"/>
      <c r="B103" s="3"/>
      <c r="C103" s="3"/>
      <c r="D103" s="3"/>
    </row>
    <row r="104" spans="1:4" s="1" customFormat="1" ht="7.5" customHeight="1" x14ac:dyDescent="0.25">
      <c r="A104" s="39"/>
      <c r="B104" s="3"/>
      <c r="C104" s="3"/>
      <c r="D104" s="3"/>
    </row>
    <row r="105" spans="1:4" s="1" customFormat="1" x14ac:dyDescent="0.25">
      <c r="A105" s="39"/>
      <c r="B105" s="3"/>
      <c r="C105" s="3"/>
      <c r="D105" s="3"/>
    </row>
    <row r="106" spans="1:4" s="1" customFormat="1" ht="7.5" customHeight="1" x14ac:dyDescent="0.25">
      <c r="A106" s="39"/>
      <c r="B106" s="3"/>
      <c r="C106" s="3"/>
      <c r="D106" s="3"/>
    </row>
    <row r="109" spans="1:4" s="8" customFormat="1" x14ac:dyDescent="0.25">
      <c r="A109" s="39"/>
      <c r="B109" s="3"/>
      <c r="C109" s="3"/>
      <c r="D109" s="3"/>
    </row>
    <row r="110" spans="1:4" s="8" customFormat="1" x14ac:dyDescent="0.25">
      <c r="A110" s="39"/>
      <c r="B110" s="3"/>
      <c r="C110" s="3"/>
      <c r="D110" s="3"/>
    </row>
  </sheetData>
  <sheetProtection formatCells="0" formatColumns="0" formatRows="0" insertRows="0" deleteRows="0" selectLockedCells="1" selectUnlockedCells="1"/>
  <mergeCells count="2">
    <mergeCell ref="A3:D3"/>
    <mergeCell ref="A6:B6"/>
  </mergeCells>
  <conditionalFormatting sqref="G1">
    <cfRule type="cellIs" dxfId="3" priority="1" operator="equal">
      <formula>"Verworfen"</formula>
    </cfRule>
    <cfRule type="cellIs" dxfId="2" priority="2" operator="equal">
      <formula>"Genehmigt durch Kdt"</formula>
    </cfRule>
    <cfRule type="cellIs" dxfId="1" priority="3" operator="equal">
      <formula>"Bereit für Kdt"</formula>
    </cfRule>
    <cfRule type="cellIs" dxfId="0" priority="4" operator="equal">
      <formula>"Entwurf"</formula>
    </cfRule>
  </conditionalFormatting>
  <dataValidations count="8">
    <dataValidation type="list" showInputMessage="1" sqref="C41:C42 C45:C46 C49" xr:uid="{47565616-3AB8-4A3D-800B-D37B82B9FC95}">
      <formula1>Verantwortung</formula1>
    </dataValidation>
    <dataValidation type="list" allowBlank="1" showInputMessage="1" sqref="D50:D51 C53 C56:C57" xr:uid="{45B2C698-E9D5-4F9C-83AC-0ACE3661E9BA}">
      <formula1>Räumlichkeiten</formula1>
    </dataValidation>
    <dataValidation type="list" showInputMessage="1" sqref="B41:B42 A39 A43" xr:uid="{9697BDB3-7153-4BE9-9A55-6CDEEA35FFD6}">
      <formula1>Tätigkeiten</formula1>
    </dataValidation>
    <dataValidation type="list" allowBlank="1" showInputMessage="1" showErrorMessage="1" sqref="A7" xr:uid="{60557EBA-025C-44AC-A7F8-45D4D595DC13}">
      <formula1>Landkarten</formula1>
    </dataValidation>
    <dataValidation type="list" allowBlank="1" showInputMessage="1" showErrorMessage="1" sqref="A60 A64" xr:uid="{2D9FBE8A-F86B-4576-8133-DAD868836C5D}">
      <formula1>Verteiler</formula1>
    </dataValidation>
    <dataValidation type="list" allowBlank="1" showInputMessage="1" showErrorMessage="1" sqref="D63" xr:uid="{13457831-B81E-42D9-B1F8-DF743CB1573C}">
      <formula1>WerUnterschrift</formula1>
    </dataValidation>
    <dataValidation type="list" allowBlank="1" showInputMessage="1" showErrorMessage="1" sqref="D5" xr:uid="{32D9FA87-97AF-4C5D-A3D3-3F8EFEA3835C}">
      <formula1>ENTWURF</formula1>
    </dataValidation>
    <dataValidation type="list" allowBlank="1" showInputMessage="1" showErrorMessage="1" sqref="D64" xr:uid="{317E1E52-828E-4DD5-965C-132BB2085ED6}">
      <formula1>VerantwortungTgbf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 alignWithMargins="0">
    <oddFooter>&amp;C&amp;P/&amp;N</oddFooter>
  </headerFooter>
  <rowBreaks count="4" manualBreakCount="4">
    <brk id="40" max="3" man="1"/>
    <brk id="68" max="3" man="1"/>
    <brk id="71" max="3" man="1"/>
    <brk id="73" max="3" man="1"/>
  </rowBreaks>
  <colBreaks count="1" manualBreakCount="1">
    <brk id="1" max="9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FD57E6B-B0E4-46FA-8F3E-4CD15482E192}">
          <x14:formula1>
            <xm:f>Einstellungen!$N$71:$N$74</xm:f>
          </x14:formula1>
          <xm:sqref>G1</xm:sqref>
        </x14:dataValidation>
        <x14:dataValidation type="list" allowBlank="1" showInputMessage="1" showErrorMessage="1" xr:uid="{C67EA42B-B09F-41CC-B20C-3999D0CB470A}">
          <x14:formula1>
            <xm:f>Einstellungen!$E$71:$E$74</xm:f>
          </x14:formula1>
          <xm:sqref>B47:B49</xm:sqref>
        </x14:dataValidation>
        <x14:dataValidation type="list" showInputMessage="1" xr:uid="{43197A75-F249-401E-9125-3D36CC49767C}">
          <x14:formula1>
            <xm:f>Einstellungen!$B$71:$B$84</xm:f>
          </x14:formula1>
          <xm:sqref>B14:B40</xm:sqref>
        </x14:dataValidation>
        <x14:dataValidation type="list" showInputMessage="1" xr:uid="{A4FC6D5F-1E18-472B-9FE9-40B005FC2828}">
          <x14:formula1>
            <xm:f>Einstellungen!$K$71:$K$75</xm:f>
          </x14:formula1>
          <xm:sqref>C13:C40 C43:C44 C47:C48</xm:sqref>
        </x14:dataValidation>
        <x14:dataValidation type="list" allowBlank="1" showInputMessage="1" xr:uid="{CF9B8A54-85E7-4785-8D0D-ED7959DF91D0}">
          <x14:formula1>
            <xm:f>Einstellungen!$H$71:$H$86</xm:f>
          </x14:formula1>
          <xm:sqref>D14:D49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willigt_x003f_ xmlns="ea7a81cf-c0ad-424b-8f86-b20083c1f2b8" xsi:nil="true"/>
    <lcf76f155ced4ddcb4097134ff3c332f xmlns="ea7a81cf-c0ad-424b-8f86-b20083c1f2b8">
      <Terms xmlns="http://schemas.microsoft.com/office/infopath/2007/PartnerControls"/>
    </lcf76f155ced4ddcb4097134ff3c332f>
  </documentManagement>
</p:properties>
</file>

<file path=customXml/item3.xml><?xml version="1.0" encoding="utf-8"?>
<scriptIds xmlns="http://schemas.microsoft.com/office/extensibility/maker/v1.0" id="script-ids-node-id">
  <scriptId id="ms-officescript%3A%2F%2Fonedrive_business_itemlink%2F01G7FKD7DB7ZXXEYJ63ZB2AQPAGPTLLYWB:ms-officescript%3A%2F%2Fonedrive_business_sharinglink%2Fu!aHR0cHM6Ly9hcm1lZTIwMzAtbXkuc2hhcmVwb2ludC5jb20vOnU6L2cvcGVyc29uYWwvcm9sZl9pc2xlcl9taWx3ZWJfY2gvRVdILWIzSmhQdDVEb0VIZ00tYTE0c0VCR01naGZTWVZfbUlac1VoR0k4Sm5VUQ"/>
</scriptId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3BBFA3298E4E4F83868BF5C63C878E" ma:contentTypeVersion="15" ma:contentTypeDescription="Create a new document." ma:contentTypeScope="" ma:versionID="4404cf5de955d3bd5659776b3741d5b1">
  <xsd:schema xmlns:xsd="http://www.w3.org/2001/XMLSchema" xmlns:xs="http://www.w3.org/2001/XMLSchema" xmlns:p="http://schemas.microsoft.com/office/2006/metadata/properties" xmlns:ns2="ea7a81cf-c0ad-424b-8f86-b20083c1f2b8" xmlns:ns3="456ea5a3-53af-4ff0-a6b9-8a3bdd7d15f8" targetNamespace="http://schemas.microsoft.com/office/2006/metadata/properties" ma:root="true" ma:fieldsID="c7ee6edc7d267b4d6fe5ac6829b16a93" ns2:_="" ns3:_="">
    <xsd:import namespace="ea7a81cf-c0ad-424b-8f86-b20083c1f2b8"/>
    <xsd:import namespace="456ea5a3-53af-4ff0-a6b9-8a3bdd7d15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Bewilligt_x003f_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81cf-c0ad-424b-8f86-b20083c1f2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ewilligt_x003f_" ma:index="12" nillable="true" ma:displayName="Bewilligt?" ma:format="Dropdown" ma:internalName="Bewilligt_x003f_">
      <xsd:simpleType>
        <xsd:restriction base="dms:Choice">
          <xsd:enumeration value="Ja"/>
          <xsd:enumeration value="Nein"/>
          <xsd:enumeration value="Anhang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5d04d7e-55d7-49d5-b688-08b533fd2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ea5a3-53af-4ff0-a6b9-8a3bdd7d15f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75EFE-9F05-426E-985E-7713351502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EE23F6-1229-4FEB-AB03-CD2F16C0152F}">
  <ds:schemaRefs>
    <ds:schemaRef ds:uri="http://schemas.microsoft.com/office/2006/metadata/properties"/>
    <ds:schemaRef ds:uri="http://schemas.microsoft.com/office/infopath/2007/PartnerControls"/>
    <ds:schemaRef ds:uri="ea7a81cf-c0ad-424b-8f86-b20083c1f2b8"/>
  </ds:schemaRefs>
</ds:datastoreItem>
</file>

<file path=customXml/itemProps3.xml><?xml version="1.0" encoding="utf-8"?>
<ds:datastoreItem xmlns:ds="http://schemas.openxmlformats.org/officeDocument/2006/customXml" ds:itemID="{C3D97A01-9C0C-450A-ACB5-FA7982442AD8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67307023-A076-48EF-B095-D7AD459D2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7a81cf-c0ad-424b-8f86-b20083c1f2b8"/>
    <ds:schemaRef ds:uri="456ea5a3-53af-4ff0-a6b9-8a3bdd7d1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38</vt:i4>
      </vt:variant>
    </vt:vector>
  </HeadingPairs>
  <TitlesOfParts>
    <vt:vector size="70" baseType="lpstr">
      <vt:lpstr>Einstellungen</vt:lpstr>
      <vt:lpstr>WAP - KVK</vt:lpstr>
      <vt:lpstr>WAP - Wo 1</vt:lpstr>
      <vt:lpstr>WAP - Wo 2</vt:lpstr>
      <vt:lpstr>WAP - Wo 3</vt:lpstr>
      <vt:lpstr>1 - Mo</vt:lpstr>
      <vt:lpstr>2 - Di</vt:lpstr>
      <vt:lpstr>3 - Mi</vt:lpstr>
      <vt:lpstr>4 - Do</vt:lpstr>
      <vt:lpstr>5 - Fr</vt:lpstr>
      <vt:lpstr>6 - Sa</vt:lpstr>
      <vt:lpstr>7 - So</vt:lpstr>
      <vt:lpstr>8 - Mo</vt:lpstr>
      <vt:lpstr>9 - Di</vt:lpstr>
      <vt:lpstr>10 - Mi</vt:lpstr>
      <vt:lpstr>11 - Do</vt:lpstr>
      <vt:lpstr>12 - Fr</vt:lpstr>
      <vt:lpstr>13 - Sa</vt:lpstr>
      <vt:lpstr>14 - So</vt:lpstr>
      <vt:lpstr>15 - Mo</vt:lpstr>
      <vt:lpstr>16 - Di</vt:lpstr>
      <vt:lpstr>17 - Mi</vt:lpstr>
      <vt:lpstr>18 - Do</vt:lpstr>
      <vt:lpstr>19 - Fr</vt:lpstr>
      <vt:lpstr>20 - Sa</vt:lpstr>
      <vt:lpstr>21 - So</vt:lpstr>
      <vt:lpstr>22 - Mo</vt:lpstr>
      <vt:lpstr>23 - Di</vt:lpstr>
      <vt:lpstr>24 - Mi</vt:lpstr>
      <vt:lpstr>25 - Do</vt:lpstr>
      <vt:lpstr>26 - Fr</vt:lpstr>
      <vt:lpstr>0 - LEERE VORLAGE</vt:lpstr>
      <vt:lpstr>'10 - Mi'!asdf</vt:lpstr>
      <vt:lpstr>'15 - Mo'!asdf</vt:lpstr>
      <vt:lpstr>'11 - Do'!fdsa</vt:lpstr>
      <vt:lpstr>'9 - Di'!fdsa</vt:lpstr>
      <vt:lpstr>'0 - LEERE VORLAGE'!Print_Area</vt:lpstr>
      <vt:lpstr>'1 - Mo'!Print_Area</vt:lpstr>
      <vt:lpstr>'10 - Mi'!Print_Area</vt:lpstr>
      <vt:lpstr>'11 - Do'!Print_Area</vt:lpstr>
      <vt:lpstr>'12 - Fr'!Print_Area</vt:lpstr>
      <vt:lpstr>'13 - Sa'!Print_Area</vt:lpstr>
      <vt:lpstr>'14 - So'!Print_Area</vt:lpstr>
      <vt:lpstr>'16 - Di'!Print_Area</vt:lpstr>
      <vt:lpstr>'17 - Mi'!Print_Area</vt:lpstr>
      <vt:lpstr>'18 - Do'!Print_Area</vt:lpstr>
      <vt:lpstr>'19 - Fr'!Print_Area</vt:lpstr>
      <vt:lpstr>'2 - Di'!Print_Area</vt:lpstr>
      <vt:lpstr>'20 - Sa'!Print_Area</vt:lpstr>
      <vt:lpstr>'21 - So'!Print_Area</vt:lpstr>
      <vt:lpstr>'22 - Mo'!Print_Area</vt:lpstr>
      <vt:lpstr>'23 - Di'!Print_Area</vt:lpstr>
      <vt:lpstr>'24 - Mi'!Print_Area</vt:lpstr>
      <vt:lpstr>'25 - Do'!Print_Area</vt:lpstr>
      <vt:lpstr>'26 - Fr'!Print_Area</vt:lpstr>
      <vt:lpstr>'3 - Mi'!Print_Area</vt:lpstr>
      <vt:lpstr>'4 - Do'!Print_Area</vt:lpstr>
      <vt:lpstr>'5 - Fr'!Print_Area</vt:lpstr>
      <vt:lpstr>'6 - Sa'!Print_Area</vt:lpstr>
      <vt:lpstr>'7 - So'!Print_Area</vt:lpstr>
      <vt:lpstr>'8 - Mo'!Print_Area</vt:lpstr>
      <vt:lpstr>'9 - Di'!Print_Area</vt:lpstr>
      <vt:lpstr>'WAP - KVK'!Print_Area</vt:lpstr>
      <vt:lpstr>'WAP - Wo 1'!Print_Area</vt:lpstr>
      <vt:lpstr>'WAP - Wo 2'!Print_Area</vt:lpstr>
      <vt:lpstr>'WAP - Wo 3'!Print_Area</vt:lpstr>
      <vt:lpstr>'WAP - KVK'!Startdatum</vt:lpstr>
      <vt:lpstr>'WAP - Wo 1'!Startdatum</vt:lpstr>
      <vt:lpstr>'WAP - Wo 2'!Startdatum</vt:lpstr>
      <vt:lpstr>'WAP - Wo 3'!Startdatum</vt:lpstr>
    </vt:vector>
  </TitlesOfParts>
  <Manager/>
  <Company>FUB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Isler Rolf MIL</dc:creator>
  <cp:keywords/>
  <dc:description/>
  <cp:lastModifiedBy>Hptm Rolf Isler</cp:lastModifiedBy>
  <cp:revision/>
  <dcterms:created xsi:type="dcterms:W3CDTF">2023-01-27T10:55:41Z</dcterms:created>
  <dcterms:modified xsi:type="dcterms:W3CDTF">2026-09-02T08:40:22Z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0x010100CA3BBFA3298E4E4F83868BF5C63C878E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